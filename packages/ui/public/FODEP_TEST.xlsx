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25" activeTab="27"/>
  </bookViews>
  <sheets>
    <sheet sheetId="1" name="Page_de_garde" state="visible" r:id="rId4"/>
    <sheet sheetId="2" name="ADPE" state="visible" r:id="rId5"/>
    <sheet sheetId="3" name="Liste_EP_à_renseigner" state="visible" r:id="rId6"/>
    <sheet sheetId="4" name="EP01" state="visible" r:id="rId7"/>
    <sheet sheetId="5" name="EP02" state="visible" r:id="rId8"/>
    <sheet sheetId="6" name="EP03" state="visible" r:id="rId9"/>
    <sheet sheetId="7" name="EP3M" state="visible" r:id="rId10"/>
    <sheet sheetId="8" name="EP04" state="visible" r:id="rId11"/>
    <sheet sheetId="9" name="EP05" state="visible" r:id="rId12"/>
    <sheet sheetId="10" name="EP5M" state="visible" r:id="rId13"/>
    <sheet sheetId="11" name="EP06" state="visible" r:id="rId14"/>
    <sheet sheetId="12" name="EP07" state="visible" r:id="rId15"/>
    <sheet sheetId="13" name="EP08" state="visible" r:id="rId16"/>
    <sheet sheetId="14" name="EP09" state="visible" r:id="rId17"/>
    <sheet sheetId="15" name="EP10" state="visible" r:id="rId18"/>
    <sheet sheetId="16" name="EP11" state="visible" r:id="rId19"/>
    <sheet sheetId="17" name="EP12" state="visible" r:id="rId20"/>
    <sheet sheetId="18" name="EP13" state="visible" r:id="rId21"/>
    <sheet sheetId="19" name="EP14" state="visible" r:id="rId22"/>
    <sheet sheetId="20" name="EP15" state="visible" r:id="rId23"/>
    <sheet sheetId="21" name="EP16" state="visible" r:id="rId24"/>
    <sheet sheetId="22" name="EP17" state="visible" r:id="rId25"/>
    <sheet sheetId="23" name="EP18" state="visible" r:id="rId26"/>
    <sheet sheetId="24" name="EP19" state="visible" r:id="rId27"/>
    <sheet sheetId="25" name="EP20" state="visible" r:id="rId28"/>
    <sheet sheetId="26" name="EP21" state="visible" r:id="rId29"/>
    <sheet sheetId="27" name="EP22" state="visible" r:id="rId30"/>
    <sheet sheetId="28" name="EP23" state="visible" r:id="rId31"/>
    <sheet sheetId="29" name="EP24" state="visible" r:id="rId32"/>
    <sheet sheetId="30" name="EP25" state="visible" r:id="rId33"/>
    <sheet sheetId="31" name="EP26" state="visible" r:id="rId34"/>
    <sheet sheetId="32" name="EP27" state="visible" r:id="rId35"/>
    <sheet sheetId="33" name="EP28" state="visible" r:id="rId36"/>
    <sheet sheetId="34" name="EP29" state="visible" r:id="rId37"/>
    <sheet sheetId="35" name="EP30" state="visible" r:id="rId38"/>
    <sheet sheetId="36" name="EP31" state="visible" r:id="rId39"/>
    <sheet sheetId="37" name="EP32" state="visible" r:id="rId40"/>
    <sheet sheetId="38" name="EP33" state="visible" r:id="rId41"/>
    <sheet sheetId="39" name="EP34" state="visible" r:id="rId42"/>
    <sheet sheetId="40" name="EP35" state="visible" r:id="rId43"/>
    <sheet sheetId="41" name="EP36" state="visible" r:id="rId44"/>
    <sheet sheetId="42" name="EP37" state="visible" r:id="rId45"/>
    <sheet sheetId="43" name="EP38" state="visible" r:id="rId46"/>
    <sheet sheetId="44" name="EP39" state="visible" r:id="rId47"/>
  </sheets>
  <definedNames>
    <definedName name="_xlnm.Print_Area" localSheetId="1">'ADPE'!$A1:$AE52</definedName>
    <definedName name="_xlnm.Print_Area" localSheetId="2">'Liste_EP_à_renseigner'!$A1:$E48</definedName>
    <definedName name="_xlnm.Print_Area" localSheetId="4">'EP02'!$A1:$G18</definedName>
    <definedName name="_xlnm.Print_Area" localSheetId="5">'EP03'!$A1:$C69</definedName>
    <definedName name="_xlnm.Print_Titles" localSheetId="5">'EP03'!$1:$9</definedName>
    <definedName name="_xlnm.Print_Titles" localSheetId="6">'EP3M'!$1:$11</definedName>
    <definedName name="_xlnm.Print_Area" localSheetId="8">'EP05'!$A1:$C73</definedName>
    <definedName name="_xlnm.Print_Titles" localSheetId="8">'EP05'!$1:$9</definedName>
    <definedName name="_xlnm.Print_Titles" localSheetId="9">'EP5M'!$1:$11</definedName>
    <definedName name="_xlnm.Print_Area" localSheetId="11">'EP07'!$A1:$N49</definedName>
    <definedName name="_xlnm.Print_Titles" localSheetId="11">'EP07'!$1:$8</definedName>
    <definedName name="_xlnm.Print_Area" localSheetId="15">'EP11'!$A1:$L36</definedName>
    <definedName name="_xlnm.Print_Area" localSheetId="17">'EP13'!$A1:$J43</definedName>
    <definedName name="_xlnm.Print_Area" localSheetId="19">'EP15'!$A1:$J43</definedName>
    <definedName name="_xlnm.Print_Area" localSheetId="24">'EP20'!$A1:$E27</definedName>
    <definedName name="_xlnm.Print_Area" localSheetId="26">'EP22'!$A1:$H17</definedName>
    <definedName name="_xlnm.Print_Area" localSheetId="27">'EP23'!$A1:$K38</definedName>
    <definedName name="_xlnm.Print_Area" localSheetId="28">'EP24'!$A1:$M46</definedName>
    <definedName name="_xlnm.Print_Titles" localSheetId="28">'EP24'!$1:$9</definedName>
    <definedName name="_xlnm.Print_Area" localSheetId="29">'EP25'!$A1:$I83</definedName>
    <definedName name="_xlnm.Print_Titles" localSheetId="29">'EP25'!$1:$7</definedName>
    <definedName name="_xlnm.Print_Area" localSheetId="30">'EP26'!$A1:$I47</definedName>
    <definedName name="_xlnm.Print_Titles" localSheetId="30">'EP26'!$1:$7</definedName>
    <definedName name="_xlnm.Print_Area" localSheetId="31">'EP27'!$A1:$J82</definedName>
    <definedName name="_xlnm.Print_Titles" localSheetId="31">'EP27'!$1:$7</definedName>
    <definedName name="_xlnm.Print_Area" localSheetId="32">'EP28'!$A1:$E48</definedName>
    <definedName name="_xlnm.Print_Titles" localSheetId="33">'EP29'!$1:$1</definedName>
    <definedName name="_xlnm.Print_Titles" localSheetId="34">'EP30'!$1:$15</definedName>
    <definedName name="_xlnm.Print_Area" localSheetId="35">'EP31'!$A1:$AB31</definedName>
    <definedName name="_xlnm.Print_Area" localSheetId="36">'EP32'!$A1:$J71</definedName>
    <definedName name="_xlnm.Print_Area" localSheetId="37">'EP33'!$A1:$C35</definedName>
    <definedName name="_xlnm.Print_Titles" localSheetId="38">'EP34'!$1:$11</definedName>
    <definedName name="_xlnm.Print_Area" localSheetId="39">'EP35'!$A1:$I71</definedName>
    <definedName name="_xlnm.Print_Area" localSheetId="40">'EP36'!$A1:$F26</definedName>
    <definedName name="_xlnm.Print_Area" localSheetId="41">'EP37'!$A1:$F25</definedName>
    <definedName name="_xlnm.Print_Area" localSheetId="42">'EP38'!$A1:$M21</definedName>
    <definedName name="_xlnm.Print_Titles" localSheetId="43">'EP39'!$1:$9</definedName>
  </definedNames>
  <calcPr calcId="171027"/>
</workbook>
</file>

<file path=xl/sharedStrings.xml><?xml version="1.0" encoding="utf-8"?>
<sst xmlns="http://schemas.openxmlformats.org/spreadsheetml/2006/main" count="3720" uniqueCount="2222">
  <si>
    <t xml:space="preserve">FORMULAIRE DE DECLARATION PRUDENTIELLE DES ETABLISSEMENTS DE CREDIT ET DES COMPAGNIES FINANCIERES (FODEP) </t>
  </si>
  <si>
    <t xml:space="preserve">ATTESTATION DE DECLARATION PRUDENTIELLE </t>
  </si>
  <si>
    <t>ETAT :</t>
  </si>
  <si>
    <t>ETABLISSEMENT :</t>
  </si>
  <si>
    <t>A</t>
  </si>
  <si>
    <t>M</t>
  </si>
  <si>
    <t>J</t>
  </si>
  <si>
    <t>Date d'arrêté</t>
  </si>
  <si>
    <t>C</t>
  </si>
  <si>
    <t>I</t>
  </si>
  <si>
    <t>B</t>
  </si>
  <si>
    <t>LC</t>
  </si>
  <si>
    <t>Personne-responsable du renseignement du FODEP :</t>
  </si>
  <si>
    <t>Prénoms et Nom :</t>
  </si>
  <si>
    <t>Fonction :</t>
  </si>
  <si>
    <t>Téléphone :</t>
  </si>
  <si>
    <t>Poste :</t>
  </si>
  <si>
    <t>E-mail :</t>
  </si>
  <si>
    <t>Personne-responsable de la transmission du FODEP à la plateforme de reporting BCEAO</t>
  </si>
  <si>
    <t>CERTIFICATION</t>
  </si>
  <si>
    <t>Nous,</t>
  </si>
  <si>
    <t xml:space="preserve"> et</t>
  </si>
  <si>
    <t>certifions que le présent formulaire a été rempli conformément aux exigences du dispositif prudentiel applicable aux établissements de crédit et aux compagnies financières de l'Union Monétaire Ouest Africaine.</t>
  </si>
  <si>
    <t>En outre, nous attestons qu'au meilleur de notre connaissance, les données contenues dans le présent formulaire sont fiables, intègres et exhaustives.</t>
  </si>
  <si>
    <t>Code Signature :</t>
  </si>
  <si>
    <t>Date :</t>
  </si>
  <si>
    <t>(AAAA-MM-JJ)</t>
  </si>
  <si>
    <t>LISTE DES ETATS PRUDENTIELS A RENSEIGNER</t>
  </si>
  <si>
    <t>N° Etat prudentiel</t>
  </si>
  <si>
    <t>Intitulé</t>
  </si>
  <si>
    <t>Sur une Base</t>
  </si>
  <si>
    <t>Individuelle</t>
  </si>
  <si>
    <t>Sous-consolidée</t>
  </si>
  <si>
    <t>Consolidée</t>
  </si>
  <si>
    <t>EP01</t>
  </si>
  <si>
    <t>Etat de conformité aux normes prudentielles</t>
  </si>
  <si>
    <t>EP02</t>
  </si>
  <si>
    <t>Calcul des ratios de solvabilité</t>
  </si>
  <si>
    <t>EP03</t>
  </si>
  <si>
    <t>Calcul des fonds propres sur base individuelle</t>
  </si>
  <si>
    <t>EP04</t>
  </si>
  <si>
    <t>Dispositions transitoires sur base individuelle : Retrait progressif des éléments de fonds propres non admissibles</t>
  </si>
  <si>
    <t>EP05</t>
  </si>
  <si>
    <t>Calcul des fonds propres sur base consolidée</t>
  </si>
  <si>
    <t>EP06</t>
  </si>
  <si>
    <t>Dispositions transitoires sur base consolidée : Retrait progressif des éléments de fonds propres non admissibles</t>
  </si>
  <si>
    <t>EP07</t>
  </si>
  <si>
    <t>Fonds propres admissibles émis par des filiales</t>
  </si>
  <si>
    <t>EP08</t>
  </si>
  <si>
    <t>Total des actifs pondérés des risques</t>
  </si>
  <si>
    <t>EP09</t>
  </si>
  <si>
    <t>Ventilation du bilan entre les différentes catégories d'expositions</t>
  </si>
  <si>
    <t>EP10</t>
  </si>
  <si>
    <t>Ventilation des engagements totaux hors-bilan entre les différentes catégories d'expositions</t>
  </si>
  <si>
    <t>EP11</t>
  </si>
  <si>
    <t>Expositions au risque de contrepartie</t>
  </si>
  <si>
    <t>EP12</t>
  </si>
  <si>
    <t>Risque de crédit : expositions sur les souverains</t>
  </si>
  <si>
    <t>EP13</t>
  </si>
  <si>
    <t>Risque de crédit : expositions sur les organismes publics hors administration centrale</t>
  </si>
  <si>
    <t>EP14</t>
  </si>
  <si>
    <t>Risque de crédit : expositions sur les banques multilatérales de développement</t>
  </si>
  <si>
    <t>EP15</t>
  </si>
  <si>
    <t>Risque de crédit : expositions sur les institutions financières</t>
  </si>
  <si>
    <t>EP16</t>
  </si>
  <si>
    <t>Risque de crédit : expositions sur les entreprises</t>
  </si>
  <si>
    <t>EP17</t>
  </si>
  <si>
    <t>Risque de crédit : expositions sur la clientèle de détail</t>
  </si>
  <si>
    <t>EP18</t>
  </si>
  <si>
    <t>Risque de crédit : expositions sur les prêts garantis par l'immobilier résidentiel</t>
  </si>
  <si>
    <t>EP19</t>
  </si>
  <si>
    <t>Risque de crédit : expositions sur les prêts garantis par l'immobilier commercial</t>
  </si>
  <si>
    <t>EP20</t>
  </si>
  <si>
    <t>Risque de crédit : expositions sur les autres actifs</t>
  </si>
  <si>
    <t>EP21</t>
  </si>
  <si>
    <t xml:space="preserve">Risque opérationnel : exigences de fonds propres au titre de l'approche indicateur de base </t>
  </si>
  <si>
    <t>EP22</t>
  </si>
  <si>
    <t xml:space="preserve">Risque opérationnel : collecte des données de pertes au titre de l'approche indicateur de base </t>
  </si>
  <si>
    <t>EP23</t>
  </si>
  <si>
    <t>Risque opérationnel : exigences de fonds propres au titre de l'approche standard</t>
  </si>
  <si>
    <t>EP24</t>
  </si>
  <si>
    <t>Risque opérationnel : collecte des données de pertes au titre de l'approche standard</t>
  </si>
  <si>
    <t>EP25</t>
  </si>
  <si>
    <t>Risque de marché : exigences de fonds propres au titre du risque de taux d'intérêt du portefeuille de négociation</t>
  </si>
  <si>
    <t>EP26</t>
  </si>
  <si>
    <t>Risque de marché : exigences de fonds propres au titre du risque de positions sur titres de propriété du portefeuille de négociation</t>
  </si>
  <si>
    <t>EP27</t>
  </si>
  <si>
    <t>Risque de marché : exigences de fonds propres au titre du risque de change</t>
  </si>
  <si>
    <t>EP28</t>
  </si>
  <si>
    <t>Risque de marché : exigences de fonds propres au titre du risque de positions sur produits de base</t>
  </si>
  <si>
    <t>EP29</t>
  </si>
  <si>
    <t>Grands risques du portefeuille bancaire et de négociation</t>
  </si>
  <si>
    <t>EP30</t>
  </si>
  <si>
    <t>Détails des risques sur les clients individuels des groupes de clients liés</t>
  </si>
  <si>
    <t>EP31</t>
  </si>
  <si>
    <t>20 plus grandes expositions du portefeuille bancaire et de négociation par catégories d'échéances des risques</t>
  </si>
  <si>
    <t>EP32</t>
  </si>
  <si>
    <t>Déclaration des 50 plus gros engagements</t>
  </si>
  <si>
    <t>EP33</t>
  </si>
  <si>
    <t>Ratio de levier</t>
  </si>
  <si>
    <t>EP34</t>
  </si>
  <si>
    <t>Participations de l'établissement</t>
  </si>
  <si>
    <t>EP35</t>
  </si>
  <si>
    <t xml:space="preserve">Participations dans des entités commerciales </t>
  </si>
  <si>
    <t>EP36</t>
  </si>
  <si>
    <t>Immobilisations hors-exploitation et participations dans des sociétés immobilières</t>
  </si>
  <si>
    <t>EP37</t>
  </si>
  <si>
    <t>Immobilisations et participations</t>
  </si>
  <si>
    <t>EP38</t>
  </si>
  <si>
    <t>Prêts aux principaux actionnaires, aux dirigeants, au personnel et aux parties liées</t>
  </si>
  <si>
    <t>EP39</t>
  </si>
  <si>
    <t>Liste des principaux actionnaires, dirigeants, membres du personnel et parties liées bénéficiant de prêts significatifs</t>
  </si>
  <si>
    <t xml:space="preserve">                       ETAT DE CONFORMITE AUX NORMES PRUDENTIELLES</t>
  </si>
  <si>
    <t>Code DISPRU</t>
  </si>
  <si>
    <t>Liste des normes prudentielles</t>
  </si>
  <si>
    <t>Référence</t>
  </si>
  <si>
    <t>Niveau à respecter</t>
  </si>
  <si>
    <t>Niveau observé</t>
  </si>
  <si>
    <t>Situation de l'établissement</t>
  </si>
  <si>
    <t>A. Normes de solvabilité</t>
  </si>
  <si>
    <t>RA001</t>
  </si>
  <si>
    <t>Ratio de fonds propres CET 1 (%)</t>
  </si>
  <si>
    <t>RA002</t>
  </si>
  <si>
    <t>Ratio de fonds propres de base T1 (%)</t>
  </si>
  <si>
    <t>RA003</t>
  </si>
  <si>
    <t>Ratio de solvabilité total (%)</t>
  </si>
  <si>
    <t>B. Norme de division des risques</t>
  </si>
  <si>
    <t>RA004</t>
  </si>
  <si>
    <t>Norme de division des risques</t>
  </si>
  <si>
    <t>C. Ratio de levier</t>
  </si>
  <si>
    <t>RA005</t>
  </si>
  <si>
    <t>D. Autres normes prudentielles</t>
  </si>
  <si>
    <t>RA006</t>
  </si>
  <si>
    <t>Limite individuelle sur les participations dans les entités commerciales ( 25% capital de l'entreprise)</t>
  </si>
  <si>
    <t>RA007</t>
  </si>
  <si>
    <t>Limite individuelle sur les participations dans les entités commerciales (15% des fonds propres T1 de l'établissement)</t>
  </si>
  <si>
    <t>RA008</t>
  </si>
  <si>
    <t>Limite globale de participations dans les entités commerciales (60% des fonds propres effectifs de l'établissement)</t>
  </si>
  <si>
    <t>RA009</t>
  </si>
  <si>
    <t>Limite sur les immobilisations hors exploitation</t>
  </si>
  <si>
    <t>RA010</t>
  </si>
  <si>
    <t>Limite sur le total des immobilisations et des participations</t>
  </si>
  <si>
    <t>RA011</t>
  </si>
  <si>
    <t>Limite sur les prêts aux actionnaires , aux dirigeants et au personnel</t>
  </si>
  <si>
    <t>CALCUL DES RATIOS DE SOLVABILITE</t>
  </si>
  <si>
    <t>Poste</t>
  </si>
  <si>
    <t>Niveau /Montant estimé</t>
  </si>
  <si>
    <t>a x 100 / d</t>
  </si>
  <si>
    <t>b x 100 / d</t>
  </si>
  <si>
    <t>cx 100 / d</t>
  </si>
  <si>
    <t>B. Fonds propres</t>
  </si>
  <si>
    <t>FPI22 / FPC22</t>
  </si>
  <si>
    <t>Fonds propres de base durs (CET 1)</t>
  </si>
  <si>
    <t>EP03 / EP05</t>
  </si>
  <si>
    <t>(a)</t>
  </si>
  <si>
    <t>FPI29 / FPC29</t>
  </si>
  <si>
    <t>Fonds propres de base (T1)</t>
  </si>
  <si>
    <t>(b)</t>
  </si>
  <si>
    <t>FPI41 / FPC41</t>
  </si>
  <si>
    <t>Fonds propres effectifs (FPE)</t>
  </si>
  <si>
    <t>(c)</t>
  </si>
  <si>
    <t>C. Actifs pondérés des risques (APR)</t>
  </si>
  <si>
    <t>APR04</t>
  </si>
  <si>
    <t>Actifs pondérés des risques de crédit, de marché et opérationel</t>
  </si>
  <si>
    <t>(d)</t>
  </si>
  <si>
    <t>CALCUL DES FONDS PROPRES SUR BASE INDIVIDUELLE</t>
  </si>
  <si>
    <t>Montant</t>
  </si>
  <si>
    <t>A. Fonds propres de base durs (CET 1)</t>
  </si>
  <si>
    <t>FPI01</t>
  </si>
  <si>
    <t>Capital social libéré</t>
  </si>
  <si>
    <t>FPI02</t>
  </si>
  <si>
    <t>Primes liées  à l'émission des instruments  CET1</t>
  </si>
  <si>
    <t>FPI03</t>
  </si>
  <si>
    <t>Réserve spéciale</t>
  </si>
  <si>
    <t>FPI04</t>
  </si>
  <si>
    <t>Autres réserves</t>
  </si>
  <si>
    <t>FPI05</t>
  </si>
  <si>
    <t>Report à nouveau créditeur</t>
  </si>
  <si>
    <t>FPI06</t>
  </si>
  <si>
    <t>Résultat bénéficiaire</t>
  </si>
  <si>
    <t>FPI07</t>
  </si>
  <si>
    <r>
      <rPr>
        <charset val="1"/>
        <family val="2"/>
        <sz val="14"/>
        <rFont val="Arial"/>
      </rPr>
      <t>Eléments de CET1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inclus dans le CET1 selon les dispositions transitoires</t>
    </r>
  </si>
  <si>
    <t>FPI08</t>
  </si>
  <si>
    <t>Total des fonds propres CET1 avant déductions applicables</t>
  </si>
  <si>
    <t>FPI09</t>
  </si>
  <si>
    <t>(-) Report à nouveau débiteur</t>
  </si>
  <si>
    <t>FPI10</t>
  </si>
  <si>
    <t>(-) Résultat déficitaire</t>
  </si>
  <si>
    <t>IM012</t>
  </si>
  <si>
    <t>(-) Immobilisations incorporelles (nettes d'impôts différés passif)</t>
  </si>
  <si>
    <t>ID009</t>
  </si>
  <si>
    <t>(-) Impôt différé actif dépendant de la rentabilité future de l’établissement et ne résultant pas de différences temporaires (net d'impôts différés passif)</t>
  </si>
  <si>
    <t>PA156</t>
  </si>
  <si>
    <t>(-) Participations croisées éligibles au CET1 dans les établissements, les entreprises d'assurance et les autres entités financières</t>
  </si>
  <si>
    <t>PA173</t>
  </si>
  <si>
    <t>(-) Participations significatives éligibles au CET1 et qui ne sont pas des actions ordinaires</t>
  </si>
  <si>
    <t>FPI11</t>
  </si>
  <si>
    <t>(-) Réserves de valorisation pour positions moins liquides</t>
  </si>
  <si>
    <t>PA149</t>
  </si>
  <si>
    <t>(-) Excédent de la limite de participations dans des entités commerciales</t>
  </si>
  <si>
    <t>IM006</t>
  </si>
  <si>
    <t>(-) Excédent de la limite applicable aux immobilisations hors exploitation</t>
  </si>
  <si>
    <t>IM010</t>
  </si>
  <si>
    <t xml:space="preserve">(-) Excédent de la limite applicable au total des immobilisations et participations </t>
  </si>
  <si>
    <t>PR004</t>
  </si>
  <si>
    <t>(-) Excédent de la  limite applicable aux prêts aux actionnaires, aux dirigeants et au personnel</t>
  </si>
  <si>
    <t>FPI12</t>
  </si>
  <si>
    <t>(-) Expositions sur les établissements qui disposent de fonds propres négatifs</t>
  </si>
  <si>
    <t>FPI13</t>
  </si>
  <si>
    <t xml:space="preserve">(-) Ajustements réglementaires à appliquer au CET1 en raison de l'insuffisance des fonds propres de base additionnels (AT1) pour couvrir les déductions </t>
  </si>
  <si>
    <t>FPI14</t>
  </si>
  <si>
    <t>Total des fonds propres CET1 ajustés avant déductions liées à des seuils</t>
  </si>
  <si>
    <t>PA163</t>
  </si>
  <si>
    <t>(-) Participations non significatives éligibles au CET1 dans les établissements, les entreprises d'assurance et les autres entités financières</t>
  </si>
  <si>
    <t>FPI15</t>
  </si>
  <si>
    <t>Total des fonds propres CET1 ajustés des déductions liées aux participations non significatives</t>
  </si>
  <si>
    <t>PA172</t>
  </si>
  <si>
    <t>(-) Participations significatives éligibles au CET1 dans les établissements, les entreprises d'assurance et les autres entités financières</t>
  </si>
  <si>
    <t>ID011</t>
  </si>
  <si>
    <t>(-) Impôts différés actifs résultant de différences temporaires (nets de passifs d'impôt associés)</t>
  </si>
  <si>
    <t>FPI16</t>
  </si>
  <si>
    <t>Total des fonds propres CET1 ajustés des déductions individuelles liées aux participations significatives et aux impôts différés actifs résultant de différences temporaires</t>
  </si>
  <si>
    <t>FPI20</t>
  </si>
  <si>
    <t>(-) Montant dépassant le seuil de 15% du CET1</t>
  </si>
  <si>
    <t>FPI21</t>
  </si>
  <si>
    <t>(-) Autres déductions applicables au CET1</t>
  </si>
  <si>
    <t>FPI22</t>
  </si>
  <si>
    <t>TOTAL DES FONDS PROPRES CET1</t>
  </si>
  <si>
    <t>B. Fonds propres de base additionnels (AT1)</t>
  </si>
  <si>
    <t>FPI23</t>
  </si>
  <si>
    <t>Instruments de capital libérés</t>
  </si>
  <si>
    <t>FPI24</t>
  </si>
  <si>
    <t>Primes liées à l'émission des instruments AT1</t>
  </si>
  <si>
    <t>FPI25</t>
  </si>
  <si>
    <r>
      <rPr>
        <charset val="1"/>
        <family val="2"/>
        <sz val="14"/>
        <rFont val="Arial"/>
      </rPr>
      <t>Instruments de CET1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éligibles dans les fonds propres fonds propres de base additionnels (AT1)</t>
    </r>
  </si>
  <si>
    <t>FPI26</t>
  </si>
  <si>
    <t>Total des fonds propres AT1 avant déductions applicables</t>
  </si>
  <si>
    <t>PA157</t>
  </si>
  <si>
    <t>(-) Participations croisées éligibles au AT1 dans les établissements, les entreprises d'assurance et les autres entités financières</t>
  </si>
  <si>
    <t>PA164</t>
  </si>
  <si>
    <t>(-) Participations non significatives éligibles au AT1 dans les établissements, les entreprises d'assurance et les autres entités financières</t>
  </si>
  <si>
    <t>PA174</t>
  </si>
  <si>
    <t>(-) Participations significatives éligibles au AT1 dans les établissements, les entreprises d'assurance et les autres entités financières</t>
  </si>
  <si>
    <t>FPI27</t>
  </si>
  <si>
    <t xml:space="preserve">(-) Ajustements réglementaires à appliquer au fonds propres AT1 en raison de l'insuffisance des fonds propres complémentaires (T2) pour couvrir les déductions </t>
  </si>
  <si>
    <t>FPI28</t>
  </si>
  <si>
    <t xml:space="preserve">Total des fonds propres AT1  </t>
  </si>
  <si>
    <t>C. Fonds Propres de Base (T1)</t>
  </si>
  <si>
    <t>FPI29</t>
  </si>
  <si>
    <t>TOTAL DES FONDS PROPRES DE BASE T1</t>
  </si>
  <si>
    <t>D. Fonds Propres Complémentaires (T2)</t>
  </si>
  <si>
    <t>FPI30</t>
  </si>
  <si>
    <t>Emprunts subordonnés</t>
  </si>
  <si>
    <t>FPI31</t>
  </si>
  <si>
    <t xml:space="preserve">Autres instruments de capital libérés </t>
  </si>
  <si>
    <t>FPI32</t>
  </si>
  <si>
    <t>Primes liées à l'émission des instruments T2</t>
  </si>
  <si>
    <t>FPI33</t>
  </si>
  <si>
    <r>
      <rPr>
        <charset val="1"/>
        <family val="2"/>
        <sz val="14"/>
        <rFont val="Arial"/>
      </rPr>
      <t>Autres instruments de CET1 non admissibles au 1</t>
    </r>
    <r>
      <rPr>
        <charset val="1"/>
        <family val="2"/>
        <vertAlign val="superscript"/>
        <sz val="14"/>
        <rFont val="Arial"/>
      </rPr>
      <t xml:space="preserve">er </t>
    </r>
    <r>
      <rPr>
        <charset val="1"/>
        <family val="2"/>
        <sz val="14"/>
        <rFont val="Arial"/>
      </rPr>
      <t>janvier 2018 et éligibles dans les fonds propres complémentaires (T2)</t>
    </r>
  </si>
  <si>
    <t>FPI34</t>
  </si>
  <si>
    <r>
      <rPr>
        <charset val="1"/>
        <family val="2"/>
        <sz val="14"/>
        <rFont val="Arial"/>
      </rPr>
      <t>Eléments de fonds propres complémentaires (T2)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inclus dans les fonds propres</t>
    </r>
  </si>
  <si>
    <t>FPI35</t>
  </si>
  <si>
    <t>Provisions réglementées</t>
  </si>
  <si>
    <t>FPI36</t>
  </si>
  <si>
    <t>Fonds affectés</t>
  </si>
  <si>
    <t>FPI37</t>
  </si>
  <si>
    <t>Subventions d’investissement</t>
  </si>
  <si>
    <t>FPI38</t>
  </si>
  <si>
    <t>Comptes bloqués d'actionnaires ou d'associés</t>
  </si>
  <si>
    <t>FPI39</t>
  </si>
  <si>
    <t>Total des fonds propres T2 avant déductions applicables</t>
  </si>
  <si>
    <t>PA158</t>
  </si>
  <si>
    <t>(-) Participations croisées éligibles au T2 dans les établissements, les entreprises d'assurance et les autres entités financières</t>
  </si>
  <si>
    <t>PA165</t>
  </si>
  <si>
    <t>(-) Participations non significatives éligibles au T2 dans les établissements, les entreprises d'assurance et les autres entités financières</t>
  </si>
  <si>
    <t>PA175</t>
  </si>
  <si>
    <t>(-) Participations significatives éligibles au T2  dans les établissements, les entreprises d'assurance et les autres entités financières</t>
  </si>
  <si>
    <t>FPI40</t>
  </si>
  <si>
    <t xml:space="preserve">Total des fonds propres T2   </t>
  </si>
  <si>
    <t>E. Fonds Propres effectifs (FPE)</t>
  </si>
  <si>
    <t>FPI41</t>
  </si>
  <si>
    <t>FONDS PROPRES EFFECTIFS</t>
  </si>
  <si>
    <t>Poste mémoire - Déductions applicables aux fonds propres sur base individuelle</t>
  </si>
  <si>
    <t>Formules de calcul</t>
  </si>
  <si>
    <t xml:space="preserve">A. Immobilisations incorporelles </t>
  </si>
  <si>
    <t>IM011</t>
  </si>
  <si>
    <t xml:space="preserve">Immobilisations incorporelles </t>
  </si>
  <si>
    <t>ID001</t>
  </si>
  <si>
    <t xml:space="preserve">(-) Impôts différés passif associés </t>
  </si>
  <si>
    <t>Immobilisations incorporelles (nettes d'impôts différés passif)</t>
  </si>
  <si>
    <t>(c)=a+b</t>
  </si>
  <si>
    <t>B. Impôts différés actifs</t>
  </si>
  <si>
    <t>B.1. Impôt différé actif ne dépendant pas de la rentabilité future de l’établissement</t>
  </si>
  <si>
    <t>ID003</t>
  </si>
  <si>
    <t>Total impôt différé actif qui ne dépend pas de la rentabilité future de l'établissement (montant brut)</t>
  </si>
  <si>
    <t>ID004</t>
  </si>
  <si>
    <t>ID005</t>
  </si>
  <si>
    <t>Total impôt différé actif qui ne dépend pas de la rentabilité future de l'établissement (net des impôts différés passif  associés)</t>
  </si>
  <si>
    <t>B.2. Impôt différé actif dépendant de la rentabilité future de l’établissement</t>
  </si>
  <si>
    <t>ID006</t>
  </si>
  <si>
    <t>Total impôt différé actif qui dépend de la rentabilité future de l'établissement (montant brut)</t>
  </si>
  <si>
    <t>ID007</t>
  </si>
  <si>
    <t>ID008</t>
  </si>
  <si>
    <t>Total impôt différé actif qui dépend de la rentabilité future de l'établissement (net des impôts différés passif  associés); dont</t>
  </si>
  <si>
    <t xml:space="preserve">           ne résultant pas de différences temporaires (net au prorata de l'impôt 
           différé passif)</t>
  </si>
  <si>
    <t>ID010</t>
  </si>
  <si>
    <t xml:space="preserve">           résultant de différences temporaires (net au prorata de l'impôt différé 
           passif)</t>
  </si>
  <si>
    <t>C. Participations</t>
  </si>
  <si>
    <t>C.1. Détail des participations dans les établissements, les entreprises d'assurance et les autres entités financières</t>
  </si>
  <si>
    <t>PA150</t>
  </si>
  <si>
    <t>Total des participations dans les établissements</t>
  </si>
  <si>
    <t>PA151</t>
  </si>
  <si>
    <t>Total des participations dans les entreprises d'assurance et les autres entités financières</t>
  </si>
  <si>
    <t>PA152</t>
  </si>
  <si>
    <t>Total des participations dans les établissements, les entreprises d'assurance et les autres entités financières ; dont</t>
  </si>
  <si>
    <t>PA153</t>
  </si>
  <si>
    <t xml:space="preserve">      Participations croisées</t>
  </si>
  <si>
    <t>PA154</t>
  </si>
  <si>
    <t xml:space="preserve">      Participations non significatives (détention de part ≤ 10% )</t>
  </si>
  <si>
    <t>PA155</t>
  </si>
  <si>
    <t xml:space="preserve">      Participations significatives (détention de part &gt; 10% )</t>
  </si>
  <si>
    <t>(e)</t>
  </si>
  <si>
    <t>C.2. Participations croisées</t>
  </si>
  <si>
    <t>Eligibles au CET1</t>
  </si>
  <si>
    <t>Eligibles au AT1</t>
  </si>
  <si>
    <t>Eligibles au T2</t>
  </si>
  <si>
    <t xml:space="preserve">C.3. Participations non significatives </t>
  </si>
  <si>
    <t>PA159</t>
  </si>
  <si>
    <t xml:space="preserve">Eligibles au CET1 </t>
  </si>
  <si>
    <t>(f)</t>
  </si>
  <si>
    <t>PA160</t>
  </si>
  <si>
    <t>(g)</t>
  </si>
  <si>
    <t>PA161</t>
  </si>
  <si>
    <t>(h)</t>
  </si>
  <si>
    <t>(i)</t>
  </si>
  <si>
    <t>PA162</t>
  </si>
  <si>
    <t xml:space="preserve">Participations non significatives à déduire des fonds propres ; dont </t>
  </si>
  <si>
    <t>(j)=max[0; (d-0,1*i)]</t>
  </si>
  <si>
    <t xml:space="preserve">           (-) Déduction affectée au CET1</t>
  </si>
  <si>
    <t>(k)=j*(f/d)</t>
  </si>
  <si>
    <t xml:space="preserve">           (-) Déduction affectée au AT1</t>
  </si>
  <si>
    <t>(l)=j*(g/d)</t>
  </si>
  <si>
    <t xml:space="preserve">           (-) Déduction affectée au T2</t>
  </si>
  <si>
    <t>(m)=j*(h/d)</t>
  </si>
  <si>
    <t>PA166</t>
  </si>
  <si>
    <t>Participations non significatives non déduites des fonds propres</t>
  </si>
  <si>
    <t>(n)=d-j</t>
  </si>
  <si>
    <t xml:space="preserve">C.4. Participations significatives </t>
  </si>
  <si>
    <t>PA167</t>
  </si>
  <si>
    <t>Eligibles au CET1 et qui sont des actions ordinaires</t>
  </si>
  <si>
    <t>(o)</t>
  </si>
  <si>
    <t>PA168</t>
  </si>
  <si>
    <t>Eligibles au CET1 et qui ne sont pas des actions ordinaires</t>
  </si>
  <si>
    <t>(p)</t>
  </si>
  <si>
    <t>PA169</t>
  </si>
  <si>
    <t>(q)</t>
  </si>
  <si>
    <t>PA170</t>
  </si>
  <si>
    <t>(r)</t>
  </si>
  <si>
    <t>(s)</t>
  </si>
  <si>
    <t>PA171</t>
  </si>
  <si>
    <t xml:space="preserve">Participations significatives à déduire des fonds propres ; dont </t>
  </si>
  <si>
    <t>(t)=u+v+w+x</t>
  </si>
  <si>
    <t xml:space="preserve">           (-) Déduction affectée au CET1 qui sont des actions ordinaires</t>
  </si>
  <si>
    <t>(u)=max[0; (o-0,1*s)]</t>
  </si>
  <si>
    <t xml:space="preserve">           (-) Déduction affectée au CET1 qui ne sont pas des actions ordinaires</t>
  </si>
  <si>
    <t>(v)=p</t>
  </si>
  <si>
    <t>(w)=q</t>
  </si>
  <si>
    <t>(x)=r</t>
  </si>
  <si>
    <t>C.5. Déductions liées au seuil de 15%</t>
  </si>
  <si>
    <t xml:space="preserve">Impôt différé actif qui dépend de la rentabilité future de l'établissement et découlant des différences temporaires (net au prorata de l'impôt différé passif) </t>
  </si>
  <si>
    <t>(y)</t>
  </si>
  <si>
    <t>Impôt différé actif qui dépend de la rentabilité future de l'établissement et découlant des différences temporaires (net au prorata de l'impôt différé passif) déduits des fonds propres</t>
  </si>
  <si>
    <t>(z)= max[0; (y-0,1*s)]</t>
  </si>
  <si>
    <t>ID012</t>
  </si>
  <si>
    <t>Impôt différé actif qui dépend de la rentabilité future de l'établissement et découlant des différences temporaires (net au prorata de l'impôt différé passif) non déduits des fonds propres</t>
  </si>
  <si>
    <t>(aa)=y-z</t>
  </si>
  <si>
    <t>PA176</t>
  </si>
  <si>
    <t>Participations significatives non déduites des fonds propres</t>
  </si>
  <si>
    <t>(ab)=e-t</t>
  </si>
  <si>
    <t>FPI17</t>
  </si>
  <si>
    <t>Eléments spécifiés</t>
  </si>
  <si>
    <t>(ac)=aa+ab</t>
  </si>
  <si>
    <t>(ad)</t>
  </si>
  <si>
    <t>FPI18</t>
  </si>
  <si>
    <t>Montant maximal des éléments spécifiés pouvant être comptabilisé (seuil de 15 %)</t>
  </si>
  <si>
    <t>(ae)=(ad-ac)*17,65%</t>
  </si>
  <si>
    <t>FPI19</t>
  </si>
  <si>
    <t xml:space="preserve">Montant dépassant le seuil de 15 % </t>
  </si>
  <si>
    <t xml:space="preserve">(af)=ac-ae       </t>
  </si>
  <si>
    <t>(-) Montant dépassant le seuil de 15 % à déduire</t>
  </si>
  <si>
    <t xml:space="preserve">(ag)=max[0; af]       </t>
  </si>
  <si>
    <t>DISPOSITIONS TRANSITOIRES SUR BASE INDIVIDUELLE : RECLASSEMENT ET RETRAIT PROGRESSIF DES ELEMENTS DE FONDS PROPRES NON ADMISSIBLES</t>
  </si>
  <si>
    <t>DT001</t>
  </si>
  <si>
    <t>Taux de retrait des éléments de fonds propres non admissibles comptabilisés dans les fonds propres pendant la période de transition</t>
  </si>
  <si>
    <t>A. Retrait progressif des instruments de fonds propres de base durs (CET1) non admissibles</t>
  </si>
  <si>
    <t>Capital social libéré dont ;</t>
  </si>
  <si>
    <t>DT002</t>
  </si>
  <si>
    <r>
      <rPr>
        <charset val="1"/>
        <family val="2"/>
        <sz val="14"/>
        <rFont val="Arial"/>
      </rPr>
      <t>Part du capital social non admissibles comme éléments de CET1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les primes d'émission y relatives</t>
    </r>
  </si>
  <si>
    <t>DT003</t>
  </si>
  <si>
    <t>DT004</t>
  </si>
  <si>
    <t>DT005</t>
  </si>
  <si>
    <r>
      <rPr>
        <charset val="1"/>
        <family val="2"/>
        <sz val="14"/>
        <rFont val="Arial"/>
      </rPr>
      <t>Total des éléments de CET1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</t>
    </r>
  </si>
  <si>
    <t>(f)=c+d+e</t>
  </si>
  <si>
    <t>DT006</t>
  </si>
  <si>
    <t>Montant maximal des éléments de CET1 non admissibles qui peut être inclus dans les fonds propres</t>
  </si>
  <si>
    <t>(g)=fxa</t>
  </si>
  <si>
    <t>DT007</t>
  </si>
  <si>
    <t>Montant réel des éléments de CET1 non admissibles en circulation à la date de déclaration</t>
  </si>
  <si>
    <r>
      <rPr>
        <b/>
        <charset val="1"/>
        <family val="2"/>
        <sz val="14"/>
        <rFont val="Arial"/>
      </rPr>
      <t>Eléments de CET1 non admissibles au 1</t>
    </r>
    <r>
      <rPr>
        <b/>
        <charset val="1"/>
        <family val="2"/>
        <vertAlign val="superscript"/>
        <sz val="14"/>
        <rFont val="Arial"/>
      </rPr>
      <t>er</t>
    </r>
    <r>
      <rPr>
        <b/>
        <charset val="1"/>
        <family val="2"/>
        <sz val="14"/>
        <rFont val="Arial"/>
      </rPr>
      <t xml:space="preserve"> janvier 2018 et inclus dans le CET1 selon les dispositions transitoires</t>
    </r>
  </si>
  <si>
    <t>i=min(g,h)</t>
  </si>
  <si>
    <r>
      <rPr>
        <b/>
        <charset val="1"/>
        <family val="2"/>
        <sz val="14"/>
        <rFont val="Arial"/>
      </rPr>
      <t>Instruments de CET1 non admissibles au 1</t>
    </r>
    <r>
      <rPr>
        <b/>
        <charset val="1"/>
        <family val="2"/>
        <vertAlign val="superscript"/>
        <sz val="14"/>
        <rFont val="Arial"/>
      </rPr>
      <t>er</t>
    </r>
    <r>
      <rPr>
        <b/>
        <charset val="1"/>
        <family val="2"/>
        <sz val="14"/>
        <rFont val="Arial"/>
      </rPr>
      <t xml:space="preserve"> janvier 2018 et éligibles dans les fonds propres de base additionnels (AT1)</t>
    </r>
  </si>
  <si>
    <t>DT008</t>
  </si>
  <si>
    <r>
      <rPr>
        <charset val="1"/>
        <family val="2"/>
        <sz val="14"/>
        <rFont val="Arial"/>
      </rPr>
      <t>Eléments de CET1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éligibles dans les fonds propres complémentaires (T2) dont ;</t>
    </r>
  </si>
  <si>
    <r>
      <rPr>
        <b/>
        <charset val="1"/>
        <family val="2"/>
        <sz val="14"/>
        <rFont val="Arial"/>
      </rPr>
      <t xml:space="preserve">           Autres instruments de CET1 non admissibles au 1</t>
    </r>
    <r>
      <rPr>
        <b/>
        <charset val="1"/>
        <family val="2"/>
        <vertAlign val="superscript"/>
        <sz val="14"/>
        <rFont val="Arial"/>
      </rPr>
      <t xml:space="preserve">er </t>
    </r>
    <r>
      <rPr>
        <b/>
        <charset val="1"/>
        <family val="2"/>
        <sz val="14"/>
        <rFont val="Arial"/>
      </rPr>
      <t xml:space="preserve">janvier 2018 et éligibles dans les fonds propres   
           complémentaires (T2)</t>
    </r>
  </si>
  <si>
    <t xml:space="preserve">           Provisions réglementées</t>
  </si>
  <si>
    <t xml:space="preserve">           Fonds affectés</t>
  </si>
  <si>
    <t>DT009</t>
  </si>
  <si>
    <r>
      <rPr>
        <charset val="1"/>
        <family val="2"/>
        <sz val="14"/>
        <rFont val="Arial"/>
      </rPr>
      <t>Eléments de CET1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exclus des fonds propres.</t>
    </r>
  </si>
  <si>
    <t>B. Retrait progressif des éléments de fonds propres complémentaires (T2) non admissibles</t>
  </si>
  <si>
    <t>DT010</t>
  </si>
  <si>
    <r>
      <rPr>
        <charset val="1"/>
        <family val="2"/>
        <sz val="14"/>
        <rFont val="Arial"/>
      </rPr>
      <t>Dettes subordonnées en circulation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2018* dont ;</t>
    </r>
  </si>
  <si>
    <t>(j)</t>
  </si>
  <si>
    <t>DT011</t>
  </si>
  <si>
    <r>
      <rPr>
        <charset val="1"/>
        <family val="2"/>
        <sz val="14"/>
        <rFont val="Arial"/>
      </rPr>
      <t>Part des dettes subordonnées en circulation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2018* non admissibles comme  élément de fonds propres complémentaires (T2)</t>
    </r>
  </si>
  <si>
    <t>(k)</t>
  </si>
  <si>
    <t>DT012</t>
  </si>
  <si>
    <t xml:space="preserve">
Ecarts de réévaluation
</t>
  </si>
  <si>
    <t>(l)</t>
  </si>
  <si>
    <t>DT013</t>
  </si>
  <si>
    <r>
      <rPr>
        <charset val="1"/>
        <family val="2"/>
        <sz val="14"/>
        <rFont val="Arial"/>
      </rPr>
      <t>Autres éléments de fonds propres complémentaires (T2)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</t>
    </r>
  </si>
  <si>
    <t>(m)</t>
  </si>
  <si>
    <t>DT014</t>
  </si>
  <si>
    <r>
      <rPr>
        <charset val="1"/>
        <family val="2"/>
        <sz val="14"/>
        <rFont val="Arial"/>
      </rPr>
      <t>Total des éléments de fonds propres complémentaires (T2)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</t>
    </r>
  </si>
  <si>
    <t>(n)=k+l+m</t>
  </si>
  <si>
    <t>DT015</t>
  </si>
  <si>
    <t>Montant maximal éléments de fonds propres complémentaires (T2) non admissibles qui peut être inclus dans les fonds propres</t>
  </si>
  <si>
    <t>(o)=nxa</t>
  </si>
  <si>
    <t>DT016</t>
  </si>
  <si>
    <t>Montant réel des éléments de fonds propres complémentaires (T2) non admissibles en circulation à la date de déclaration**</t>
  </si>
  <si>
    <r>
      <rPr>
        <b/>
        <charset val="1"/>
        <family val="2"/>
        <sz val="14"/>
        <rFont val="Arial"/>
      </rPr>
      <t>Eléments de fonds propres complémentaires (T2) non admissibles au 1</t>
    </r>
    <r>
      <rPr>
        <b/>
        <charset val="1"/>
        <family val="2"/>
        <vertAlign val="superscript"/>
        <sz val="14"/>
        <rFont val="Arial"/>
      </rPr>
      <t>er</t>
    </r>
    <r>
      <rPr>
        <b/>
        <charset val="1"/>
        <family val="2"/>
        <sz val="14"/>
        <rFont val="Arial"/>
      </rPr>
      <t xml:space="preserve"> janvier 2018 et inclus dans les fonds propres</t>
    </r>
  </si>
  <si>
    <t>(q)=min(o,p)</t>
  </si>
  <si>
    <r>
      <rPr>
        <charset val="1"/>
        <family val="2"/>
        <sz val="14"/>
        <rFont val="Arial"/>
      </rPr>
      <t>* après amortissement, s'il y a lieu, jusqu'au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</t>
    </r>
  </si>
  <si>
    <t>** après amortissement, s'il y a lieu, jusqu'à la date de déclaration</t>
  </si>
  <si>
    <t>CALCUL DES FONDS PROPRES SUR BASE CONSOLIDEE</t>
  </si>
  <si>
    <t>FPC01</t>
  </si>
  <si>
    <t>FPC02</t>
  </si>
  <si>
    <t>FPC03</t>
  </si>
  <si>
    <t>FPC04</t>
  </si>
  <si>
    <t>FPC05</t>
  </si>
  <si>
    <t>FPC06</t>
  </si>
  <si>
    <t>FPC07</t>
  </si>
  <si>
    <t>INT16</t>
  </si>
  <si>
    <t>Intérêts minoritaires à inclure dans le CET1</t>
  </si>
  <si>
    <t>FPC08</t>
  </si>
  <si>
    <t>FPC09</t>
  </si>
  <si>
    <t>FPC10</t>
  </si>
  <si>
    <t>IM014</t>
  </si>
  <si>
    <t>(-) Goodwill (net d'impôts différés passif)</t>
  </si>
  <si>
    <t>FPC11</t>
  </si>
  <si>
    <t>FPC12</t>
  </si>
  <si>
    <t>FPC13</t>
  </si>
  <si>
    <t>FPC14</t>
  </si>
  <si>
    <t>FPC15</t>
  </si>
  <si>
    <t>FPC16</t>
  </si>
  <si>
    <t>FPC20</t>
  </si>
  <si>
    <t>FPC21</t>
  </si>
  <si>
    <t>FPC22</t>
  </si>
  <si>
    <t>FPC23</t>
  </si>
  <si>
    <t>FPC24</t>
  </si>
  <si>
    <t>FPC25</t>
  </si>
  <si>
    <r>
      <rPr>
        <charset val="1"/>
        <family val="2"/>
        <sz val="14"/>
        <rFont val="Arial"/>
      </rPr>
      <t>Instruments de CET1 non admissibles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éligibles dans les fonds propres fonds de base additionnels (AT1)</t>
    </r>
  </si>
  <si>
    <t>INT22</t>
  </si>
  <si>
    <t>Intérêts minoritaires à inclure dans l'AT1</t>
  </si>
  <si>
    <t>FPC26</t>
  </si>
  <si>
    <t>FPC27</t>
  </si>
  <si>
    <t>FPC28</t>
  </si>
  <si>
    <t>FPC29</t>
  </si>
  <si>
    <t>FPC30</t>
  </si>
  <si>
    <t>FPC31</t>
  </si>
  <si>
    <t>FPC32</t>
  </si>
  <si>
    <t>FPC33</t>
  </si>
  <si>
    <t>FPC34</t>
  </si>
  <si>
    <t>FPC35</t>
  </si>
  <si>
    <t>FPC36</t>
  </si>
  <si>
    <t>FPC37</t>
  </si>
  <si>
    <t>FPC38</t>
  </si>
  <si>
    <t>INT28</t>
  </si>
  <si>
    <t>Intérêts minoritaires à inclure dans le T2</t>
  </si>
  <si>
    <t>FPC39</t>
  </si>
  <si>
    <t>FPC40</t>
  </si>
  <si>
    <t>FPC41</t>
  </si>
  <si>
    <t xml:space="preserve"> FONDS PROPRES EFFECTIFS</t>
  </si>
  <si>
    <t>Poste mémoire - Déductions applicables aux fonds propres sur base consolidée</t>
  </si>
  <si>
    <t>(c)= a+b</t>
  </si>
  <si>
    <t>IM013</t>
  </si>
  <si>
    <t>Goodwill</t>
  </si>
  <si>
    <t>ID002</t>
  </si>
  <si>
    <t>Goodwill (net d'impôts différés passif)</t>
  </si>
  <si>
    <t>(g)= e+f</t>
  </si>
  <si>
    <t>FPC17</t>
  </si>
  <si>
    <t>FPC18</t>
  </si>
  <si>
    <t>FPC19</t>
  </si>
  <si>
    <t xml:space="preserve">(af)=ac-ae     </t>
  </si>
  <si>
    <t>DISPOSITIONS TRANSITOIRES SUR BASE CONSOLIDEE : RECLASSEMENT ET RETRAIT PROGRESSIF DES ELEMENTS DE FONDS PROPRES NON ADMISSIBLES</t>
  </si>
  <si>
    <t>Capital social dont ;</t>
  </si>
  <si>
    <t>Part du capital social non admissibles comme  éléments de CET1 au 1er janvier 2018 et les primes d'émission y relatives</t>
  </si>
  <si>
    <t>INT29</t>
  </si>
  <si>
    <r>
      <rPr>
        <charset val="1"/>
        <family val="2"/>
        <sz val="14"/>
        <rFont val="Arial"/>
      </rPr>
      <t>Instruments de fonds propres de base durs  émis par des filiales consolidées à des tiers en circulation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non admissibles comme  éléments de CET1</t>
    </r>
  </si>
  <si>
    <t>g=c+d+e+f</t>
  </si>
  <si>
    <t>h=gxa</t>
  </si>
  <si>
    <t>j=min(h;i)</t>
  </si>
  <si>
    <r>
      <rPr>
        <charset val="1"/>
        <family val="2"/>
        <sz val="14"/>
        <rFont val="Arial"/>
      </rPr>
      <t>Emprunts subordonnés en circulation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2018* dont ;</t>
    </r>
  </si>
  <si>
    <r>
      <rPr>
        <charset val="1"/>
        <family val="2"/>
        <sz val="14"/>
        <rFont val="Arial"/>
      </rPr>
      <t>Part des emprunts subordonnés en circulation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2018* non admissibles comme  élément de fonds propres complémentaires (T2)</t>
    </r>
  </si>
  <si>
    <t>INT30</t>
  </si>
  <si>
    <r>
      <rPr>
        <charset val="1"/>
        <family val="2"/>
        <sz val="14"/>
        <rFont val="Arial"/>
      </rPr>
      <t>Emprunts subordonnés  émis par des filiales consolidées à des tiers en circulation au 1</t>
    </r>
    <r>
      <rPr>
        <charset val="1"/>
        <family val="2"/>
        <vertAlign val="superscript"/>
        <sz val="14"/>
        <rFont val="Arial"/>
      </rPr>
      <t>er</t>
    </r>
    <r>
      <rPr>
        <charset val="1"/>
        <family val="2"/>
        <sz val="14"/>
        <rFont val="Arial"/>
      </rPr>
      <t xml:space="preserve"> janvier 2018 et non admissibles comme  fonds propres T2</t>
    </r>
  </si>
  <si>
    <t>(n)</t>
  </si>
  <si>
    <t>(p)=l+m+n+o</t>
  </si>
  <si>
    <t>(q)=pxa</t>
  </si>
  <si>
    <t>s=min(q,r)</t>
  </si>
  <si>
    <t>FONDS PROPRES ADMISSIBLES EMIS PAR DES FILIALES ET DETENUS PAR LES INTERETS MINORITAIRES</t>
  </si>
  <si>
    <t>Total</t>
  </si>
  <si>
    <t>Fil. 1</t>
  </si>
  <si>
    <t>Fil. 2</t>
  </si>
  <si>
    <t>Fil. 3</t>
  </si>
  <si>
    <t>Fil. 4</t>
  </si>
  <si>
    <t>Fil. 5</t>
  </si>
  <si>
    <t>Fil. 6</t>
  </si>
  <si>
    <t>Fil. 7</t>
  </si>
  <si>
    <t>Fil. 8</t>
  </si>
  <si>
    <t>Fil. 9</t>
  </si>
  <si>
    <t>Fil. 10</t>
  </si>
  <si>
    <t>Fil. 11</t>
  </si>
  <si>
    <t>Fil. 12</t>
  </si>
  <si>
    <t>Fil. 13</t>
  </si>
  <si>
    <t>Fil. 14</t>
  </si>
  <si>
    <t>Fil. 15</t>
  </si>
  <si>
    <t>Fil. 16</t>
  </si>
  <si>
    <t>Fil. 17</t>
  </si>
  <si>
    <t>Fil. 18</t>
  </si>
  <si>
    <t>Fil. 19</t>
  </si>
  <si>
    <t>Fil. 20</t>
  </si>
  <si>
    <t>Fil. 21</t>
  </si>
  <si>
    <t>Fil. 22</t>
  </si>
  <si>
    <t>Fil. 23</t>
  </si>
  <si>
    <t>Fil. 24</t>
  </si>
  <si>
    <t>Fil. 25</t>
  </si>
  <si>
    <t>Fil. 26</t>
  </si>
  <si>
    <t>Fil. 27</t>
  </si>
  <si>
    <t>Fil. 28</t>
  </si>
  <si>
    <t>Fil. 29</t>
  </si>
  <si>
    <t>Fil. 30</t>
  </si>
  <si>
    <t>Fil. 31</t>
  </si>
  <si>
    <t>Fil. 32</t>
  </si>
  <si>
    <t>Fil. 33</t>
  </si>
  <si>
    <t>Fil. 34</t>
  </si>
  <si>
    <t>Fil. 35</t>
  </si>
  <si>
    <t>Fil. 36</t>
  </si>
  <si>
    <t>Fil. 37</t>
  </si>
  <si>
    <t>Fil. 38</t>
  </si>
  <si>
    <t>Fil. 39</t>
  </si>
  <si>
    <t>Fil. 40</t>
  </si>
  <si>
    <t>Fil. 41</t>
  </si>
  <si>
    <t>Fil. 42</t>
  </si>
  <si>
    <t>Fil. 43</t>
  </si>
  <si>
    <t>Fil. 44</t>
  </si>
  <si>
    <t>Fil. 45</t>
  </si>
  <si>
    <t>Fil. 46</t>
  </si>
  <si>
    <t>Fil. 47</t>
  </si>
  <si>
    <t>Fil. 48</t>
  </si>
  <si>
    <t>Fil. 49</t>
  </si>
  <si>
    <t>Fil. 50</t>
  </si>
  <si>
    <t>INT01</t>
  </si>
  <si>
    <t>Total  des fonds propres de base durs (CET1) de la filiale, nets des déductions</t>
  </si>
  <si>
    <t>INT02</t>
  </si>
  <si>
    <t>Total capital social libéré de la filiale satisfaisant aux critères d'inclusion dans le CET1, plus les réserves, le report à nouveau créditeur et le résultat bénéficiaire appartenant au groupe, avant toutes les déductions</t>
  </si>
  <si>
    <t>INT03</t>
  </si>
  <si>
    <t>Total capital social libéré de la filiale satisfaisant aux critères d'inclusion dans le CET1, plus les réserves, le report à nouveau créditeur et le résultat bénéficiaire appartenant aux actionnaires minoritaires, avant toutes les déductions</t>
  </si>
  <si>
    <t>INT04</t>
  </si>
  <si>
    <t>Total des fonds propres de base T1 (fonds propres CET1 + fonds propres AT1) de la filiale, après les déductions</t>
  </si>
  <si>
    <t>INT05</t>
  </si>
  <si>
    <t>Total des fonds propres de base T1 de la filiale appartenant au groupe avant toutes les déductions</t>
  </si>
  <si>
    <t>INT06</t>
  </si>
  <si>
    <t>Total des fonds propres de base T1 de la filiale appartenant aux actionnaires minoritaires, avant toutes les déductions</t>
  </si>
  <si>
    <t>INT07</t>
  </si>
  <si>
    <t>Total des fonds propres (fonds propres CET1 + fonds propres AT1 + fonds propres complémentaires T2) de la filiale, après les déductions</t>
  </si>
  <si>
    <t>INT08</t>
  </si>
  <si>
    <t>Total des fonds propres de la filiale appartenant au groupe, avant toutes les déductions</t>
  </si>
  <si>
    <t>INT09</t>
  </si>
  <si>
    <t>Total des fonds propres de la filiale appartenant aux actionnaires minoritaires, avant toutes les déductions</t>
  </si>
  <si>
    <t>INT10</t>
  </si>
  <si>
    <t>Total des actifs pondérés des risques de la filiale</t>
  </si>
  <si>
    <t>INT11</t>
  </si>
  <si>
    <t>Actifs pondérés des risques du groupe consolidé se rapportant à la filiale (i.e. actifs pondérés des risques de la filiale, à l'exclusion des transactions intragroupes)</t>
  </si>
  <si>
    <t xml:space="preserve">Intérêts minoritaires (CET1) </t>
  </si>
  <si>
    <t>INT12</t>
  </si>
  <si>
    <t>l=jxratio*</t>
  </si>
  <si>
    <t>Exigence minimale de fonds propres CET1 de la filiale (incluant le coussin de conservation)</t>
  </si>
  <si>
    <t>INT13</t>
  </si>
  <si>
    <t>m=kxratio*</t>
  </si>
  <si>
    <t>Part de la filiale dans les exigences minimales de fonds propres CET1 du groupe consolidé (incluant le coussin de conservation)</t>
  </si>
  <si>
    <t>INT14</t>
  </si>
  <si>
    <t>n=a-[min(l,m)]</t>
  </si>
  <si>
    <t>Fonds propres CET1 excédentaires de la filiale</t>
  </si>
  <si>
    <t>INT15</t>
  </si>
  <si>
    <t>o=nxc/(b+c)</t>
  </si>
  <si>
    <t>Fonds propres CET1 excédentaires appartenant aux actionnaires minoritaires</t>
  </si>
  <si>
    <t>p=[max (0,c-o)]</t>
  </si>
  <si>
    <t>Intérêts minoritaires à inclure dans le CET1 consolidé ou sous-consolidé</t>
  </si>
  <si>
    <t xml:space="preserve">Intérêts minoritaires (AT1) </t>
  </si>
  <si>
    <t>INT17</t>
  </si>
  <si>
    <t>q=jxratio**</t>
  </si>
  <si>
    <t>Exigence minimale de fonds propres T1 de la filiale (incluant le coussin de conservation)</t>
  </si>
  <si>
    <t>INT18</t>
  </si>
  <si>
    <t>r=kxratio**</t>
  </si>
  <si>
    <t>Part de la filiale dans les exigences minimales de fonds propres T1 du groupe consolidé (incluant le coussin de conservation)</t>
  </si>
  <si>
    <t>INT19</t>
  </si>
  <si>
    <t>s=d-[min(q,r)]</t>
  </si>
  <si>
    <t>Fonds propres T1 excédentaires de la filiale</t>
  </si>
  <si>
    <t>INT20</t>
  </si>
  <si>
    <t>t=sxf/(e+f)</t>
  </si>
  <si>
    <t>Fonds propres T1 excédentaires appartenant aux actionnaires minoritaires</t>
  </si>
  <si>
    <t>INT21</t>
  </si>
  <si>
    <t>u=[max (0,f-t)]</t>
  </si>
  <si>
    <t>Intérêts minoritaires à inclure dans le T1 consolidé ou sous-consolidé</t>
  </si>
  <si>
    <t>v=u-p</t>
  </si>
  <si>
    <t>Intérêts minoritaires à inclure dans l'AT1 consolidé ou sous-consolidé</t>
  </si>
  <si>
    <t xml:space="preserve">Intérêts minoritaires (T2) </t>
  </si>
  <si>
    <t>INT23</t>
  </si>
  <si>
    <t>w=jxratio***</t>
  </si>
  <si>
    <t>Exigence minimale de fonds propres de la filiale (incluant le coussin de conservation)</t>
  </si>
  <si>
    <t>INT24</t>
  </si>
  <si>
    <t>x=kxratio***</t>
  </si>
  <si>
    <t>Part de la filiale dans les exigences minimales de fonds propres totaux du groupe consolidé (incluant le coussin de conservation)</t>
  </si>
  <si>
    <t>INT25</t>
  </si>
  <si>
    <t>y=g-[min(w,x)]</t>
  </si>
  <si>
    <t>Fonds propres totaux excédentaires de la filiale</t>
  </si>
  <si>
    <t>INT26</t>
  </si>
  <si>
    <t>z=yxi/(h+i)</t>
  </si>
  <si>
    <t>Fonds propres totaux excédentaires appartenant aux actionnaires minoritaires</t>
  </si>
  <si>
    <t>INT27</t>
  </si>
  <si>
    <t>aa=[max (0,i-z)]</t>
  </si>
  <si>
    <t>Intérêts minoritaires à inclure dans les fonds propres totaux consolidés ou sous-consolidés</t>
  </si>
  <si>
    <t>ab=aa-v-p</t>
  </si>
  <si>
    <t>Intérêts minoritaires à inclure dans le T2 consolidé ou sous-consolidé</t>
  </si>
  <si>
    <t>* ratio minimal CET1 (incluant le coussin de conservation)</t>
  </si>
  <si>
    <t>** ratio minimal T1 (incluant le coussin de conservation)</t>
  </si>
  <si>
    <t>*** ratio minimal de solvabilité (incluant le coussin de conservation)</t>
  </si>
  <si>
    <t>TOTAL DES ACTIFS PONDERES DES RISQUES</t>
  </si>
  <si>
    <t>A. Risque de crédit</t>
  </si>
  <si>
    <t>RC089</t>
  </si>
  <si>
    <t>Expositions sur les souverains</t>
  </si>
  <si>
    <t>RC114</t>
  </si>
  <si>
    <t>Expositions sur les organismes publics hors administration  centrale</t>
  </si>
  <si>
    <t>RC139</t>
  </si>
  <si>
    <t>Expositions sur les Banques Multilatérales de développement</t>
  </si>
  <si>
    <t>RC164</t>
  </si>
  <si>
    <t>Expositions sur les institutions financières</t>
  </si>
  <si>
    <t>RC193</t>
  </si>
  <si>
    <t>Expositions sur les entreprises</t>
  </si>
  <si>
    <t>RC219</t>
  </si>
  <si>
    <t>Expositions sur la clientèle de détail</t>
  </si>
  <si>
    <t>RC239</t>
  </si>
  <si>
    <t>Expositions sur les prêts garantis par l'immobilier résidentiel</t>
  </si>
  <si>
    <t>RC261</t>
  </si>
  <si>
    <t>Expositions sur les prêts garantis par l'immobilier commercial</t>
  </si>
  <si>
    <t>RC276</t>
  </si>
  <si>
    <t>Autres actifs</t>
  </si>
  <si>
    <t>APR01</t>
  </si>
  <si>
    <t>Total – Actifs pondérés du risque de crédit</t>
  </si>
  <si>
    <t>B. Risque de marché</t>
  </si>
  <si>
    <t>RM044</t>
  </si>
  <si>
    <t>APR au titre du risque de taux d'intérêt du portefeuille de négociation</t>
  </si>
  <si>
    <t>RM057</t>
  </si>
  <si>
    <t>APR au titre du risque de positions sur titre de propriété</t>
  </si>
  <si>
    <t>RM067</t>
  </si>
  <si>
    <t>APR au titre du risque de change</t>
  </si>
  <si>
    <t>RM123</t>
  </si>
  <si>
    <t>APR au titre du risque de positions sur produits de base</t>
  </si>
  <si>
    <t>APR02</t>
  </si>
  <si>
    <t>Total – Actifs pondérés du risque de marché</t>
  </si>
  <si>
    <t>C. Risque opérationnel</t>
  </si>
  <si>
    <t>Actifs pondérés du risque selon ;</t>
  </si>
  <si>
    <t>RO010</t>
  </si>
  <si>
    <t xml:space="preserve">     - l'approche indicateur de base</t>
  </si>
  <si>
    <t>RO037</t>
  </si>
  <si>
    <t xml:space="preserve">     - l'approche standard</t>
  </si>
  <si>
    <t>APR03</t>
  </si>
  <si>
    <t>Total – Actifs pondérés du risque opérationnel</t>
  </si>
  <si>
    <r>
      <rPr>
        <b/>
        <charset val="1"/>
        <family val="2"/>
        <sz val="12"/>
        <rFont val="Arial"/>
      </rPr>
      <t xml:space="preserve">TOTAL ACTIFS PONDERES DES RISQUES </t>
    </r>
    <r>
      <rPr>
        <b/>
        <charset val="1"/>
        <family val="2"/>
        <strike/>
        <sz val="12"/>
        <rFont val="Arial"/>
      </rPr>
      <t>(</t>
    </r>
    <r>
      <rPr>
        <b/>
        <charset val="1"/>
        <family val="2"/>
        <sz val="12"/>
        <rFont val="Arial"/>
      </rPr>
      <t>APR)</t>
    </r>
  </si>
  <si>
    <t>VENTILATION DU BILAN ENTRE LES DIFFERENTES CATEGORIES D'EXPOSITION</t>
  </si>
  <si>
    <t>Expositions brutes</t>
  </si>
  <si>
    <t xml:space="preserve"> (-) Provisions</t>
  </si>
  <si>
    <t xml:space="preserve"> (-) Eléments déduits des fonds propres</t>
  </si>
  <si>
    <t>Expositions nettes</t>
  </si>
  <si>
    <t>Dont ; Créances en souffrances</t>
  </si>
  <si>
    <t>Dont ; Créances à risque élevé</t>
  </si>
  <si>
    <t>(f) = a + d + e</t>
  </si>
  <si>
    <t>Expositions au bilan soumises au risque de crédit</t>
  </si>
  <si>
    <t>RC001</t>
  </si>
  <si>
    <t>RC002</t>
  </si>
  <si>
    <t>Expositions sur les organismes publics hors administration centrale</t>
  </si>
  <si>
    <t>RC003</t>
  </si>
  <si>
    <t>Expositions sur les Banques Multilatérales de Développement</t>
  </si>
  <si>
    <t>RC004</t>
  </si>
  <si>
    <t>RC005</t>
  </si>
  <si>
    <t>Expositions sur les entreprises; dont :</t>
  </si>
  <si>
    <t>RC006</t>
  </si>
  <si>
    <t xml:space="preserve">     - PME assimilables à des entreprises</t>
  </si>
  <si>
    <t>RC007</t>
  </si>
  <si>
    <t xml:space="preserve">     - Autres entreprises</t>
  </si>
  <si>
    <t>RC008</t>
  </si>
  <si>
    <t>Expositions sur la clientèle de détail; dont :</t>
  </si>
  <si>
    <t>RC009</t>
  </si>
  <si>
    <t xml:space="preserve">     - PME assimilables à la clientèle de détail</t>
  </si>
  <si>
    <t>RC010</t>
  </si>
  <si>
    <t xml:space="preserve">     - Autres clientèle de détail</t>
  </si>
  <si>
    <t>RC011</t>
  </si>
  <si>
    <t>RC012</t>
  </si>
  <si>
    <t>Expositions sur les prêts garantis par l'immobilier commercial; dont :</t>
  </si>
  <si>
    <t>RC013</t>
  </si>
  <si>
    <t xml:space="preserve">     - PME</t>
  </si>
  <si>
    <t>RC014</t>
  </si>
  <si>
    <t xml:space="preserve">     - Autres expositions sur les prêts garantis par l'immobilier commercial</t>
  </si>
  <si>
    <t>RC015</t>
  </si>
  <si>
    <t>RC016</t>
  </si>
  <si>
    <t>TOTAL EXPOSITIONS AU BILAN</t>
  </si>
  <si>
    <t>VENTILATION DES ENGAGEMENTS HORS BILAN  ENTRE LES DIFFERENTES CATEGORIES D'EXPOSITION (HORS DERIVES)</t>
  </si>
  <si>
    <t>Expositions brutes avant FCEC</t>
  </si>
  <si>
    <t>Répartition des expositions brutes par FCEC applicables</t>
  </si>
  <si>
    <t>Expositions brutes après FCEC</t>
  </si>
  <si>
    <t xml:space="preserve">(i) = a - (0 ,9 x d) - (0,8 x e) - (0,5 x f) - (0,25 x g)  </t>
  </si>
  <si>
    <t>(k) = i + j</t>
  </si>
  <si>
    <t>Engagement de financement soumis au risque de crédit</t>
  </si>
  <si>
    <t>RC017</t>
  </si>
  <si>
    <t>RC018</t>
  </si>
  <si>
    <t>RC019</t>
  </si>
  <si>
    <t>RC020</t>
  </si>
  <si>
    <t>RC021</t>
  </si>
  <si>
    <t>RC022</t>
  </si>
  <si>
    <t>RC023</t>
  </si>
  <si>
    <t>RC024</t>
  </si>
  <si>
    <t>RC025</t>
  </si>
  <si>
    <t>RC026</t>
  </si>
  <si>
    <t>RC027</t>
  </si>
  <si>
    <t>RC028</t>
  </si>
  <si>
    <t>RC029</t>
  </si>
  <si>
    <t>RC030</t>
  </si>
  <si>
    <t xml:space="preserve">     - Autres expositions sur les prêts garantis par 
        l'immobilier commercial</t>
  </si>
  <si>
    <t>RC031</t>
  </si>
  <si>
    <t>RC032</t>
  </si>
  <si>
    <t>TOTAL EXPOSITIONS SUR ENGAGEMENTS DE FINANCEMENT</t>
  </si>
  <si>
    <t xml:space="preserve">Autres engagements hors-bilan soumis au risque de 
crédit (à l'exception des engagements sur dérivés 
soumis au risque de contrepartie)</t>
  </si>
  <si>
    <t>RC033</t>
  </si>
  <si>
    <t>RC034</t>
  </si>
  <si>
    <t>RC035</t>
  </si>
  <si>
    <t>RC036</t>
  </si>
  <si>
    <t>RC037</t>
  </si>
  <si>
    <t>RC038</t>
  </si>
  <si>
    <t>RC039</t>
  </si>
  <si>
    <t>RC040</t>
  </si>
  <si>
    <t>RC041</t>
  </si>
  <si>
    <t>RC042</t>
  </si>
  <si>
    <t>RC043</t>
  </si>
  <si>
    <t>RC044</t>
  </si>
  <si>
    <t>RC045</t>
  </si>
  <si>
    <t>RC046</t>
  </si>
  <si>
    <t>RC047</t>
  </si>
  <si>
    <t>RC048</t>
  </si>
  <si>
    <t>TOTAL EXPOSITIONS SUR LES AUTRES ENGAGEMENTS HORS-BILAN (EXCLUANT LES DERIVES)</t>
  </si>
  <si>
    <t>EXPOSITIONS AU RISQUE DE CONTREPARTIE</t>
  </si>
  <si>
    <t>Coût de remplacement au prix du marché</t>
  </si>
  <si>
    <t>Montant notionnel des contrats</t>
  </si>
  <si>
    <t>Pondération affectée au montant notionnel des contrats</t>
  </si>
  <si>
    <t xml:space="preserve">Montant notionnel des contrats pondéré        </t>
  </si>
  <si>
    <t xml:space="preserve">Expositions </t>
  </si>
  <si>
    <t xml:space="preserve">Ventilation des expositions brutes par catégorie </t>
  </si>
  <si>
    <t>Souverains</t>
  </si>
  <si>
    <t>Organismes publics hors administration  centrale</t>
  </si>
  <si>
    <t>Banques Multilatérales de développement</t>
  </si>
  <si>
    <t>Institutions financières</t>
  </si>
  <si>
    <t>Entreprises</t>
  </si>
  <si>
    <t>d=b x c</t>
  </si>
  <si>
    <t>e= a + d</t>
  </si>
  <si>
    <t>Engagements sur instruments de taux d'intérêt</t>
  </si>
  <si>
    <t>RC049</t>
  </si>
  <si>
    <r>
      <rPr>
        <charset val="1"/>
        <family val="2"/>
        <sz val="14"/>
        <rFont val="Arial"/>
      </rPr>
      <t xml:space="preserve">        - Durée </t>
    </r>
    <r>
      <rPr>
        <u/>
        <charset val="1"/>
        <family val="2"/>
        <sz val="14"/>
        <rFont val="Arial"/>
      </rPr>
      <t>&lt;</t>
    </r>
    <r>
      <rPr>
        <charset val="1"/>
        <family val="2"/>
        <sz val="14"/>
        <rFont val="Arial"/>
      </rPr>
      <t xml:space="preserve"> 1 an</t>
    </r>
  </si>
  <si>
    <t>0</t>
  </si>
  <si>
    <t>RC050</t>
  </si>
  <si>
    <t xml:space="preserve">        - Durée &gt; 1 an jusqu'à 5 ans</t>
  </si>
  <si>
    <t>0,5 %</t>
  </si>
  <si>
    <t>RC051</t>
  </si>
  <si>
    <t xml:space="preserve">        - Durée &gt; 5 ans</t>
  </si>
  <si>
    <t>1,5 %</t>
  </si>
  <si>
    <t>Engagements sur instruments de taux de change et l'or</t>
  </si>
  <si>
    <t>RC052</t>
  </si>
  <si>
    <t>1%</t>
  </si>
  <si>
    <t>RC053</t>
  </si>
  <si>
    <t>5 %</t>
  </si>
  <si>
    <t>RC054</t>
  </si>
  <si>
    <t>7,5 %</t>
  </si>
  <si>
    <t>Engagements sur titres de propriété</t>
  </si>
  <si>
    <t>RC055</t>
  </si>
  <si>
    <t>6%</t>
  </si>
  <si>
    <t>RC056</t>
  </si>
  <si>
    <t>8%</t>
  </si>
  <si>
    <t>RC057</t>
  </si>
  <si>
    <t>Engagements sur métaux précieux (excepté l'or)</t>
  </si>
  <si>
    <t>RC058</t>
  </si>
  <si>
    <t>7%</t>
  </si>
  <si>
    <t>RC059</t>
  </si>
  <si>
    <t>RC060</t>
  </si>
  <si>
    <t>Engagements sur autres produits de base</t>
  </si>
  <si>
    <t>RC061</t>
  </si>
  <si>
    <t>10%</t>
  </si>
  <si>
    <t>RC062</t>
  </si>
  <si>
    <t>12%</t>
  </si>
  <si>
    <t>RC063</t>
  </si>
  <si>
    <t>RC064</t>
  </si>
  <si>
    <t>TOTAL</t>
  </si>
  <si>
    <t xml:space="preserve">RISQUE DE CREDIT : EXPOSITIONS SUR LES SOUVERAINS   </t>
  </si>
  <si>
    <t>Coefficient de pondération</t>
  </si>
  <si>
    <t>Avant ARC</t>
  </si>
  <si>
    <t>Ajustements pour ARC (approche simple)</t>
  </si>
  <si>
    <t>Ajustements pour ARC (approche globale)</t>
  </si>
  <si>
    <t>Après ARC</t>
  </si>
  <si>
    <t>Actifs pondérés des risques</t>
  </si>
  <si>
    <t xml:space="preserve"> (+/-) Garanties
</t>
  </si>
  <si>
    <t xml:space="preserve">  (+/-) Dérivés de crédit
</t>
  </si>
  <si>
    <r>
      <rPr>
        <b/>
        <charset val="1"/>
        <family val="2"/>
        <sz val="14"/>
        <rFont val="Arial"/>
      </rPr>
      <t xml:space="preserve"> (+/-) Sûretés financières 
</t>
    </r>
  </si>
  <si>
    <t>Ajustement lié à la valeur de l'exposition</t>
  </si>
  <si>
    <t xml:space="preserve"> (-) Valeur ajustée de la sûreté</t>
  </si>
  <si>
    <t>(h) = (b+c+d+e+f+g)</t>
  </si>
  <si>
    <t>(i) = h x a</t>
  </si>
  <si>
    <t>Expositions au bilan</t>
  </si>
  <si>
    <t>RC065</t>
  </si>
  <si>
    <t>RC066</t>
  </si>
  <si>
    <t>RC067</t>
  </si>
  <si>
    <t>RC068</t>
  </si>
  <si>
    <t>RC069</t>
  </si>
  <si>
    <t>RC070</t>
  </si>
  <si>
    <t>Engagements de financement (hors bilan)</t>
  </si>
  <si>
    <t>RC071</t>
  </si>
  <si>
    <t>RC072</t>
  </si>
  <si>
    <t>RC073</t>
  </si>
  <si>
    <t>RC074</t>
  </si>
  <si>
    <t>RC075</t>
  </si>
  <si>
    <t>RC076</t>
  </si>
  <si>
    <t>Autres engagements de hors-bilan</t>
  </si>
  <si>
    <t>RC077</t>
  </si>
  <si>
    <t>RC078</t>
  </si>
  <si>
    <t>RC079</t>
  </si>
  <si>
    <t>RC080</t>
  </si>
  <si>
    <t>RC081</t>
  </si>
  <si>
    <t>RC082</t>
  </si>
  <si>
    <t>Expositions soumises au risque de contrepartie</t>
  </si>
  <si>
    <t>RC083</t>
  </si>
  <si>
    <t>RC084</t>
  </si>
  <si>
    <t>RC085</t>
  </si>
  <si>
    <t>RC086</t>
  </si>
  <si>
    <t>RC087</t>
  </si>
  <si>
    <t>RC088</t>
  </si>
  <si>
    <t>TOTAL EXPOSITIONS SUR LES SOUVERAINS</t>
  </si>
  <si>
    <t xml:space="preserve">RISQUE DE CREDIT : EXPOSITIONS SUR LES ORGANISMES PUBLICS HORS ADMINISTRATION CENTRALE (OP)                         </t>
  </si>
  <si>
    <r>
      <rPr>
        <b/>
        <charset val="1"/>
        <family val="2"/>
        <sz val="14"/>
        <rFont val="Arial"/>
      </rPr>
      <t xml:space="preserve"> (+/-) Sûretés financières </t>
    </r>
    <r>
      <rPr>
        <b/>
        <i/>
        <charset val="1"/>
        <sz val="14"/>
        <rFont val="Arial1"/>
      </rPr>
      <t xml:space="preserve">
</t>
    </r>
  </si>
  <si>
    <t>RC090</t>
  </si>
  <si>
    <t>RC091</t>
  </si>
  <si>
    <t>RC092</t>
  </si>
  <si>
    <t>RC093</t>
  </si>
  <si>
    <t>RC094</t>
  </si>
  <si>
    <t>RC095</t>
  </si>
  <si>
    <t>RC096</t>
  </si>
  <si>
    <t>RC097</t>
  </si>
  <si>
    <t>RC098</t>
  </si>
  <si>
    <t>RC099</t>
  </si>
  <si>
    <t>RC100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</si>
  <si>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</si>
  <si>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</si>
  <si>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</si>
  <si>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</si>
  <si>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</si>
  <si>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</si>
  <si>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</si>
  <si>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</si>
  <si>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RC109</t>
  </si>
  <si>
    <t>RC110</t>
  </si>
  <si>
    <t>RC111</t>
  </si>
  <si>
    <t>RC112</t>
  </si>
  <si>
    <t>RC113</t>
  </si>
  <si>
    <t>TOTAL EXPOSITIONS SUR LES OP</t>
  </si>
  <si>
    <t xml:space="preserve">RISQUE DE CREDIT : EXPOSITIONS SUR LES BANQUES MULTILATERALES DE DEVELOPPEMENT (BMD)      </t>
  </si>
  <si>
    <t xml:space="preserve"> (+/-) Sûretés financières </t>
  </si>
  <si>
    <t>RC115</t>
  </si>
  <si>
    <t>RC116</t>
  </si>
  <si>
    <t>RC117</t>
  </si>
  <si>
    <t>RC118</t>
  </si>
  <si>
    <t>RC119</t>
  </si>
  <si>
    <t>RC120</t>
  </si>
  <si>
    <t>RC121</t>
  </si>
  <si>
    <t>RC122</t>
  </si>
  <si>
    <t>RC123</t>
  </si>
  <si>
    <t>RC124</t>
  </si>
  <si>
    <t>RC125</t>
  </si>
  <si>
    <t>RC126</t>
  </si>
  <si>
    <t>RC127</t>
  </si>
  <si>
    <t>RC128</t>
  </si>
  <si>
    <t>RC129</t>
  </si>
  <si>
    <t>RC130</t>
  </si>
  <si>
    <t>RC131</t>
  </si>
  <si>
    <t>RC132</t>
  </si>
  <si>
    <t>RC133</t>
  </si>
  <si>
    <t>RC134</t>
  </si>
  <si>
    <t>RC135</t>
  </si>
  <si>
    <t>RC136</t>
  </si>
  <si>
    <t>RC137</t>
  </si>
  <si>
    <t>RC138</t>
  </si>
  <si>
    <t>TOTAL EXPOSITIONS SUR LES BMD</t>
  </si>
  <si>
    <t xml:space="preserve">RISQUE DE CREDIT : EXPOSITIONS SUR LES INSTITUTIONS FINANCIERES  (IF)                         </t>
  </si>
  <si>
    <t>RC140</t>
  </si>
  <si>
    <t>RC141</t>
  </si>
  <si>
    <t>RC142</t>
  </si>
  <si>
    <t>RC143</t>
  </si>
  <si>
    <t>RC144</t>
  </si>
  <si>
    <t>RC145</t>
  </si>
  <si>
    <t>RC146</t>
  </si>
  <si>
    <t>RC147</t>
  </si>
  <si>
    <t>RC148</t>
  </si>
  <si>
    <t>RC149</t>
  </si>
  <si>
    <t>RC150</t>
  </si>
  <si>
    <t>RC151</t>
  </si>
  <si>
    <t>RC152</t>
  </si>
  <si>
    <t>RC153</t>
  </si>
  <si>
    <t>RC154</t>
  </si>
  <si>
    <t>RC155</t>
  </si>
  <si>
    <t>RC156</t>
  </si>
  <si>
    <t>RC157</t>
  </si>
  <si>
    <t>RC158</t>
  </si>
  <si>
    <t>RC159</t>
  </si>
  <si>
    <t>RC160</t>
  </si>
  <si>
    <t>RC161</t>
  </si>
  <si>
    <t>RC162</t>
  </si>
  <si>
    <t>RC163</t>
  </si>
  <si>
    <t>TOTAL EXPOSITIONS SUR LES IF</t>
  </si>
  <si>
    <t xml:space="preserve">RISQUE DE CREDIT : EXPOSITIONS SUR LES ENTREPRISES                  </t>
  </si>
  <si>
    <t>RC165</t>
  </si>
  <si>
    <t>RC166</t>
  </si>
  <si>
    <t>RC167</t>
  </si>
  <si>
    <t>RC168</t>
  </si>
  <si>
    <t>RC169</t>
  </si>
  <si>
    <t>RC170</t>
  </si>
  <si>
    <t>RC171</t>
  </si>
  <si>
    <t>RC172</t>
  </si>
  <si>
    <t>RC173</t>
  </si>
  <si>
    <t>RC174</t>
  </si>
  <si>
    <t>RC175</t>
  </si>
  <si>
    <t>RC176</t>
  </si>
  <si>
    <t>RC177</t>
  </si>
  <si>
    <t>RC178</t>
  </si>
  <si>
    <t>RC179</t>
  </si>
  <si>
    <t>RC180</t>
  </si>
  <si>
    <t>RC181</t>
  </si>
  <si>
    <t>RC182</t>
  </si>
  <si>
    <t>RC183</t>
  </si>
  <si>
    <t>RC184</t>
  </si>
  <si>
    <t>RC185</t>
  </si>
  <si>
    <t>RC186</t>
  </si>
  <si>
    <t>RC187</t>
  </si>
  <si>
    <t>RC188</t>
  </si>
  <si>
    <t>RC189</t>
  </si>
  <si>
    <t>RC190</t>
  </si>
  <si>
    <t>RC191</t>
  </si>
  <si>
    <t>RC192</t>
  </si>
  <si>
    <t>TOTAL EXPOSITIONS SUR LES ENTREPRISES</t>
  </si>
  <si>
    <t>Poste mémoire - Expositions déclassées dans la catégorie Entreprises</t>
  </si>
  <si>
    <t>Exposition nette après ARC</t>
  </si>
  <si>
    <t>RC194</t>
  </si>
  <si>
    <t>RC195</t>
  </si>
  <si>
    <t>RC196</t>
  </si>
  <si>
    <t>RC197</t>
  </si>
  <si>
    <t xml:space="preserve">RISQUE DE CREDIT : EXPOSITIONS SUR LA CLIENTELE DE DETAIL                        </t>
  </si>
  <si>
    <t>RC198</t>
  </si>
  <si>
    <t>RC199</t>
  </si>
  <si>
    <t>RC200</t>
  </si>
  <si>
    <t>RC201</t>
  </si>
  <si>
    <t>RC202</t>
  </si>
  <si>
    <t>RC203</t>
  </si>
  <si>
    <t>RC204</t>
  </si>
  <si>
    <t>RC205</t>
  </si>
  <si>
    <t>RC206</t>
  </si>
  <si>
    <t>RC207</t>
  </si>
  <si>
    <t>RC208</t>
  </si>
  <si>
    <t>RC209</t>
  </si>
  <si>
    <t>RC210</t>
  </si>
  <si>
    <t>RC211</t>
  </si>
  <si>
    <t>RC212</t>
  </si>
  <si>
    <t>RC213</t>
  </si>
  <si>
    <t>RC214</t>
  </si>
  <si>
    <t>RC215</t>
  </si>
  <si>
    <t>RC216</t>
  </si>
  <si>
    <t>RC217</t>
  </si>
  <si>
    <t>RC218</t>
  </si>
  <si>
    <t>TOTAL EXPOSITIONS SUR LA CLIENTELE DE DETAIL</t>
  </si>
  <si>
    <t>Poste mémoire - Expositions déclassées dans la catégorie clientèle de détail</t>
  </si>
  <si>
    <t>RC220</t>
  </si>
  <si>
    <t xml:space="preserve">RISQUE DE CREDIT : EXPOSITIONS SUR LES PRÊTS GARANTIS PAR L'IMMOBILIER RESIDENTIEL (PG/IR)                       </t>
  </si>
  <si>
    <t>RC221</t>
  </si>
  <si>
    <t>RC222</t>
  </si>
  <si>
    <t>RC223</t>
  </si>
  <si>
    <t>RC224</t>
  </si>
  <si>
    <t>RC225</t>
  </si>
  <si>
    <t>RC226</t>
  </si>
  <si>
    <t>RC227</t>
  </si>
  <si>
    <t>RC228</t>
  </si>
  <si>
    <t>RC229</t>
  </si>
  <si>
    <t>RC230</t>
  </si>
  <si>
    <t>RC231</t>
  </si>
  <si>
    <t>RC232</t>
  </si>
  <si>
    <t>RC233</t>
  </si>
  <si>
    <t>RC234</t>
  </si>
  <si>
    <t>RC235</t>
  </si>
  <si>
    <t>RC236</t>
  </si>
  <si>
    <t>RC237</t>
  </si>
  <si>
    <t>RC238</t>
  </si>
  <si>
    <t>TOTAL EXPOSITIONS SUR LES PG/IR</t>
  </si>
  <si>
    <t xml:space="preserve">RISQUE DE CREDIT : EXPOSITIONS SUR LES PRÊTS GARANTIS PAR L'IMMOBILIER COMMERCIAL (PG/IC)                       </t>
  </si>
  <si>
    <t>Exposition nette</t>
  </si>
  <si>
    <t>RC240</t>
  </si>
  <si>
    <t>RC241</t>
  </si>
  <si>
    <t>RC242</t>
  </si>
  <si>
    <t>RC243</t>
  </si>
  <si>
    <t>RC244</t>
  </si>
  <si>
    <t>RC245</t>
  </si>
  <si>
    <t>RC246</t>
  </si>
  <si>
    <t>RC247</t>
  </si>
  <si>
    <t>RC248</t>
  </si>
  <si>
    <t>RC249</t>
  </si>
  <si>
    <t>RC250</t>
  </si>
  <si>
    <t>RC251</t>
  </si>
  <si>
    <t>RC252</t>
  </si>
  <si>
    <t>RC253</t>
  </si>
  <si>
    <t>RC254</t>
  </si>
  <si>
    <t>RC255</t>
  </si>
  <si>
    <t>RC256</t>
  </si>
  <si>
    <t>RC257</t>
  </si>
  <si>
    <t>RC258</t>
  </si>
  <si>
    <t>RC259</t>
  </si>
  <si>
    <t>RC260</t>
  </si>
  <si>
    <t>TOTAL EXPOSITIONS SUR LES PG/IC</t>
  </si>
  <si>
    <t>RISQUE DE CREDIT : EXPOSITIONS SUR LES AUTRES ACTIFS</t>
  </si>
  <si>
    <t>EP 20</t>
  </si>
  <si>
    <t>(c )= a x b</t>
  </si>
  <si>
    <t>RC262</t>
  </si>
  <si>
    <t>Caisse</t>
  </si>
  <si>
    <t>RC263</t>
  </si>
  <si>
    <t>Lingot d'or</t>
  </si>
  <si>
    <t>RC264</t>
  </si>
  <si>
    <t xml:space="preserve">Valeurs à l'encaissement avec crédit immédiat, chèques et autres effets en transit (liquidité en cours de recouvrement)
</t>
  </si>
  <si>
    <t>RC265</t>
  </si>
  <si>
    <t>Immobilisations corporelles nettes d'amortissement</t>
  </si>
  <si>
    <t>RC266</t>
  </si>
  <si>
    <t>Comptes d'ordre et divers</t>
  </si>
  <si>
    <t>RC267</t>
  </si>
  <si>
    <t>Dépôts et cautionnements</t>
  </si>
  <si>
    <t>RC268</t>
  </si>
  <si>
    <t>Débiteurs divers</t>
  </si>
  <si>
    <t>RC269</t>
  </si>
  <si>
    <t>Part dans les fonds communs de placement</t>
  </si>
  <si>
    <t>RC270</t>
  </si>
  <si>
    <t>Comptes de stock</t>
  </si>
  <si>
    <t>RC271</t>
  </si>
  <si>
    <t>Actions</t>
  </si>
  <si>
    <t>RC272</t>
  </si>
  <si>
    <t>Expositions des entreprises à caractère financier hors UMOA incluses dans le périmètre de consolidation prudentielle</t>
  </si>
  <si>
    <t>RC273</t>
  </si>
  <si>
    <t>Expositions sur des entreprises soumises à une procédure de traitement prudentiel</t>
  </si>
  <si>
    <t>Impôts différés actifs découlant de différences temporaires non déduites des fonds propres</t>
  </si>
  <si>
    <t>RC274</t>
  </si>
  <si>
    <t>Expositions sur les établissements qui ne respectent pas les ratios de solvabilité</t>
  </si>
  <si>
    <t>RC275</t>
  </si>
  <si>
    <t>Autres éléments d'actif non pris en compte</t>
  </si>
  <si>
    <t>TOTAL EXPOSITIONS SUR LES AUTRES ACTIFS</t>
  </si>
  <si>
    <t>RISQUE OPERATIONNEL :  EXIGENCES DE FONDS PROPRES AU TITRE DE L'APPROCHE INDICATEUR DE BASE</t>
  </si>
  <si>
    <t>A. Calcul du produit brut</t>
  </si>
  <si>
    <t>RO001</t>
  </si>
  <si>
    <t xml:space="preserve">Produit d'exploitation bancaire </t>
  </si>
  <si>
    <t>RO002</t>
  </si>
  <si>
    <t xml:space="preserve">Moins-values réalisées sur cessions de titres du portefeuille bancaire  </t>
  </si>
  <si>
    <t>RO003</t>
  </si>
  <si>
    <t>(-) Charges d'exploitation bancaire</t>
  </si>
  <si>
    <t>RO005</t>
  </si>
  <si>
    <t xml:space="preserve">(-) Plus-values réalisées sur cessions de titres du portefeuille bancaire </t>
  </si>
  <si>
    <t>RO006</t>
  </si>
  <si>
    <t xml:space="preserve">(+/-) Produits nets d'exploitation bancaire exceptionnels ou inhabituels </t>
  </si>
  <si>
    <t>RO007</t>
  </si>
  <si>
    <t>(-) Produits provenant des activités d’assurance</t>
  </si>
  <si>
    <t>RO008</t>
  </si>
  <si>
    <t xml:space="preserve">(-) Produits provenant des entités financières exclues du périmètre de consolidation prudentiel aux fins du calcul des exigences de fonds propres 
</t>
  </si>
  <si>
    <t>RO009</t>
  </si>
  <si>
    <t>B. Calcul des actifs pondérés au titre du risque opérationnel</t>
  </si>
  <si>
    <t xml:space="preserve">Produit brut
(total ou zéro, le plus élevé étant retenu)</t>
  </si>
  <si>
    <t xml:space="preserve">Moyenne du
produit brut &gt; 0</t>
  </si>
  <si>
    <t>Alpha</t>
  </si>
  <si>
    <t>Exigences de fonds propres</t>
  </si>
  <si>
    <t>ANNÉE-3</t>
  </si>
  <si>
    <t>ANNÉE-2</t>
  </si>
  <si>
    <t>ANNÉE-1</t>
  </si>
  <si>
    <t xml:space="preserve">d = (a+b+c)/nombre année où produit brut &gt; 0 </t>
  </si>
  <si>
    <t>(f) = d x e</t>
  </si>
  <si>
    <t>(g) = f x 12,5</t>
  </si>
  <si>
    <t xml:space="preserve">TOTAL </t>
  </si>
  <si>
    <t>RISQUE OPERATIONNEL :  COLLECTE DES DONNEES DE PERTES AU TITRE DE L'APPROCHE INDICATEUR DE BASE</t>
  </si>
  <si>
    <t>Par catégorie d'évènement</t>
  </si>
  <si>
    <t>Seuil appliqué pour la collecte des pertes</t>
  </si>
  <si>
    <t>Catégorie d'évènement</t>
  </si>
  <si>
    <t>Nombre d'événements</t>
  </si>
  <si>
    <t>Montant total des pertes</t>
  </si>
  <si>
    <t>Perte maximale</t>
  </si>
  <si>
    <t>Total des cinq plus grandes pertes</t>
  </si>
  <si>
    <t>Le plus élevé</t>
  </si>
  <si>
    <t>Le plus bas</t>
  </si>
  <si>
    <t>RO011</t>
  </si>
  <si>
    <t>Fraude interne</t>
  </si>
  <si>
    <t>RO012</t>
  </si>
  <si>
    <t>Fraude externe</t>
  </si>
  <si>
    <t>RO013</t>
  </si>
  <si>
    <t>Pratiques en matière d'emploi et de sécurité sur le lieu travail</t>
  </si>
  <si>
    <t>RO014</t>
  </si>
  <si>
    <t>Pratiques concernant les clients, les produits et l’activité commerciale</t>
  </si>
  <si>
    <t>RO015</t>
  </si>
  <si>
    <t>Dommages occasionnés aux actifs physiques</t>
  </si>
  <si>
    <t>RO016</t>
  </si>
  <si>
    <t>Interruptions d'activités et défaillances des systèmes</t>
  </si>
  <si>
    <t>RO017</t>
  </si>
  <si>
    <t xml:space="preserve">Exécution des opérations, livraisons et gestion des processus
 </t>
  </si>
  <si>
    <t>RO018</t>
  </si>
  <si>
    <t xml:space="preserve">RISQUE OPERATIONNEL :  EXIGENCES DE FONDS PROPRES AU TITRE DE L'APPROCHE STANDARD </t>
  </si>
  <si>
    <t>Lignes de métier</t>
  </si>
  <si>
    <t>Financement d'entreprise</t>
  </si>
  <si>
    <t>Activités de marché</t>
  </si>
  <si>
    <t>Banque de détail</t>
  </si>
  <si>
    <t>Banque Commerciale</t>
  </si>
  <si>
    <t>Paiements et règlements</t>
  </si>
  <si>
    <t>Fonctions d'agent</t>
  </si>
  <si>
    <t>Gestion d'actifs</t>
  </si>
  <si>
    <t>Courtage de détail</t>
  </si>
  <si>
    <t>RO019</t>
  </si>
  <si>
    <t>RO020</t>
  </si>
  <si>
    <t>RO021</t>
  </si>
  <si>
    <t>RO022</t>
  </si>
  <si>
    <t>RO023</t>
  </si>
  <si>
    <t>RO024</t>
  </si>
  <si>
    <t>RO025</t>
  </si>
  <si>
    <t>RO026</t>
  </si>
  <si>
    <t>Activités</t>
  </si>
  <si>
    <t>Beta</t>
  </si>
  <si>
    <t>Produit brut</t>
  </si>
  <si>
    <t xml:space="preserve">Exigences </t>
  </si>
  <si>
    <t>(c)=a x b</t>
  </si>
  <si>
    <t>(e)=a x d</t>
  </si>
  <si>
    <t>(g)=a x f</t>
  </si>
  <si>
    <t>RO027</t>
  </si>
  <si>
    <t>RO028</t>
  </si>
  <si>
    <t>RO029</t>
  </si>
  <si>
    <t>RO030</t>
  </si>
  <si>
    <t>RO031</t>
  </si>
  <si>
    <t>RO032</t>
  </si>
  <si>
    <t>RO033</t>
  </si>
  <si>
    <t>RO034</t>
  </si>
  <si>
    <t>RO035</t>
  </si>
  <si>
    <t xml:space="preserve">Total – Secteurs d'activités
(total ou zéro, le plus élevé étant retenu)</t>
  </si>
  <si>
    <t>RO036</t>
  </si>
  <si>
    <t>(h)= Moyenne des totaux  c, e et g</t>
  </si>
  <si>
    <t>(i)= h x 12,5</t>
  </si>
  <si>
    <t xml:space="preserve">RISQUE OPERATIONNEL :  COLLECTE DES DONNEES DE PERTES AU TITRE DE L'APPROCHE STANDARD </t>
  </si>
  <si>
    <t>Mise en correspondance des pertes avec les lignes de metier</t>
  </si>
  <si>
    <t>Catégories d'évènement</t>
  </si>
  <si>
    <t>RO038</t>
  </si>
  <si>
    <t>RO039</t>
  </si>
  <si>
    <t>RO040</t>
  </si>
  <si>
    <t>Perte maximale dans cette ligne de métier</t>
  </si>
  <si>
    <t>RO041</t>
  </si>
  <si>
    <t>RO042</t>
  </si>
  <si>
    <t>RO043</t>
  </si>
  <si>
    <t>RO044</t>
  </si>
  <si>
    <t>RO045</t>
  </si>
  <si>
    <t>RO046</t>
  </si>
  <si>
    <t>RO047</t>
  </si>
  <si>
    <t>RO048</t>
  </si>
  <si>
    <t>RO049</t>
  </si>
  <si>
    <t>RO050</t>
  </si>
  <si>
    <t>RO051</t>
  </si>
  <si>
    <t>RO052</t>
  </si>
  <si>
    <t>RO053</t>
  </si>
  <si>
    <t>RO054</t>
  </si>
  <si>
    <t>RO055</t>
  </si>
  <si>
    <t>RO056</t>
  </si>
  <si>
    <t>RO057</t>
  </si>
  <si>
    <t>RO058</t>
  </si>
  <si>
    <t>RO059</t>
  </si>
  <si>
    <t>RO060</t>
  </si>
  <si>
    <t>RO061</t>
  </si>
  <si>
    <t>RO062</t>
  </si>
  <si>
    <t>RO063</t>
  </si>
  <si>
    <t>RO064</t>
  </si>
  <si>
    <t>RO065</t>
  </si>
  <si>
    <t>RO066</t>
  </si>
  <si>
    <t>RO067</t>
  </si>
  <si>
    <t>RO068</t>
  </si>
  <si>
    <t>RO069</t>
  </si>
  <si>
    <t>RO070</t>
  </si>
  <si>
    <t>RO071</t>
  </si>
  <si>
    <t>RO072</t>
  </si>
  <si>
    <t>RO073</t>
  </si>
  <si>
    <t>RISQUE DE MARCHE : EXIGENCES DE FONDS PROPRES AU TITRE DU RISQUE DE TAUX D'INTERET DU PORTEFEUILLE DE NEGOCIATION</t>
  </si>
  <si>
    <t>A. Risque spécifique</t>
  </si>
  <si>
    <t xml:space="preserve">Position </t>
  </si>
  <si>
    <t>Pondération</t>
  </si>
  <si>
    <t>Toutes les positions</t>
  </si>
  <si>
    <t>Positions nettes</t>
  </si>
  <si>
    <t xml:space="preserve">Positions soumises aux exigences de fonds propres </t>
  </si>
  <si>
    <t>Longues</t>
  </si>
  <si>
    <t>Courtes</t>
  </si>
  <si>
    <t>RM001</t>
  </si>
  <si>
    <t>Titres souverains, notés AAA à A-</t>
  </si>
  <si>
    <t>RM002</t>
  </si>
  <si>
    <t>Titres Etats UMOA libellés et financés en FCFA</t>
  </si>
  <si>
    <t>RM003</t>
  </si>
  <si>
    <t>Titres souverains, notés  A+ à BBB-, durée résiduelle ≤ 6 mois</t>
  </si>
  <si>
    <t>RM004</t>
  </si>
  <si>
    <t>Titres souverains, notés  A+ à BBB-, durée résiduelle &gt; 6 mois et ≤ 24 mois</t>
  </si>
  <si>
    <t>RM005</t>
  </si>
  <si>
    <t>Titres souverains, notés  A+ à BBB-, durée résiduelle &gt; 24 mois</t>
  </si>
  <si>
    <t>RM006</t>
  </si>
  <si>
    <t>Titres souverains, notés  BB+ à B-</t>
  </si>
  <si>
    <t>RM007</t>
  </si>
  <si>
    <t>Titres souverains, notés  sous B-</t>
  </si>
  <si>
    <t>RM008</t>
  </si>
  <si>
    <t xml:space="preserve">Titres souverains, non notés </t>
  </si>
  <si>
    <t>RM009</t>
  </si>
  <si>
    <t>Titres éligibles, durée résiduelle ≤ 6 mois</t>
  </si>
  <si>
    <t>RM010</t>
  </si>
  <si>
    <t>Titres éligibles, durée résiduelle &gt; 6 mois et ≤ 24 mois</t>
  </si>
  <si>
    <t>RM011</t>
  </si>
  <si>
    <t>Titres éligibles, durée résiduelle &gt; 24 mois</t>
  </si>
  <si>
    <t>RM012</t>
  </si>
  <si>
    <t>Autres titres, notés BB+ à BB-</t>
  </si>
  <si>
    <t>RM013</t>
  </si>
  <si>
    <t>Autres titres, notés sous BB-</t>
  </si>
  <si>
    <t>RM014</t>
  </si>
  <si>
    <t>Autres titres, non notés</t>
  </si>
  <si>
    <t>RM015</t>
  </si>
  <si>
    <t xml:space="preserve">Fonds propres pour risque spécifique </t>
  </si>
  <si>
    <t>B. Risque général</t>
  </si>
  <si>
    <t xml:space="preserve">Positions </t>
  </si>
  <si>
    <t>RM125</t>
  </si>
  <si>
    <t>Zone 1</t>
  </si>
  <si>
    <t>RM016</t>
  </si>
  <si>
    <t xml:space="preserve">                 0 ≤ 1 mois</t>
  </si>
  <si>
    <t>RM017</t>
  </si>
  <si>
    <t xml:space="preserve">                 &gt; 1 ≤ 3 mois</t>
  </si>
  <si>
    <t>RM018</t>
  </si>
  <si>
    <t xml:space="preserve">                 &gt; 3 ≤ 6 mois</t>
  </si>
  <si>
    <t>RM019</t>
  </si>
  <si>
    <t xml:space="preserve">                 &gt; 6 ≤ 12 mois</t>
  </si>
  <si>
    <t>RM126</t>
  </si>
  <si>
    <t>Zone 2</t>
  </si>
  <si>
    <t>RM020</t>
  </si>
  <si>
    <t xml:space="preserve">                 &gt; 1 ≤ 2 (1,9 pour un coupon de moins de 3 %) ans</t>
  </si>
  <si>
    <t>RM021</t>
  </si>
  <si>
    <t xml:space="preserve">                 &gt; 2 ≤ 3 (&gt; 1,9 ≤ 2,8 pour un coupon de moins de 3 %) ans</t>
  </si>
  <si>
    <t>RM022</t>
  </si>
  <si>
    <t xml:space="preserve">                 &gt; 3 ≤ 4 (&gt; 2,8 ≤ 3,6 pour un coupon de moins de 3 %) ans</t>
  </si>
  <si>
    <t>RM023</t>
  </si>
  <si>
    <t xml:space="preserve">                 &gt; 4 ≤ 5 (&gt; 3,6 ≤ 4,3 pour un coupon de moins de 3 %) ans</t>
  </si>
  <si>
    <t>RM127</t>
  </si>
  <si>
    <t>Zone 3</t>
  </si>
  <si>
    <t>RM024</t>
  </si>
  <si>
    <t xml:space="preserve">                 &gt; 5 ≤ 7 (&gt; 4,3 ≤ 5,7 pour un coupon de moins de 3 %) ans</t>
  </si>
  <si>
    <t>RM025</t>
  </si>
  <si>
    <t xml:space="preserve">                 &gt; 7 ≤ 10 (&gt; 5,7 ≤ 7,3 pour un coupon de moins de 3 %) ans</t>
  </si>
  <si>
    <t>RM026</t>
  </si>
  <si>
    <t xml:space="preserve">                 &gt; 10 ≤ 15 (&gt; 7,3 ≤ 9,3 pour un coupon de moins de 3 %) ans</t>
  </si>
  <si>
    <t>RM027</t>
  </si>
  <si>
    <t xml:space="preserve">                 &gt; 15 ≤ 20 (&gt; 9,3 ≤ 10,6 pour un coupon de moins de 3 %) ans</t>
  </si>
  <si>
    <t>RM028</t>
  </si>
  <si>
    <t xml:space="preserve">                 &gt; 20 (&gt; 10,6 ≤ 12,0 pour un coupon de moins de 3 %) ans</t>
  </si>
  <si>
    <t>RM029</t>
  </si>
  <si>
    <t xml:space="preserve">                 (&gt; 12,0 ≤ 20,0 pour un coupon de moins de 3 %) ans</t>
  </si>
  <si>
    <t>RM030</t>
  </si>
  <si>
    <t xml:space="preserve">                 (&gt; 20 pour un coupon de moins de 3 %) ans</t>
  </si>
  <si>
    <t>RM031</t>
  </si>
  <si>
    <t>∑  Positions pondérées équilibrées pour toutes les tranches</t>
  </si>
  <si>
    <t>RM032</t>
  </si>
  <si>
    <t>∑  Positions pondérées équilibrées dans la plage 1</t>
  </si>
  <si>
    <t>RM033</t>
  </si>
  <si>
    <t>∑  Positions pondérées équilibrées dans la plage 2</t>
  </si>
  <si>
    <t>RM034</t>
  </si>
  <si>
    <t>∑  Positions pondérées équilibrées dans la plage 3</t>
  </si>
  <si>
    <t>RM035</t>
  </si>
  <si>
    <t>∑  Positions pondérées équilibrées entre les plages 1 et 2</t>
  </si>
  <si>
    <t>RM036</t>
  </si>
  <si>
    <t>∑  Positions pondérées équilibrées entre les plages 2 et 3</t>
  </si>
  <si>
    <t>RM037</t>
  </si>
  <si>
    <t>∑  Positions pondérées équilibrées entre les plages 1 et 3</t>
  </si>
  <si>
    <t>RM038</t>
  </si>
  <si>
    <t>∑  Positions pondérées non équilibrées résiduelles</t>
  </si>
  <si>
    <t>RM039</t>
  </si>
  <si>
    <t>Fonds propres pour risque général</t>
  </si>
  <si>
    <t>C. Exigences supplémentaires pour les options</t>
  </si>
  <si>
    <t>RM040</t>
  </si>
  <si>
    <t>Approche simplifiée</t>
  </si>
  <si>
    <t>RM041</t>
  </si>
  <si>
    <t>Méthode Delta Plus - Exigences supplémentaires pour risque Gamma</t>
  </si>
  <si>
    <t>RM042</t>
  </si>
  <si>
    <t>Méthode Delta Plus - Exigences supplémentaires pour risque Véga</t>
  </si>
  <si>
    <t>RM043</t>
  </si>
  <si>
    <t>Fonds propres pour risques sur options</t>
  </si>
  <si>
    <t xml:space="preserve">D. Actifs pondérés au titre du risque de taux d'intérêt </t>
  </si>
  <si>
    <t>(b)=ax12,5</t>
  </si>
  <si>
    <t>Poste mémoire - Titres de propriété du portefeuille de négociation</t>
  </si>
  <si>
    <t>RM045</t>
  </si>
  <si>
    <t xml:space="preserve"> Instruments dérivés</t>
  </si>
  <si>
    <t>RM046</t>
  </si>
  <si>
    <t xml:space="preserve">Autres éléments d'actif et de passif </t>
  </si>
  <si>
    <t>RISQUE DE MARCHE : EXIGENCES DE FONDS PROPRES AU TITRE DU RISQUE DE POSITIONS SUR TITRE DE PROPRIETE DU PORTEFEUILLE DE NEGOCIATION</t>
  </si>
  <si>
    <t>RM047</t>
  </si>
  <si>
    <t>Portefeuille liquide et bien diversifié faisant l'objet d'exigences plus faibles</t>
  </si>
  <si>
    <t>RM048</t>
  </si>
  <si>
    <t>Actions autres que celles incluses dans un portefeuille liquide et bien diversifié</t>
  </si>
  <si>
    <t>RM049</t>
  </si>
  <si>
    <t>Fonds propres pour risque spécifique</t>
  </si>
  <si>
    <t>RM050</t>
  </si>
  <si>
    <t>Contrats à terme sur indice largement diversifié, négociés en bourse, et faisant l'objet d'un traitement favorable</t>
  </si>
  <si>
    <t>RM051</t>
  </si>
  <si>
    <t>Actions différentes d'un contrat à terme sur indice largement diversifié, négocié en bourse</t>
  </si>
  <si>
    <t>RM052</t>
  </si>
  <si>
    <t>RM053</t>
  </si>
  <si>
    <t>RM054</t>
  </si>
  <si>
    <t>RM055</t>
  </si>
  <si>
    <t>RM056</t>
  </si>
  <si>
    <t xml:space="preserve">D. Actifs pondérés au titre du risque de position sur titre de propriété </t>
  </si>
  <si>
    <t>RM058</t>
  </si>
  <si>
    <t>Instruments dérivés</t>
  </si>
  <si>
    <t>RM059</t>
  </si>
  <si>
    <t>RISQUE DE MARCHE : EXIGENCES DE FONDS PROPRES AU TITRE DU RISQUE DE CHANGE</t>
  </si>
  <si>
    <t>A. Risque général</t>
  </si>
  <si>
    <t>RM060</t>
  </si>
  <si>
    <t xml:space="preserve">Devises </t>
  </si>
  <si>
    <t>RM061</t>
  </si>
  <si>
    <t>Or</t>
  </si>
  <si>
    <t>RM062</t>
  </si>
  <si>
    <t>B. Exigences supplémentaires pour les options</t>
  </si>
  <si>
    <t>RM063</t>
  </si>
  <si>
    <t>RM064</t>
  </si>
  <si>
    <t>RM065</t>
  </si>
  <si>
    <t>RM066</t>
  </si>
  <si>
    <t>C. Actifs pondérés au titre du risque de change</t>
  </si>
  <si>
    <t>Poste mémoire - Répartition total des positions (y compris le FCFA) par catégorie d'exposition</t>
  </si>
  <si>
    <t>RM068</t>
  </si>
  <si>
    <t>Éléments d'actif et de passif autres que les éléments de hors bilan et les instruments dérivés</t>
  </si>
  <si>
    <t>RM069</t>
  </si>
  <si>
    <t>Éléments de hors bilan</t>
  </si>
  <si>
    <t>RM070</t>
  </si>
  <si>
    <t>Dérivés</t>
  </si>
  <si>
    <t>Poste mémoire - Positions en devise</t>
  </si>
  <si>
    <t>Devises</t>
  </si>
  <si>
    <t>Code</t>
  </si>
  <si>
    <t>RM071</t>
  </si>
  <si>
    <t>Franc CFA - BCEAO</t>
  </si>
  <si>
    <t>XOF</t>
  </si>
  <si>
    <t>RM072</t>
  </si>
  <si>
    <t>Franc CFA - BEAC Communauté financière africaine</t>
  </si>
  <si>
    <t>XAF</t>
  </si>
  <si>
    <t>RM073</t>
  </si>
  <si>
    <t>Euro</t>
  </si>
  <si>
    <t>EUR</t>
  </si>
  <si>
    <t>RM074</t>
  </si>
  <si>
    <t>Dollar américain</t>
  </si>
  <si>
    <t>USD</t>
  </si>
  <si>
    <t>RM075</t>
  </si>
  <si>
    <t>Rand</t>
  </si>
  <si>
    <t>ZAR</t>
  </si>
  <si>
    <t>RM076</t>
  </si>
  <si>
    <t>Nouvelle livre turque</t>
  </si>
  <si>
    <t>TRY</t>
  </si>
  <si>
    <t>RM077</t>
  </si>
  <si>
    <t>Dinar tunisien</t>
  </si>
  <si>
    <t>TND</t>
  </si>
  <si>
    <t>RM078</t>
  </si>
  <si>
    <t>Riyal saoudien</t>
  </si>
  <si>
    <t>SAR</t>
  </si>
  <si>
    <t>RM079</t>
  </si>
  <si>
    <t>Franc rwandais</t>
  </si>
  <si>
    <t>RWF</t>
  </si>
  <si>
    <t>RM080</t>
  </si>
  <si>
    <t>Rouble russe</t>
  </si>
  <si>
    <t>RUB</t>
  </si>
  <si>
    <t>RM081</t>
  </si>
  <si>
    <t>Naira</t>
  </si>
  <si>
    <t>NGN</t>
  </si>
  <si>
    <t>RM082</t>
  </si>
  <si>
    <t>Ouguiya</t>
  </si>
  <si>
    <t>MRO</t>
  </si>
  <si>
    <t>RM083</t>
  </si>
  <si>
    <t>Dirham marocain</t>
  </si>
  <si>
    <t>MAD</t>
  </si>
  <si>
    <t>RM084</t>
  </si>
  <si>
    <t>Dollar libérien</t>
  </si>
  <si>
    <t>LRD</t>
  </si>
  <si>
    <t>RM085</t>
  </si>
  <si>
    <t>Livre libanaise</t>
  </si>
  <si>
    <t>LBP</t>
  </si>
  <si>
    <t>RM086</t>
  </si>
  <si>
    <t>Dinar koweïtien</t>
  </si>
  <si>
    <t>KWD</t>
  </si>
  <si>
    <t>RM087</t>
  </si>
  <si>
    <t>Shilling du Kenya</t>
  </si>
  <si>
    <t>KES</t>
  </si>
  <si>
    <t>RM088</t>
  </si>
  <si>
    <t>Yen</t>
  </si>
  <si>
    <t>JPY</t>
  </si>
  <si>
    <t>RM089</t>
  </si>
  <si>
    <t>Roupie indienne</t>
  </si>
  <si>
    <t>INR</t>
  </si>
  <si>
    <t>RM090</t>
  </si>
  <si>
    <t>Dollar de Hong-Kong</t>
  </si>
  <si>
    <t>HKD</t>
  </si>
  <si>
    <t>RM091</t>
  </si>
  <si>
    <t>Franc guinéen</t>
  </si>
  <si>
    <t>GNF</t>
  </si>
  <si>
    <t>RM092</t>
  </si>
  <si>
    <t>Dalasi</t>
  </si>
  <si>
    <t>GMD</t>
  </si>
  <si>
    <t>RM093</t>
  </si>
  <si>
    <t>Cedi ghanéen</t>
  </si>
  <si>
    <t>GHS</t>
  </si>
  <si>
    <t>RM094</t>
  </si>
  <si>
    <t>Livre sterling</t>
  </si>
  <si>
    <t>GBP</t>
  </si>
  <si>
    <t>RM095</t>
  </si>
  <si>
    <t>Livre égyptienne</t>
  </si>
  <si>
    <t>EGP</t>
  </si>
  <si>
    <t>RM096</t>
  </si>
  <si>
    <t>Dinar algérien</t>
  </si>
  <si>
    <t>DZD</t>
  </si>
  <si>
    <t>RM097</t>
  </si>
  <si>
    <t>Escudo du Cap-Vert</t>
  </si>
  <si>
    <t>CVE</t>
  </si>
  <si>
    <t>RM098</t>
  </si>
  <si>
    <t>Yuan (Renminbi)</t>
  </si>
  <si>
    <t>CNY</t>
  </si>
  <si>
    <t>RM099</t>
  </si>
  <si>
    <t>WIR Franc</t>
  </si>
  <si>
    <t>CHW</t>
  </si>
  <si>
    <t>RM100</t>
  </si>
  <si>
    <t>Franc suisse</t>
  </si>
  <si>
    <t>CHF</t>
  </si>
  <si>
    <t>RM101</t>
  </si>
  <si>
    <t>Franc congolais</t>
  </si>
  <si>
    <t>CDF</t>
  </si>
  <si>
    <t>RM102</t>
  </si>
  <si>
    <t>Dollar canadien</t>
  </si>
  <si>
    <t>CAD</t>
  </si>
  <si>
    <t>RM103</t>
  </si>
  <si>
    <t>Pula</t>
  </si>
  <si>
    <t>BWP</t>
  </si>
  <si>
    <t>RM104</t>
  </si>
  <si>
    <t>Réal brésilien</t>
  </si>
  <si>
    <t>BRL</t>
  </si>
  <si>
    <t>RM105</t>
  </si>
  <si>
    <t>Franc du Burundi</t>
  </si>
  <si>
    <t>BIF</t>
  </si>
  <si>
    <t>RM106</t>
  </si>
  <si>
    <t>Dollar australien</t>
  </si>
  <si>
    <t>AUD</t>
  </si>
  <si>
    <t>RM107</t>
  </si>
  <si>
    <t>Kwanza</t>
  </si>
  <si>
    <t>AOA</t>
  </si>
  <si>
    <t>RM108</t>
  </si>
  <si>
    <t>Dirham des AE</t>
  </si>
  <si>
    <t>AED</t>
  </si>
  <si>
    <t>RM109</t>
  </si>
  <si>
    <t>Autres devises</t>
  </si>
  <si>
    <t>RISQUE DE MARCHE : EXIGENCES DE FONDS PROPRES AU TITRE DU RISQUE DE POSITION SUR PRODUITS DE BASE</t>
  </si>
  <si>
    <t>A. Répartition des positions sur produits de base</t>
  </si>
  <si>
    <t>Longues / Courtes</t>
  </si>
  <si>
    <t>RM110</t>
  </si>
  <si>
    <t>Métaux précieux (hormis l'or)</t>
  </si>
  <si>
    <t>RM111</t>
  </si>
  <si>
    <t>Métaux de base</t>
  </si>
  <si>
    <t>RM112</t>
  </si>
  <si>
    <t>Produits agricoles</t>
  </si>
  <si>
    <t>RM113</t>
  </si>
  <si>
    <t>Produits énergétiques (pétrole, gaz)</t>
  </si>
  <si>
    <t>RM114</t>
  </si>
  <si>
    <t>Autres</t>
  </si>
  <si>
    <t>RM116</t>
  </si>
  <si>
    <t>Total des positions sur produit de base</t>
  </si>
  <si>
    <t>RM117</t>
  </si>
  <si>
    <t>RM118</t>
  </si>
  <si>
    <t>Positions brutes</t>
  </si>
  <si>
    <t>RM119</t>
  </si>
  <si>
    <t>RM120</t>
  </si>
  <si>
    <t>RM121</t>
  </si>
  <si>
    <t>RM122</t>
  </si>
  <si>
    <t>D. Actifs pondérés au titre du risque de position sur produits de base</t>
  </si>
  <si>
    <t>RM124</t>
  </si>
  <si>
    <t>GRANDS RISQUES DU PORTEFEUILLE BANCAIRE ET DE NEGOCIATION</t>
  </si>
  <si>
    <t>CONTREPARTIE</t>
  </si>
  <si>
    <t>EXPOSITONS INITIALES</t>
  </si>
  <si>
    <t>(-) Provisions</t>
  </si>
  <si>
    <t>(-) Expositions déduites des fonds propres</t>
  </si>
  <si>
    <t xml:space="preserve">Expositions nettes avant application des exemptions et de l'ARC </t>
  </si>
  <si>
    <t>TECHNIQUES D'ATTÉNUATION DU RISQUE DE CRÉDIT (ARC) ÉLIGIBLES</t>
  </si>
  <si>
    <t>(-) Montants exemptés</t>
  </si>
  <si>
    <t xml:space="preserve">Expositions nettes après application des exemptions et de l'ARC </t>
  </si>
  <si>
    <t>Rapport entre actifs pondérés des risques et des fonds propres de base T1 ( %)</t>
  </si>
  <si>
    <r>
      <rPr>
        <b/>
        <charset val="1"/>
        <family val="2"/>
        <sz val="16"/>
        <rFont val="Arial"/>
      </rPr>
      <t>N</t>
    </r>
    <r>
      <rPr>
        <b/>
        <charset val="1"/>
        <family val="2"/>
        <vertAlign val="superscript"/>
        <sz val="16"/>
        <rFont val="Arial"/>
      </rPr>
      <t>o</t>
    </r>
    <r>
      <rPr>
        <b/>
        <charset val="1"/>
        <family val="2"/>
        <sz val="16"/>
        <rFont val="Arial"/>
      </rPr>
      <t xml:space="preserve"> d'identification Centrale des risques</t>
    </r>
  </si>
  <si>
    <t>Groupe ou individuel</t>
  </si>
  <si>
    <t>Nom</t>
  </si>
  <si>
    <t>Pays de résidence</t>
  </si>
  <si>
    <t>Secteur d'activités</t>
  </si>
  <si>
    <t xml:space="preserve">(-) Effet des techniques d'atténuation du risque de crédit (approche simple) </t>
  </si>
  <si>
    <t>(-) Effet des techniques d'atténuation du risque de crédit (approche globale)</t>
  </si>
  <si>
    <t>Exposition initiale totale</t>
  </si>
  <si>
    <t xml:space="preserve">Expositions brutes </t>
  </si>
  <si>
    <t>Dont : en souffrance</t>
  </si>
  <si>
    <t>Bilan</t>
  </si>
  <si>
    <t>Hors bilan (après FCEC)</t>
  </si>
  <si>
    <t xml:space="preserve">Total </t>
  </si>
  <si>
    <t>% des fonds propres de base T1</t>
  </si>
  <si>
    <t>Hors bilan</t>
  </si>
  <si>
    <t>Prêts, avances, crédits-bails</t>
  </si>
  <si>
    <t>Titres de créances</t>
  </si>
  <si>
    <t>Participations</t>
  </si>
  <si>
    <t>Engagements de financement</t>
  </si>
  <si>
    <t>Autres engagements</t>
  </si>
  <si>
    <t>(i)= a+b+c+d+e+f+g+h</t>
  </si>
  <si>
    <t>(j)=i/FPB</t>
  </si>
  <si>
    <t>(s)= i+k+l+m+n+o+p+q+r</t>
  </si>
  <si>
    <t>(t)= somme (exposition nette individuelle x pondération applicable)</t>
  </si>
  <si>
    <t>(u)= t/FPB</t>
  </si>
  <si>
    <t>GR001</t>
  </si>
  <si>
    <t xml:space="preserve"> </t>
  </si>
  <si>
    <t>ORANGE MALI-SA</t>
  </si>
  <si>
    <t>GR002</t>
  </si>
  <si>
    <t>FASO GENERAL SERVICES SA</t>
  </si>
  <si>
    <t>GR003</t>
  </si>
  <si>
    <t>TOGUNA AGRO INDUSTRIES</t>
  </si>
  <si>
    <t>GR004</t>
  </si>
  <si>
    <t>JEPEB SA</t>
  </si>
  <si>
    <t>GR005</t>
  </si>
  <si>
    <t>TOGUNA</t>
  </si>
  <si>
    <t>GR006</t>
  </si>
  <si>
    <t>AFRICA MICRO GROUP SARL</t>
  </si>
  <si>
    <t>GR007</t>
  </si>
  <si>
    <t>EDM</t>
  </si>
  <si>
    <t>GR008</t>
  </si>
  <si>
    <t>ZAMANI COM SAS</t>
  </si>
  <si>
    <t>GR009</t>
  </si>
  <si>
    <t>EMMAF COMMODITIES SA</t>
  </si>
  <si>
    <t>GR010</t>
  </si>
  <si>
    <t>PLANIUM AFRICA COMMERCE</t>
  </si>
  <si>
    <t>GR011</t>
  </si>
  <si>
    <t>CMDT SA</t>
  </si>
  <si>
    <t>GR012</t>
  </si>
  <si>
    <t>NOUVELLES BRASSERIES BAMAKOISES</t>
  </si>
  <si>
    <t>GR013</t>
  </si>
  <si>
    <t>GR014</t>
  </si>
  <si>
    <t>GR015</t>
  </si>
  <si>
    <t>GR016</t>
  </si>
  <si>
    <t>GR017</t>
  </si>
  <si>
    <t>GR018</t>
  </si>
  <si>
    <t>GR019</t>
  </si>
  <si>
    <t>GR020</t>
  </si>
  <si>
    <t>GR021</t>
  </si>
  <si>
    <t>GR022</t>
  </si>
  <si>
    <t>GR023</t>
  </si>
  <si>
    <t>GR024</t>
  </si>
  <si>
    <t>GR025</t>
  </si>
  <si>
    <t>GR026</t>
  </si>
  <si>
    <t>GR027</t>
  </si>
  <si>
    <t>GR028</t>
  </si>
  <si>
    <t>GR029</t>
  </si>
  <si>
    <t>GR030</t>
  </si>
  <si>
    <t>GR031</t>
  </si>
  <si>
    <t>GR032</t>
  </si>
  <si>
    <t>GR033</t>
  </si>
  <si>
    <t>GR034</t>
  </si>
  <si>
    <t>GR035</t>
  </si>
  <si>
    <t>GR036</t>
  </si>
  <si>
    <t>GR037</t>
  </si>
  <si>
    <t>GR038</t>
  </si>
  <si>
    <t>GR039</t>
  </si>
  <si>
    <t>GR040</t>
  </si>
  <si>
    <t>GR041</t>
  </si>
  <si>
    <t>GR042</t>
  </si>
  <si>
    <t>GR043</t>
  </si>
  <si>
    <t>GR044</t>
  </si>
  <si>
    <t>GR045</t>
  </si>
  <si>
    <t>GR046</t>
  </si>
  <si>
    <t>GR047</t>
  </si>
  <si>
    <t>GR048</t>
  </si>
  <si>
    <t>GR049</t>
  </si>
  <si>
    <t>GR050</t>
  </si>
  <si>
    <t>GR051</t>
  </si>
  <si>
    <t>Total des expositions  ≥ 10% des fonds propres de base T1</t>
  </si>
  <si>
    <t>Poste mémoire - Expositions sur un client ou un groupe de clients liés dépassant la limite prudentielle</t>
  </si>
  <si>
    <t>GR052</t>
  </si>
  <si>
    <t>GR053</t>
  </si>
  <si>
    <t>GR054</t>
  </si>
  <si>
    <t>GR055</t>
  </si>
  <si>
    <t>GR056</t>
  </si>
  <si>
    <t>GR057</t>
  </si>
  <si>
    <t>GR058</t>
  </si>
  <si>
    <t>GR059</t>
  </si>
  <si>
    <t>GR060</t>
  </si>
  <si>
    <t>GR061</t>
  </si>
  <si>
    <t>GR062</t>
  </si>
  <si>
    <t>GR063</t>
  </si>
  <si>
    <t>GR064</t>
  </si>
  <si>
    <t>GR065</t>
  </si>
  <si>
    <t>GR066</t>
  </si>
  <si>
    <t>GR067</t>
  </si>
  <si>
    <t>GR068</t>
  </si>
  <si>
    <t>GR069</t>
  </si>
  <si>
    <t>GR070</t>
  </si>
  <si>
    <t>GR071</t>
  </si>
  <si>
    <t>DETAIL DES RISQUES SUR LES CLIENTS INDIVIDUELS AU SEIN DES GROUPES DE CLIENTS LIES</t>
  </si>
  <si>
    <r>
      <rPr>
        <b/>
        <charset val="1"/>
        <family val="2"/>
        <sz val="16"/>
        <rFont val="Arial"/>
      </rPr>
      <t>N</t>
    </r>
    <r>
      <rPr>
        <b/>
        <charset val="1"/>
        <family val="2"/>
        <vertAlign val="superscript"/>
        <sz val="16"/>
        <rFont val="Arial"/>
      </rPr>
      <t>o</t>
    </r>
    <r>
      <rPr>
        <b/>
        <charset val="1"/>
        <family val="2"/>
        <sz val="16"/>
        <rFont val="Arial"/>
      </rPr>
      <t xml:space="preserve"> d'identification Centrale des risques (groupe)</t>
    </r>
  </si>
  <si>
    <r>
      <rPr>
        <b/>
        <charset val="1"/>
        <family val="2"/>
        <sz val="16"/>
        <rFont val="Arial"/>
      </rPr>
      <t>N</t>
    </r>
    <r>
      <rPr>
        <b/>
        <charset val="1"/>
        <family val="2"/>
        <vertAlign val="superscript"/>
        <sz val="16"/>
        <rFont val="Arial"/>
      </rPr>
      <t>o</t>
    </r>
    <r>
      <rPr>
        <b/>
        <charset val="1"/>
        <family val="2"/>
        <sz val="16"/>
        <rFont val="Arial"/>
      </rPr>
      <t xml:space="preserve"> d'identification Centrale des risques (contrepartie individuelle)</t>
    </r>
  </si>
  <si>
    <t>Catégorie de lien</t>
  </si>
  <si>
    <t>GR072</t>
  </si>
  <si>
    <t>GR073</t>
  </si>
  <si>
    <t>GR074</t>
  </si>
  <si>
    <t>GR075</t>
  </si>
  <si>
    <t>GR076</t>
  </si>
  <si>
    <t>GR077</t>
  </si>
  <si>
    <t>GR078</t>
  </si>
  <si>
    <t>GR079</t>
  </si>
  <si>
    <t>GR080</t>
  </si>
  <si>
    <t>GR081</t>
  </si>
  <si>
    <t>GR082</t>
  </si>
  <si>
    <t>GR083</t>
  </si>
  <si>
    <t>GR084</t>
  </si>
  <si>
    <t>GR085</t>
  </si>
  <si>
    <t>GR086</t>
  </si>
  <si>
    <t>GR087</t>
  </si>
  <si>
    <t>GR088</t>
  </si>
  <si>
    <t>GR089</t>
  </si>
  <si>
    <t>GR090</t>
  </si>
  <si>
    <t>GR091</t>
  </si>
  <si>
    <t>GR092</t>
  </si>
  <si>
    <t>GR093</t>
  </si>
  <si>
    <t>GR094</t>
  </si>
  <si>
    <t>GR095</t>
  </si>
  <si>
    <t>GR096</t>
  </si>
  <si>
    <t>GR097</t>
  </si>
  <si>
    <t>GR098</t>
  </si>
  <si>
    <t>GR099</t>
  </si>
  <si>
    <t>GR100</t>
  </si>
  <si>
    <t>GR101</t>
  </si>
  <si>
    <t>GR102</t>
  </si>
  <si>
    <t>GR103</t>
  </si>
  <si>
    <t>GR104</t>
  </si>
  <si>
    <t>GR105</t>
  </si>
  <si>
    <t>GR106</t>
  </si>
  <si>
    <t>GR107</t>
  </si>
  <si>
    <t>GR108</t>
  </si>
  <si>
    <t>GR109</t>
  </si>
  <si>
    <t>GR110</t>
  </si>
  <si>
    <t>GR111</t>
  </si>
  <si>
    <t>GR112</t>
  </si>
  <si>
    <t>GR113</t>
  </si>
  <si>
    <t>GR114</t>
  </si>
  <si>
    <t>GR115</t>
  </si>
  <si>
    <t>GR116</t>
  </si>
  <si>
    <t>GR117</t>
  </si>
  <si>
    <t>GR118</t>
  </si>
  <si>
    <t>GR119</t>
  </si>
  <si>
    <t>GR120</t>
  </si>
  <si>
    <t>GR121</t>
  </si>
  <si>
    <t>GR122</t>
  </si>
  <si>
    <t>GR123</t>
  </si>
  <si>
    <t>GR124</t>
  </si>
  <si>
    <t>GR125</t>
  </si>
  <si>
    <t>GR126</t>
  </si>
  <si>
    <t>GR127</t>
  </si>
  <si>
    <t>GR128</t>
  </si>
  <si>
    <t>GR129</t>
  </si>
  <si>
    <t>GR130</t>
  </si>
  <si>
    <t>GR131</t>
  </si>
  <si>
    <t>GR132</t>
  </si>
  <si>
    <t>GR133</t>
  </si>
  <si>
    <t>GR134</t>
  </si>
  <si>
    <t>GR135</t>
  </si>
  <si>
    <t>GR136</t>
  </si>
  <si>
    <t>GR137</t>
  </si>
  <si>
    <t>GR138</t>
  </si>
  <si>
    <t>GR139</t>
  </si>
  <si>
    <t>GR140</t>
  </si>
  <si>
    <t>GR141</t>
  </si>
  <si>
    <t>GR142</t>
  </si>
  <si>
    <t>GR143</t>
  </si>
  <si>
    <t>GR144</t>
  </si>
  <si>
    <t>GR145</t>
  </si>
  <si>
    <t>GR146</t>
  </si>
  <si>
    <t>GR147</t>
  </si>
  <si>
    <t>GR148</t>
  </si>
  <si>
    <t>GR149</t>
  </si>
  <si>
    <t>GR150</t>
  </si>
  <si>
    <t>GR151</t>
  </si>
  <si>
    <t>GR152</t>
  </si>
  <si>
    <t>GR153</t>
  </si>
  <si>
    <t>GR154</t>
  </si>
  <si>
    <t>GR155</t>
  </si>
  <si>
    <t>GR156</t>
  </si>
  <si>
    <t>GR157</t>
  </si>
  <si>
    <t>GR158</t>
  </si>
  <si>
    <t>GR159</t>
  </si>
  <si>
    <t>GR160</t>
  </si>
  <si>
    <t>GR161</t>
  </si>
  <si>
    <t>GR162</t>
  </si>
  <si>
    <t>GR163</t>
  </si>
  <si>
    <t>GR164</t>
  </si>
  <si>
    <t>GR165</t>
  </si>
  <si>
    <t>GR166</t>
  </si>
  <si>
    <t>GR167</t>
  </si>
  <si>
    <t>GR168</t>
  </si>
  <si>
    <t>GR169</t>
  </si>
  <si>
    <t>GR170</t>
  </si>
  <si>
    <t>GR171</t>
  </si>
  <si>
    <t>GR172</t>
  </si>
  <si>
    <t xml:space="preserve">20 PLUS GRANDES EXPOSITIONS DU PORTEFEUILLE BANCAIRE ET DE NEGOCIATION PAR CATEGORIES D'ECHEANCES DES RISQUES </t>
  </si>
  <si>
    <t xml:space="preserve">CATÉGORIES D'ÉCHÉANCES DES RISQUES </t>
  </si>
  <si>
    <t>No d'identification Centrale des risques</t>
  </si>
  <si>
    <t>Jusqu'à 1 mois</t>
  </si>
  <si>
    <t>Plus d'1 mois jusqu'à 2 mois</t>
  </si>
  <si>
    <t>Plus de 2 mois jusqu'à 3 mois</t>
  </si>
  <si>
    <t>Plus de 3 mois jusqu'à 4 mois</t>
  </si>
  <si>
    <t>Plus de 4 mois jusqu'à 5 mois</t>
  </si>
  <si>
    <t>Plus de 5 mois jusqu'à 6 mois</t>
  </si>
  <si>
    <t>Plus de 6 mois jusqu'à 7 mois</t>
  </si>
  <si>
    <t>Plus de 7 mois jusqu'à 8 mois</t>
  </si>
  <si>
    <t>Plus de 8 mois jusqu'à 9 mois</t>
  </si>
  <si>
    <t>Plus de 9 mois jusqu'à 10 mois</t>
  </si>
  <si>
    <t>Plus de 10 mois jusqu'à 11 mois</t>
  </si>
  <si>
    <t>Plus de 11 mois jusqu'à 12 mois</t>
  </si>
  <si>
    <t>Plus de 12 mois jusqu'à 15 mois</t>
  </si>
  <si>
    <t>Plus de 15 mois jusqu'à 18 mois</t>
  </si>
  <si>
    <t>Plus de 18 mois jusqu'à 21 mois</t>
  </si>
  <si>
    <t>Plus de 21 mois jusqu'à 24 mois</t>
  </si>
  <si>
    <t>Plus de 24 mois jusqu'à 27 mois</t>
  </si>
  <si>
    <t>Plus de 27 mois jusqu'à 30 mois</t>
  </si>
  <si>
    <t>Plus de 30 mois jusqu'à 33 mois</t>
  </si>
  <si>
    <t>Plus de 33 mois jusqu'à 36 mois</t>
  </si>
  <si>
    <t>Plus de 3 ans jusqu'à 5 ans</t>
  </si>
  <si>
    <t>Plus de 5 ans jusqu'à 10 ans</t>
  </si>
  <si>
    <t>Plus de 10 ans</t>
  </si>
  <si>
    <t>Échéance non définie</t>
  </si>
  <si>
    <t>GR173</t>
  </si>
  <si>
    <t>GR174</t>
  </si>
  <si>
    <t>GR175</t>
  </si>
  <si>
    <t>GR176</t>
  </si>
  <si>
    <t>GR177</t>
  </si>
  <si>
    <t>GR178</t>
  </si>
  <si>
    <t>GR179</t>
  </si>
  <si>
    <t>GR180</t>
  </si>
  <si>
    <t>GR181</t>
  </si>
  <si>
    <t>GR182</t>
  </si>
  <si>
    <t>GR183</t>
  </si>
  <si>
    <t>GR184</t>
  </si>
  <si>
    <t>GR185</t>
  </si>
  <si>
    <t>GR186</t>
  </si>
  <si>
    <t>GR187</t>
  </si>
  <si>
    <t>GR188</t>
  </si>
  <si>
    <t>GR189</t>
  </si>
  <si>
    <t>GR190</t>
  </si>
  <si>
    <t>GR191</t>
  </si>
  <si>
    <t>GR192</t>
  </si>
  <si>
    <t>GR193</t>
  </si>
  <si>
    <t xml:space="preserve">DECLARATION DES CINQUANTE PLUS GROS ENGAGEMENTS </t>
  </si>
  <si>
    <t xml:space="preserve">Encours brut des crédits *        </t>
  </si>
  <si>
    <t xml:space="preserve">Provisions constituées* </t>
  </si>
  <si>
    <t>Montant net</t>
  </si>
  <si>
    <t>Engagements hors bilan</t>
  </si>
  <si>
    <t xml:space="preserve">Total **       </t>
  </si>
  <si>
    <r>
      <rPr>
        <b/>
        <charset val="1"/>
        <color rgb="FF000000"/>
        <family val="2"/>
        <sz val="16"/>
        <rFont val="Arial"/>
      </rPr>
      <t>N</t>
    </r>
    <r>
      <rPr>
        <b/>
        <charset val="1"/>
        <color rgb="FF000000"/>
        <family val="2"/>
        <vertAlign val="superscript"/>
        <sz val="16"/>
        <rFont val="Arial"/>
      </rPr>
      <t>o</t>
    </r>
    <r>
      <rPr>
        <b/>
        <charset val="1"/>
        <color rgb="FF000000"/>
        <family val="2"/>
        <sz val="16"/>
        <rFont val="Arial"/>
      </rPr>
      <t xml:space="preserve"> d'identification Centrale des risques (groupe)</t>
    </r>
  </si>
  <si>
    <t>(c) = (a) - (b)</t>
  </si>
  <si>
    <t>(e) = (c) + (d)</t>
  </si>
  <si>
    <t>GR194</t>
  </si>
  <si>
    <t>GR195</t>
  </si>
  <si>
    <t>GR196</t>
  </si>
  <si>
    <t>GR197</t>
  </si>
  <si>
    <t>GR198</t>
  </si>
  <si>
    <t>GR199</t>
  </si>
  <si>
    <t>GR200</t>
  </si>
  <si>
    <t>GR201</t>
  </si>
  <si>
    <t>GR202</t>
  </si>
  <si>
    <t>GR203</t>
  </si>
  <si>
    <t>CORRIDOR</t>
  </si>
  <si>
    <t>GR204</t>
  </si>
  <si>
    <t>SOCIETE DES MINES DE SYAMA - SA</t>
  </si>
  <si>
    <t>GR205</t>
  </si>
  <si>
    <t>GR206</t>
  </si>
  <si>
    <t>GR207</t>
  </si>
  <si>
    <t>GR208</t>
  </si>
  <si>
    <t>SOCIETE DES MINES DE LOULO</t>
  </si>
  <si>
    <t>GR209</t>
  </si>
  <si>
    <t>CCB-SAS</t>
  </si>
  <si>
    <t>GR210</t>
  </si>
  <si>
    <t>CORICA MINING SERVICES SARL</t>
  </si>
  <si>
    <t>GR211</t>
  </si>
  <si>
    <t>NEEMBA MALI SASU</t>
  </si>
  <si>
    <t>GR212</t>
  </si>
  <si>
    <t>ETS KOUMA ET FRERES IMPORT-EXPORT SARL</t>
  </si>
  <si>
    <t>GR213</t>
  </si>
  <si>
    <t>SOYAFF - SARL</t>
  </si>
  <si>
    <t>GR214</t>
  </si>
  <si>
    <t>SOKAMEF SARL</t>
  </si>
  <si>
    <t>GR215</t>
  </si>
  <si>
    <t>SOCIETE DES MINES DE GOUNKOTO</t>
  </si>
  <si>
    <t>GR216</t>
  </si>
  <si>
    <t>UBIPHARM MALI</t>
  </si>
  <si>
    <t>GR217</t>
  </si>
  <si>
    <t>EMM</t>
  </si>
  <si>
    <t>GR218</t>
  </si>
  <si>
    <t>YARA OIL SA</t>
  </si>
  <si>
    <t>GR219</t>
  </si>
  <si>
    <t xml:space="preserve">CASE CONSTRUCTION SARL </t>
  </si>
  <si>
    <t>GR220</t>
  </si>
  <si>
    <t>M'BOUNA-SA</t>
  </si>
  <si>
    <t>GR221</t>
  </si>
  <si>
    <t>VIVO ENERGY MALI</t>
  </si>
  <si>
    <t>GR222</t>
  </si>
  <si>
    <t>CIE AFG BANK</t>
  </si>
  <si>
    <t>GR223</t>
  </si>
  <si>
    <t>MOTA ENGIL MALI SARL</t>
  </si>
  <si>
    <t>GR224</t>
  </si>
  <si>
    <t>STAR OIL MALI</t>
  </si>
  <si>
    <t>GR225</t>
  </si>
  <si>
    <t>2H HOLDING</t>
  </si>
  <si>
    <t>GR226</t>
  </si>
  <si>
    <t>GMM GRANDS MOULINS DU MALI</t>
  </si>
  <si>
    <t>GR227</t>
  </si>
  <si>
    <t>CFAO MOBILITY</t>
  </si>
  <si>
    <t>GR228</t>
  </si>
  <si>
    <t>MEGA PLUS SERVICES</t>
  </si>
  <si>
    <t>GR229</t>
  </si>
  <si>
    <t>IMS</t>
  </si>
  <si>
    <t>GR230</t>
  </si>
  <si>
    <t>CAMED-SA</t>
  </si>
  <si>
    <t>GR231</t>
  </si>
  <si>
    <t>SANYA INDUSTRIE SARL</t>
  </si>
  <si>
    <t>GR232</t>
  </si>
  <si>
    <t>NIANGADOU DISTRIBUTION COMPAGNIE ENERGIES SA</t>
  </si>
  <si>
    <t>GR233</t>
  </si>
  <si>
    <t>SEMOS</t>
  </si>
  <si>
    <t>GR234</t>
  </si>
  <si>
    <t>MALI SHI - SA</t>
  </si>
  <si>
    <t>GR235</t>
  </si>
  <si>
    <t>CANAM</t>
  </si>
  <si>
    <t>GR236</t>
  </si>
  <si>
    <t>GBI-SARL</t>
  </si>
  <si>
    <t>GR237</t>
  </si>
  <si>
    <t>SOCIETE MAHAMADOU SYLLA</t>
  </si>
  <si>
    <t>GR238</t>
  </si>
  <si>
    <t>ETABLISSEMENTS MAMI NEGOCE SARL</t>
  </si>
  <si>
    <t>GR239</t>
  </si>
  <si>
    <t>PETRO BAMA S.A</t>
  </si>
  <si>
    <t>GR240</t>
  </si>
  <si>
    <t>CITYPHONE - SARL</t>
  </si>
  <si>
    <t>GR241</t>
  </si>
  <si>
    <t>SOCIETE DE TRANSFORMATION D'ACIER AU MALI</t>
  </si>
  <si>
    <t>GR242</t>
  </si>
  <si>
    <t>ENTREPRISE GENERALE TRAORE &amp; FRERES</t>
  </si>
  <si>
    <t>GR243</t>
  </si>
  <si>
    <t>SOCIETE YATTASSAYE ET COMPAGNIE</t>
  </si>
  <si>
    <t>GR244</t>
  </si>
  <si>
    <t>Total des 50 plus gros engagements</t>
  </si>
  <si>
    <t>* Y compris agios dus</t>
  </si>
  <si>
    <t>** Totaux classés par ordre décroissant.</t>
  </si>
  <si>
    <t>RATIO DE LEVIER</t>
  </si>
  <si>
    <t>A. Expositions au bilan</t>
  </si>
  <si>
    <t>RL001</t>
  </si>
  <si>
    <t>Actifs au bilan</t>
  </si>
  <si>
    <t>RL002</t>
  </si>
  <si>
    <t>(-) Expositions au bilan déduites des fonds propres</t>
  </si>
  <si>
    <t>RL003</t>
  </si>
  <si>
    <t>(-) Expositions sur opérations assimilables à des pensions</t>
  </si>
  <si>
    <t>RL004</t>
  </si>
  <si>
    <t>Total des expositions au bilan</t>
  </si>
  <si>
    <t>B. Expositions sur dérivés</t>
  </si>
  <si>
    <t>RL005</t>
  </si>
  <si>
    <t>Dérivés non couverts par un accord-cadre de compensation bilatérale admissible</t>
  </si>
  <si>
    <t>RL006</t>
  </si>
  <si>
    <t>Dérivés couverts par un accord-cadre de compensation bilatérale admissible</t>
  </si>
  <si>
    <t>RL007</t>
  </si>
  <si>
    <t>Total des expositions sur dérivés</t>
  </si>
  <si>
    <t>C. Expositions sur opérations assimilables à des pensions</t>
  </si>
  <si>
    <t>RL008</t>
  </si>
  <si>
    <t>Opérations assimilables à des pensions à titre d'intermédiaire</t>
  </si>
  <si>
    <t>RL009</t>
  </si>
  <si>
    <t>Autres opérations assimilables à des pensions</t>
  </si>
  <si>
    <t>RL010</t>
  </si>
  <si>
    <t xml:space="preserve">Total des expositions sur opérations assimilables à des pensions </t>
  </si>
  <si>
    <t>D. Expositions sur engagement hors bilan (excluant les dérivés et les opérations assimilables à des pensions)</t>
  </si>
  <si>
    <t>RL011</t>
  </si>
  <si>
    <t>RL012</t>
  </si>
  <si>
    <t>Autres engagements hors bilan</t>
  </si>
  <si>
    <t>RL013</t>
  </si>
  <si>
    <t>Total des expositions sur engagement hors bilan</t>
  </si>
  <si>
    <t>E. Calcul du ratio de levier</t>
  </si>
  <si>
    <t>RL014</t>
  </si>
  <si>
    <t>Fonds propres de base T1</t>
  </si>
  <si>
    <t>RL015</t>
  </si>
  <si>
    <t>Exposition totale</t>
  </si>
  <si>
    <t>Ratio de levier  (%)</t>
  </si>
  <si>
    <t>LISTE DES PARTICIPATIONS DE L'ETABLISSEMENT</t>
  </si>
  <si>
    <t>Dénomination de l'entreprise émettrice</t>
  </si>
  <si>
    <t>Capital de l'entreprise</t>
  </si>
  <si>
    <t xml:space="preserve">Montant de la participation </t>
  </si>
  <si>
    <t>brut *</t>
  </si>
  <si>
    <t>net **</t>
  </si>
  <si>
    <t>A. Participations dans les établissements</t>
  </si>
  <si>
    <t>PA001</t>
  </si>
  <si>
    <t>PARTICIPATIONS HOLDING BRS</t>
  </si>
  <si>
    <t>PA002</t>
  </si>
  <si>
    <t>PARTICIPATIONS CRRH</t>
  </si>
  <si>
    <t>PA003</t>
  </si>
  <si>
    <t>PARTICIPATIONS FGSP</t>
  </si>
  <si>
    <t>PA004</t>
  </si>
  <si>
    <t>PA005</t>
  </si>
  <si>
    <t>PA006</t>
  </si>
  <si>
    <t>PA007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</si>
  <si>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</si>
  <si>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</si>
  <si>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</si>
  <si>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</si>
  <si>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</si>
  <si>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</si>
  <si>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</si>
  <si>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</si>
  <si>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PA016</t>
  </si>
  <si>
    <t>PA017</t>
  </si>
  <si>
    <t>PA018</t>
  </si>
  <si>
    <t>PA019</t>
  </si>
  <si>
    <t>PA020</t>
  </si>
  <si>
    <t>PA021</t>
  </si>
  <si>
    <t>B. Participations dans les entreprises d'assurances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</si>
  <si>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</si>
  <si>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</si>
  <si>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</si>
  <si>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</si>
  <si>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</si>
  <si>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</si>
  <si>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</si>
  <si>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</si>
  <si>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</si>
  <si>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</si>
  <si>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</si>
  <si>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PA033</t>
  </si>
  <si>
    <t>PA034</t>
  </si>
  <si>
    <t>PA035</t>
  </si>
  <si>
    <t>PA036</t>
  </si>
  <si>
    <t>PA037</t>
  </si>
  <si>
    <t>PA038</t>
  </si>
  <si>
    <t>PA039</t>
  </si>
  <si>
    <t>PA040</t>
  </si>
  <si>
    <t>PA041</t>
  </si>
  <si>
    <t>PA042</t>
  </si>
  <si>
    <t>Total des participations dans les entreprises d'assurances</t>
  </si>
  <si>
    <t>C. Participations dans les autres entités financières</t>
  </si>
  <si>
    <t>PA043</t>
  </si>
  <si>
    <t>PA044</t>
  </si>
  <si>
    <t>PA045</t>
  </si>
  <si>
    <t>PA046</t>
  </si>
  <si>
    <t>PA047</t>
  </si>
  <si>
    <t>PA048</t>
  </si>
  <si>
    <t>PA049</t>
  </si>
  <si>
    <t>PA050</t>
  </si>
  <si>
    <t>PA051</t>
  </si>
  <si>
    <t>PA052</t>
  </si>
  <si>
    <t>PA053</t>
  </si>
  <si>
    <t>PA054</t>
  </si>
  <si>
    <t>PA055</t>
  </si>
  <si>
    <t>PA056</t>
  </si>
  <si>
    <t>PA057</t>
  </si>
  <si>
    <t>PA058</t>
  </si>
  <si>
    <t>PA059</t>
  </si>
  <si>
    <t>PA060</t>
  </si>
  <si>
    <t>PA061</t>
  </si>
  <si>
    <t>PA062</t>
  </si>
  <si>
    <t>PA063</t>
  </si>
  <si>
    <t>Total des participations dans les autres entités financières</t>
  </si>
  <si>
    <t>D. Participations dans les sociétés immobilières (SI)</t>
  </si>
  <si>
    <t>PA064</t>
  </si>
  <si>
    <t>PARTICIPATION SCI AGI MALI S.A</t>
  </si>
  <si>
    <t>PA065</t>
  </si>
  <si>
    <t>PA066</t>
  </si>
  <si>
    <t>PA067</t>
  </si>
  <si>
    <t>PA068</t>
  </si>
  <si>
    <t>PA069</t>
  </si>
  <si>
    <t>PA070</t>
  </si>
  <si>
    <t>PA071</t>
  </si>
  <si>
    <t>PA072</t>
  </si>
  <si>
    <t>PA073</t>
  </si>
  <si>
    <t>PA074</t>
  </si>
  <si>
    <t>PA075</t>
  </si>
  <si>
    <t>PA076</t>
  </si>
  <si>
    <t>PA077</t>
  </si>
  <si>
    <t>PA078</t>
  </si>
  <si>
    <t>PA079</t>
  </si>
  <si>
    <t>PA080</t>
  </si>
  <si>
    <t>PA081</t>
  </si>
  <si>
    <t>PA082</t>
  </si>
  <si>
    <t>PA083</t>
  </si>
  <si>
    <t>PA084</t>
  </si>
  <si>
    <t>Total des participations dans les sociétés immobilières</t>
  </si>
  <si>
    <t>E. Participations dans les entités commerciales</t>
  </si>
  <si>
    <t>PA085</t>
  </si>
  <si>
    <t>PARTICIPATIONS GIM UEMOA</t>
  </si>
  <si>
    <t>PA086</t>
  </si>
  <si>
    <t>PARTICIPATIONS  SCIE</t>
  </si>
  <si>
    <t>PA087</t>
  </si>
  <si>
    <t>PA088</t>
  </si>
  <si>
    <t>PA089</t>
  </si>
  <si>
    <t>PA090</t>
  </si>
  <si>
    <t>PA091</t>
  </si>
  <si>
    <t>PA092</t>
  </si>
  <si>
    <t>PA093</t>
  </si>
  <si>
    <t>PA094</t>
  </si>
  <si>
    <t>PA095</t>
  </si>
  <si>
    <t>PA096</t>
  </si>
  <si>
    <t>PA097</t>
  </si>
  <si>
    <t>PA098</t>
  </si>
  <si>
    <t>PA099</t>
  </si>
  <si>
    <t>PA100</t>
  </si>
  <si>
    <t>PA101</t>
  </si>
  <si>
    <t>PA102</t>
  </si>
  <si>
    <t>PA103</t>
  </si>
  <si>
    <t>PA104</t>
  </si>
  <si>
    <t>PA105</t>
  </si>
  <si>
    <t>Total des participations dans les entités commerciales</t>
  </si>
  <si>
    <t>PA106</t>
  </si>
  <si>
    <t>TOTAL DES PARTICIPATIONS</t>
  </si>
  <si>
    <t>* Souscriptions</t>
  </si>
  <si>
    <t>** Montants libérés, nets des provisions.</t>
  </si>
  <si>
    <t xml:space="preserve"> PARTICIPATIONS DANS DES ENTITES COMMERCIALES </t>
  </si>
  <si>
    <t xml:space="preserve">Montant des participations dans des entités commerciales </t>
  </si>
  <si>
    <t>Total participations sur FPE ***</t>
  </si>
  <si>
    <t>Pourcentage du capital détenu</t>
  </si>
  <si>
    <t>Pourcentage du FPB T1 ***</t>
  </si>
  <si>
    <t>(25% maximum)</t>
  </si>
  <si>
    <t>(15 % maximum)</t>
  </si>
  <si>
    <t>(60 % maximum)</t>
  </si>
  <si>
    <t>d=b/a (%)</t>
  </si>
  <si>
    <t>e=c/ FPB (%)</t>
  </si>
  <si>
    <t>f=Total de c / FPE (%)</t>
  </si>
  <si>
    <t>PA107</t>
  </si>
  <si>
    <t>PA108</t>
  </si>
  <si>
    <t>PA109</t>
  </si>
  <si>
    <t>PA110</t>
  </si>
  <si>
    <t>PA111</t>
  </si>
  <si>
    <t>PA112</t>
  </si>
  <si>
    <t>PA113</t>
  </si>
  <si>
    <t>PA114</t>
  </si>
  <si>
    <t>PA115</t>
  </si>
  <si>
    <t>PA116</t>
  </si>
  <si>
    <t>PA117</t>
  </si>
  <si>
    <t>PA118</t>
  </si>
  <si>
    <t>PA119</t>
  </si>
  <si>
    <t>PA120</t>
  </si>
  <si>
    <t>PA121</t>
  </si>
  <si>
    <t>PA122</t>
  </si>
  <si>
    <t>PA123</t>
  </si>
  <si>
    <t>PA124</t>
  </si>
  <si>
    <t>PA125</t>
  </si>
  <si>
    <t>PA126</t>
  </si>
  <si>
    <t>PA127</t>
  </si>
  <si>
    <t>Excédant à la limite</t>
  </si>
  <si>
    <t>Limites individuelles</t>
  </si>
  <si>
    <t>Limite globale</t>
  </si>
  <si>
    <t>A déduire des fonds propres</t>
  </si>
  <si>
    <t>Exédant maximum</t>
  </si>
  <si>
    <t>g= Max[0; (a*(d-25%))]</t>
  </si>
  <si>
    <t>h= Max[0; (c-(15%*FPB T1))]</t>
  </si>
  <si>
    <t>i=max(g;h)</t>
  </si>
  <si>
    <t>j= Max[0; (c-(60%*FPE))]</t>
  </si>
  <si>
    <t>k= Max (total i;j)</t>
  </si>
  <si>
    <t>PA128</t>
  </si>
  <si>
    <t>PA129</t>
  </si>
  <si>
    <t>PA130</t>
  </si>
  <si>
    <t>PA131</t>
  </si>
  <si>
    <t>PA132</t>
  </si>
  <si>
    <t>PA133</t>
  </si>
  <si>
    <t>PA134</t>
  </si>
  <si>
    <t>PA135</t>
  </si>
  <si>
    <t>PA136</t>
  </si>
  <si>
    <t>PA137</t>
  </si>
  <si>
    <t>PA138</t>
  </si>
  <si>
    <t>PA139</t>
  </si>
  <si>
    <t>PA140</t>
  </si>
  <si>
    <t>PA141</t>
  </si>
  <si>
    <t>PA142</t>
  </si>
  <si>
    <t>PA143</t>
  </si>
  <si>
    <t>PA144</t>
  </si>
  <si>
    <t>PA145</t>
  </si>
  <si>
    <t>PA146</t>
  </si>
  <si>
    <t>PA147</t>
  </si>
  <si>
    <t>PA148</t>
  </si>
  <si>
    <t>Poste mémoire - Fonds propres effectifs</t>
  </si>
  <si>
    <t>Fonds propres effectifs***</t>
  </si>
  <si>
    <t>Fonds propres de base T1***</t>
  </si>
  <si>
    <t>*** de l'exercice précédent</t>
  </si>
  <si>
    <t xml:space="preserve">IMMOBILISATIONS HORS EXPLOITATION </t>
  </si>
  <si>
    <t>Montant des immobilisations hors exploitation et participations dans  les sociétés immobilières</t>
  </si>
  <si>
    <t>Pourcentage des FPB T1 ***</t>
  </si>
  <si>
    <t>c= Total de b/FPB T1</t>
  </si>
  <si>
    <t>d=Max[0; (Total de b-(15%*FPB T1))]</t>
  </si>
  <si>
    <t>IM001</t>
  </si>
  <si>
    <t>Immobilisations hors exploitation avant ajustement</t>
  </si>
  <si>
    <t>IM002</t>
  </si>
  <si>
    <t>(-) Immobilisations acquises par réalisation de garantie depuis moins de 2 ans</t>
  </si>
  <si>
    <t>IM003</t>
  </si>
  <si>
    <t>(-) Immobilisations acquises par réalisation de garantie depuis plus de 2 ans, mais bénéficiant d'une dérogation de la Commission Bancaire</t>
  </si>
  <si>
    <t>IM004</t>
  </si>
  <si>
    <t>Immobilisations hors exploitation après ajustement</t>
  </si>
  <si>
    <t xml:space="preserve">Participations dans les sociétés immobilières </t>
  </si>
  <si>
    <t>IM005</t>
  </si>
  <si>
    <t>Total des immobilisations hors exploitation et participations dans les sociétés immobilières</t>
  </si>
  <si>
    <t>Poste mémoire - Fonds propres de base T1</t>
  </si>
  <si>
    <t>* Immobilisations hors exploitation (montant incluant les amortissements); Participations dans les sociétés immobilières (montant des souscriptions)</t>
  </si>
  <si>
    <t xml:space="preserve">** Immobilisations hors exploitation (montant net des amortissements); Participations dans les sociétés immobilières (montant libérés, nets des provisions) </t>
  </si>
  <si>
    <t xml:space="preserve">IMMOBILISATIONS ET PARTICIPATIONS </t>
  </si>
  <si>
    <t>Montant des immobilisations et des participations</t>
  </si>
  <si>
    <t>pourcentage des FPE ***</t>
  </si>
  <si>
    <t>c= Total de b/FPE</t>
  </si>
  <si>
    <t>d= Max[0; (Total de b-(100%*FPE))]</t>
  </si>
  <si>
    <t>IM007</t>
  </si>
  <si>
    <t>Immobilisations d'exploitation ajustées</t>
  </si>
  <si>
    <t>IM008</t>
  </si>
  <si>
    <t>Total des immobilisations</t>
  </si>
  <si>
    <t>Total des participations</t>
  </si>
  <si>
    <t>IM009</t>
  </si>
  <si>
    <t>Total des immobilisations et des participations</t>
  </si>
  <si>
    <t>PRÊTS AUX PRINCIPAUX ACTIONNAIRES, AUX DIRIGEANTS, AU PERSONNEL, AUX COMMISSAIRES AUX COMPTES ET AUX AUTRES PARTIES LIEES</t>
  </si>
  <si>
    <r>
      <rPr>
        <b/>
        <charset val="1"/>
        <family val="2"/>
        <sz val="14"/>
        <rFont val="Arial"/>
      </rPr>
      <t>BENEFICIAIRES</t>
    </r>
    <r>
      <rPr>
        <charset val="1"/>
        <family val="2"/>
        <sz val="14"/>
        <rFont val="Arial"/>
      </rPr>
      <t xml:space="preserve"> </t>
    </r>
  </si>
  <si>
    <t>CONCOURS ET ENGAGEMENTS</t>
  </si>
  <si>
    <t>Actionnaires détenant individuellement au moins 10% des droits de vote</t>
  </si>
  <si>
    <t>Membres de l'organe délibérant (n.c. dans la colonne 1)</t>
  </si>
  <si>
    <t>Membres de l'organe exécutif (n.c. dans la colonne 1)</t>
  </si>
  <si>
    <t>Commissaires aux comptes</t>
  </si>
  <si>
    <t>Personnel de Direction</t>
  </si>
  <si>
    <t>Cadres moyens et supérieurs</t>
  </si>
  <si>
    <t>Personnel d'exécution</t>
  </si>
  <si>
    <t xml:space="preserve">Autres parties liées </t>
  </si>
  <si>
    <t>pourcentage des FPE</t>
  </si>
  <si>
    <t>(j)=i/FPE *</t>
  </si>
  <si>
    <t xml:space="preserve">(k)= Max[0; (Total de i-(20%*FPE))] </t>
  </si>
  <si>
    <t>PR001</t>
  </si>
  <si>
    <t xml:space="preserve">Montant des concours </t>
  </si>
  <si>
    <t>PR002</t>
  </si>
  <si>
    <t>Engagements par signature</t>
  </si>
  <si>
    <t>PR003</t>
  </si>
  <si>
    <t>Total des engagements</t>
  </si>
  <si>
    <t>Fonds propres effectifs*</t>
  </si>
  <si>
    <t>* de l'exercice précédent</t>
  </si>
  <si>
    <r>
      <rPr>
        <b/>
        <charset val="1"/>
        <family val="2"/>
        <sz val="18"/>
        <rFont val="Arial"/>
      </rPr>
      <t>LISTE DES PRINCIPAUX ACTIONNAIRES,  DIRIGEANTS, MEMBRES DU PERSONNEL</t>
    </r>
    <r>
      <rPr>
        <b/>
        <charset val="1"/>
        <color rgb="FFFF0000"/>
        <family val="2"/>
        <sz val="18"/>
        <rFont val="Arial"/>
      </rPr>
      <t xml:space="preserve"> </t>
    </r>
    <r>
      <rPr>
        <b/>
        <charset val="1"/>
        <family val="2"/>
        <sz val="18"/>
        <rFont val="Arial"/>
      </rPr>
      <t>ET AUTRES PARTIES LIEES</t>
    </r>
    <r>
      <rPr>
        <b/>
        <charset val="1"/>
        <color rgb="FFFF0000"/>
        <family val="2"/>
        <sz val="18"/>
        <rFont val="Arial"/>
      </rPr>
      <t xml:space="preserve"> </t>
    </r>
    <r>
      <rPr>
        <b/>
        <charset val="1"/>
        <family val="2"/>
        <sz val="18"/>
        <rFont val="Arial"/>
      </rPr>
      <t>BENEFICIANT DE PRÊTS ET D'ENGAGEMENTS SUPERIEURS A 5% DES FONDS PROPRES EFFECTIFS DE L'ETABLISSEMENT</t>
    </r>
  </si>
  <si>
    <r>
      <rPr>
        <b/>
        <charset val="1"/>
        <family val="2"/>
        <sz val="18"/>
        <rFont val="Arial"/>
      </rPr>
      <t>BENEFICIAIRES</t>
    </r>
    <r>
      <rPr>
        <charset val="1"/>
        <family val="2"/>
        <sz val="18"/>
        <rFont val="Arial"/>
      </rPr>
      <t xml:space="preserve"> </t>
    </r>
  </si>
  <si>
    <t>Membres de l'organe délibérant (n.c. dans la colonne c)</t>
  </si>
  <si>
    <t>Membres de l'organe exécutif (n.c. dans la colonne c)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</si>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</sst>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 %"/>
    <numFmt numFmtId="165" formatCode=" General"/>
    <numFmt numFmtId="166" formatCode="0 %"/>
    <numFmt numFmtId="167" formatCode="[$-40C]General"/>
    <numFmt numFmtId="168" formatCode="0.0%"/>
    <numFmt numFmtId="169" formatCode="#,##0% ;(#,##0%)"/>
    <numFmt numFmtId="170" formatCode="#,##0 _€;-#,##0 _€"/>
  </numFmts>
  <fonts count="57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1"/>
    </font>
    <font>
      <b/>
      <charset val="1"/>
      <color rgb="FF000000"/>
      <family val="2"/>
      <sz val="9"/>
      <name val="Arial"/>
    </font>
    <font>
      <charset val="1"/>
      <color rgb="FF000000"/>
      <family val="2"/>
      <sz val="9"/>
      <name val="Arial"/>
    </font>
    <font>
      <b/>
      <charset val="1"/>
      <color rgb="FF000000"/>
      <family val="2"/>
      <sz val="14"/>
      <name val="Arial"/>
    </font>
    <font>
      <b/>
      <charset val="1"/>
      <color rgb="FF83CAFF"/>
      <family val="2"/>
      <sz val="14"/>
      <name val="Arial"/>
    </font>
    <font>
      <charset val="1"/>
      <color rgb="FF000000"/>
      <family val="2"/>
      <sz val="12"/>
      <name val="Arial"/>
    </font>
    <font>
      <b/>
      <charset val="1"/>
      <color rgb="FF000000"/>
      <family val="2"/>
      <sz val="22"/>
      <name val="Arial"/>
    </font>
    <font>
      <b/>
      <charset val="1"/>
      <color theme="1"/>
      <family val="2"/>
      <sz val="10"/>
      <name val="Arial"/>
    </font>
    <font>
      <charset val="1"/>
      <color theme="1"/>
      <family val="2"/>
      <sz val="10"/>
      <name val="Arial"/>
    </font>
    <font>
      <charset val="1"/>
      <color rgb="FF000000"/>
      <family val="2"/>
      <sz val="10"/>
      <name val="Arial"/>
    </font>
    <font>
      <b/>
      <charset val="1"/>
      <color rgb="FF000000"/>
      <family val="2"/>
      <sz val="10"/>
      <name val="Arial"/>
    </font>
    <font>
      <charset val="1"/>
      <family val="2"/>
      <sz val="14"/>
      <name val="Arial"/>
    </font>
    <font>
      <b/>
      <charset val="1"/>
      <family val="2"/>
      <sz val="14"/>
      <name val="Arial"/>
    </font>
    <font>
      <charset val="1"/>
      <sz val="12"/>
      <name val="Arial1"/>
    </font>
    <font>
      <b/>
      <charset val="1"/>
      <sz val="12"/>
      <name val="Arial1"/>
    </font>
    <font>
      <b/>
      <u/>
      <charset val="1"/>
      <sz val="12"/>
      <name val="Arial1"/>
    </font>
    <font>
      <charset val="1"/>
      <family val="2"/>
      <sz val="12"/>
      <name val="Arial"/>
    </font>
    <font>
      <b/>
      <charset val="1"/>
      <color rgb="FF000000"/>
      <family val="2"/>
      <sz val="12"/>
      <name val="Arial"/>
    </font>
    <font>
      <b/>
      <u/>
      <charset val="1"/>
      <color rgb="FF000000"/>
      <family val="2"/>
      <sz val="12"/>
      <name val="Arial"/>
    </font>
    <font>
      <charset val="1"/>
      <color theme="1"/>
      <family val="2"/>
      <sz val="12"/>
      <name val="Arial"/>
    </font>
    <font>
      <b/>
      <charset val="1"/>
      <family val="2"/>
      <sz val="12"/>
      <name val="Arial"/>
    </font>
    <font>
      <b/>
      <u/>
      <charset val="1"/>
      <family val="2"/>
      <sz val="14"/>
      <name val="Arial"/>
    </font>
    <font>
      <charset val="1"/>
      <color rgb="FF000000"/>
      <family val="2"/>
      <sz val="18"/>
      <name val="Arial"/>
    </font>
    <font>
      <b/>
      <charset val="1"/>
      <color rgb="FF000000"/>
      <family val="2"/>
      <sz val="18"/>
      <name val="Arial"/>
    </font>
    <font>
      <b/>
      <charset val="1"/>
      <family val="2"/>
      <sz val="18"/>
      <name val="Arial"/>
    </font>
    <font>
      <b/>
      <charset val="1"/>
      <color theme="1"/>
      <family val="2"/>
      <sz val="18"/>
      <name val="Arial"/>
    </font>
    <font>
      <charset val="1"/>
      <color theme="1"/>
      <family val="2"/>
      <sz val="18"/>
      <name val="Arial"/>
    </font>
    <font>
      <charset val="1"/>
      <family val="2"/>
      <sz val="18"/>
      <name val="Arial"/>
    </font>
    <font>
      <charset val="1"/>
      <family val="2"/>
      <sz val="20"/>
      <name val="Arial"/>
    </font>
    <font>
      <b/>
      <charset val="1"/>
      <family val="2"/>
      <sz val="20"/>
      <name val="Arial"/>
    </font>
    <font>
      <charset val="1"/>
      <color rgb="FF000000"/>
      <family val="2"/>
      <sz val="14"/>
      <name val="Arial"/>
    </font>
    <font>
      <charset val="1"/>
      <color rgb="FF000000"/>
      <sz val="14"/>
      <name val="Arial1"/>
    </font>
    <font>
      <b/>
      <charset val="1"/>
      <color rgb="FF000000"/>
      <family val="2"/>
      <sz val="14"/>
      <name val="Calibri"/>
    </font>
    <font>
      <b/>
      <charset val="1"/>
      <sz val="14"/>
      <name val="Arial1"/>
    </font>
    <font>
      <charset val="1"/>
      <sz val="14"/>
      <name val="Arial1"/>
    </font>
    <font>
      <b/>
      <charset val="1"/>
      <color rgb="FF000000"/>
      <sz val="14"/>
      <name val="Arial1"/>
    </font>
    <font>
      <charset val="1"/>
      <color theme="1"/>
      <family val="2"/>
      <sz val="14"/>
      <name val="Arial"/>
    </font>
    <font>
      <charset val="1"/>
      <color rgb="FF000000"/>
      <family val="2"/>
      <sz val="16"/>
      <name val="Arial"/>
    </font>
    <font>
      <b/>
      <charset val="1"/>
      <color rgb="FF000000"/>
      <family val="2"/>
      <sz val="16"/>
      <name val="Arial"/>
    </font>
    <font>
      <charset val="1"/>
      <color rgb="FF000000"/>
      <sz val="16"/>
      <name val="Arial1"/>
    </font>
    <font>
      <b/>
      <charset val="1"/>
      <family val="2"/>
      <sz val="16"/>
      <name val="Arial"/>
    </font>
    <font>
      <charset val="1"/>
      <family val="2"/>
      <sz val="16"/>
      <name val="Arial"/>
    </font>
    <font>
      <b/>
      <charset val="1"/>
      <color theme="1"/>
      <family val="2"/>
      <sz val="16"/>
      <name val="Arial"/>
    </font>
    <font>
      <charset val="1"/>
      <color theme="1"/>
      <family val="2"/>
      <sz val="16"/>
      <name val="Arial"/>
    </font>
    <font>
      <charset val="1"/>
      <color rgb="FF000000"/>
      <sz val="18"/>
      <name val="Arial1"/>
    </font>
    <font>
      <b/>
      <u/>
      <charset val="1"/>
      <family val="2"/>
      <sz val="18"/>
      <name val="Arial"/>
    </font>
    <font>
      <charset val="1"/>
      <color rgb="FF000000"/>
      <family val="2"/>
      <sz val="20"/>
      <name val="Arial"/>
    </font>
    <font>
      <b/>
      <i/>
      <charset val="1"/>
      <family val="2"/>
      <sz val="16"/>
      <name val="Arial"/>
    </font>
    <font>
      <b/>
      <u/>
      <charset val="1"/>
      <family val="2"/>
      <sz val="16"/>
      <name val="Arial"/>
    </font>
    <font>
      <charset val="1"/>
      <sz val="16"/>
      <name val="Arial1"/>
    </font>
    <font>
      <i/>
      <charset val="1"/>
      <family val="2"/>
      <sz val="16"/>
      <name val="Arial"/>
    </font>
    <font>
      <i/>
      <charset val="1"/>
      <family val="2"/>
      <sz val="14"/>
      <name val="Arial"/>
    </font>
    <font>
      <b/>
      <charset val="1"/>
      <color theme="1"/>
      <family val="2"/>
      <sz val="14"/>
      <name val="Arial"/>
    </font>
    <font>
      <charset val="1"/>
      <color rgb="FF000000"/>
      <sz val="12"/>
      <name val="Arial1"/>
    </font>
    <font>
      <b/>
      <u/>
      <charset val="1"/>
      <color rgb="FF000000"/>
      <family val="2"/>
      <sz val="14"/>
      <name val="Arial"/>
    </font>
    <font>
      <b/>
      <i/>
      <charset val="1"/>
      <family val="2"/>
      <sz val="18"/>
      <name val="Arial"/>
    </font>
  </fonts>
  <fills count="8">
    <fill>
      <patternFill patternType="none"/>
    </fill>
    <fill>
      <patternFill patternType="gray125"/>
    </fill>
    <fill>
      <patternFill patternType="solid">
        <fgColor rgb="FF83CAFF"/>
        <bgColor rgb="FF99CCFF"/>
      </patternFill>
    </fill>
    <fill>
      <patternFill patternType="solid">
        <fgColor rgb="FFFFD320"/>
        <bgColor rgb="FFFFCC00"/>
      </patternFill>
    </fill>
    <fill>
      <patternFill patternType="solid">
        <fgColor rgb="FF663300"/>
        <bgColor rgb="FF993300"/>
      </patternFill>
    </fill>
    <fill>
      <patternFill patternType="solid">
        <fgColor rgb="FFFFF2CC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0">
    <border>
      <left/>
      <right/>
      <top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/>
      <diagonal/>
    </border>
  </borders>
  <cellStyleXfs count="1">
    <xf numFmtId="0" fontId="0" fillId="0" borderId="0"/>
  </cellStyleXfs>
  <cellXfs count="746">
    <xf numFmtId="0" fontId="0" fillId="0" borderId="0" xfId="0"/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6" fillId="2" borderId="0" xfId="0" applyFont="1" applyFill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Protection="1">
      <protection locked="0"/>
    </xf>
    <xf numFmtId="0" fontId="8" fillId="0" borderId="0" xfId="0" applyFont="1" applyAlignment="1">
      <alignment horizontal="center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164" fontId="1" fillId="5" borderId="0" xfId="0" applyNumberFormat="1" applyFont="1" applyFill="1" applyAlignment="1" applyProtection="1">
      <alignment horizontal="left" vertical="center"/>
      <protection locked="0"/>
    </xf>
    <xf numFmtId="164" fontId="1" fillId="5" borderId="1" xfId="0" applyNumberFormat="1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10" fillId="6" borderId="0" xfId="0" applyFont="1" applyFill="1" applyAlignment="1" applyProtection="1">
      <alignment horizontal="left" vertical="center"/>
      <protection locked="0"/>
    </xf>
    <xf numFmtId="0" fontId="11" fillId="6" borderId="0" xfId="0" applyFont="1" applyFill="1" applyAlignment="1">
      <alignment horizontal="left"/>
    </xf>
    <xf numFmtId="0" fontId="10" fillId="6" borderId="0" xfId="0" applyFont="1" applyFill="1" applyAlignment="1">
      <alignment horizontal="left"/>
    </xf>
    <xf numFmtId="164" fontId="1" fillId="5" borderId="2" xfId="0" applyNumberFormat="1" applyFont="1" applyFill="1" applyBorder="1" applyAlignment="1" applyProtection="1">
      <alignment horizontal="center" vertical="center"/>
      <protection locked="0"/>
    </xf>
    <xf numFmtId="0" fontId="10" fillId="6" borderId="0" xfId="0" applyFont="1" applyFill="1" applyAlignment="1">
      <alignment horizontal="left" vertical="center"/>
    </xf>
    <xf numFmtId="164" fontId="1" fillId="5" borderId="2" xfId="0" applyNumberFormat="1" applyFont="1" applyFill="1" applyBorder="1" applyAlignment="1" applyProtection="1">
      <alignment horizontal="left" vertical="center"/>
      <protection locked="0"/>
    </xf>
    <xf numFmtId="0" fontId="11" fillId="6" borderId="0" xfId="0" applyFont="1" applyFill="1" applyAlignment="1">
      <alignment horizontal="left" wrapText="1"/>
    </xf>
    <xf numFmtId="0" fontId="10" fillId="6" borderId="0" xfId="0" applyFont="1" applyFill="1" applyAlignment="1" applyProtection="1">
      <alignment vertical="center"/>
      <protection locked="0"/>
    </xf>
    <xf numFmtId="0" fontId="10" fillId="6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center" vertical="center"/>
    </xf>
    <xf numFmtId="0" fontId="10" fillId="0" borderId="0" xfId="0" applyFont="1" applyAlignment="1" applyProtection="1">
      <alignment horizontal="left" vertical="center"/>
      <protection locked="0"/>
    </xf>
    <xf numFmtId="0" fontId="10" fillId="6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left"/>
    </xf>
    <xf numFmtId="164" fontId="1" fillId="6" borderId="0" xfId="0" applyNumberFormat="1" applyFont="1" applyFill="1" applyAlignment="1" applyProtection="1">
      <alignment vertical="center"/>
      <protection locked="0"/>
    </xf>
    <xf numFmtId="0" fontId="10" fillId="0" borderId="0" xfId="0" applyFont="1" applyAlignment="1">
      <alignment horizontal="center"/>
    </xf>
    <xf numFmtId="0" fontId="10" fillId="6" borderId="0" xfId="0" applyFont="1" applyFill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6" borderId="0" xfId="0" applyFont="1" applyFill="1" applyAlignment="1">
      <alignment horizontal="left" vertical="top" wrapText="1"/>
    </xf>
    <xf numFmtId="0" fontId="10" fillId="0" borderId="0" xfId="0" applyFont="1" applyProtection="1">
      <protection locked="0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13" fillId="0" borderId="0" xfId="0" applyNumberFormat="1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left" vertical="center"/>
      <protection hidden="1"/>
    </xf>
    <xf numFmtId="49" fontId="13" fillId="0" borderId="0" xfId="0" applyNumberFormat="1" applyFont="1" applyAlignment="1" applyProtection="1">
      <alignment horizontal="center" vertical="center"/>
      <protection hidden="1"/>
    </xf>
    <xf numFmtId="49" fontId="13" fillId="0" borderId="0" xfId="0" applyNumberFormat="1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3" fillId="0" borderId="4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1" xfId="0" applyFont="1" applyBorder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top"/>
    </xf>
    <xf numFmtId="165" fontId="15" fillId="0" borderId="0" xfId="0" applyNumberFormat="1" applyFont="1" applyAlignment="1">
      <alignment horizontal="right" vertical="top" wrapText="1"/>
    </xf>
    <xf numFmtId="0" fontId="14" fillId="0" borderId="0" xfId="0" applyFont="1" applyAlignment="1" applyProtection="1">
      <alignment horizontal="left" vertical="center"/>
      <protection locked="0"/>
    </xf>
    <xf numFmtId="49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 wrapText="1"/>
      <protection locked="0"/>
    </xf>
    <xf numFmtId="49" fontId="14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2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4" fillId="0" borderId="3" xfId="0" applyFont="1" applyBorder="1" applyAlignment="1" applyProtection="1">
      <alignment horizontal="left" vertical="center"/>
      <protection hidden="1"/>
    </xf>
    <xf numFmtId="0" fontId="14" fillId="6" borderId="3" xfId="0" applyFont="1" applyFill="1" applyBorder="1" applyAlignment="1" applyProtection="1">
      <alignment horizontal="center" vertical="center"/>
      <protection hidden="1"/>
    </xf>
    <xf numFmtId="164" fontId="14" fillId="5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166" fontId="14" fillId="5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165" fontId="18" fillId="0" borderId="9" xfId="0" applyNumberFormat="1" applyFont="1" applyBorder="1" applyAlignment="1">
      <alignment horizontal="right" vertical="center" wrapText="1"/>
    </xf>
    <xf numFmtId="0" fontId="6" fillId="0" borderId="0" xfId="0" applyFont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 wrapText="1"/>
      <protection locked="0"/>
    </xf>
    <xf numFmtId="49" fontId="6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6" fillId="0" borderId="3" xfId="0" applyFont="1" applyBorder="1" applyAlignment="1" applyProtection="1">
      <alignment horizontal="left" vertical="center"/>
      <protection hidden="1"/>
    </xf>
    <xf numFmtId="0" fontId="6" fillId="6" borderId="10" xfId="0" applyFont="1" applyFill="1" applyBorder="1" applyAlignment="1" applyProtection="1">
      <alignment horizontal="left" vertical="center"/>
      <protection hidden="1"/>
    </xf>
    <xf numFmtId="164" fontId="6" fillId="5" borderId="3" xfId="0" applyNumberFormat="1" applyFont="1" applyFill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6" fillId="5" borderId="3" xfId="0" applyFont="1" applyFill="1" applyBorder="1" applyAlignment="1" applyProtection="1">
      <alignment horizontal="left" vertical="center"/>
      <protection locked="0"/>
    </xf>
    <xf numFmtId="167" fontId="20" fillId="6" borderId="0" xfId="0" applyNumberFormat="1" applyFont="1" applyFill="1" applyAlignment="1" applyProtection="1">
      <alignment horizontal="center" vertical="center" wrapText="1"/>
      <protection hidden="1"/>
    </xf>
    <xf numFmtId="167" fontId="20" fillId="6" borderId="0" xfId="0" applyNumberFormat="1" applyFont="1" applyFill="1" applyAlignment="1" applyProtection="1">
      <alignment horizontal="center" vertical="center"/>
      <protection locked="0" hidden="1"/>
    </xf>
    <xf numFmtId="0" fontId="6" fillId="6" borderId="0" xfId="0" applyFont="1" applyFill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left" vertical="top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165" fontId="13" fillId="0" borderId="0" xfId="0" applyNumberFormat="1" applyFont="1" applyAlignment="1" applyProtection="1">
      <alignment horizontal="right" vertical="top" wrapText="1"/>
      <protection hidden="1"/>
    </xf>
    <xf numFmtId="49" fontId="13" fillId="0" borderId="0" xfId="0" applyNumberFormat="1" applyFont="1" applyAlignment="1" applyProtection="1">
      <alignment horizontal="left" vertical="top"/>
      <protection hidden="1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0" xfId="0" applyFont="1" applyProtection="1">
      <protection locked="0"/>
    </xf>
    <xf numFmtId="49" fontId="12" fillId="0" borderId="0" xfId="0" applyNumberFormat="1" applyFont="1" applyAlignment="1" applyProtection="1">
      <alignment horizontal="left"/>
      <protection locked="0"/>
    </xf>
    <xf numFmtId="165" fontId="12" fillId="0" borderId="0" xfId="0" applyNumberFormat="1" applyFont="1" applyAlignment="1" applyProtection="1">
      <alignment horizontal="center" vertical="center" wrapText="1"/>
      <protection locked="0"/>
    </xf>
    <xf numFmtId="49" fontId="12" fillId="0" borderId="0" xfId="0" applyNumberFormat="1" applyFont="1" applyProtection="1">
      <protection locked="0"/>
    </xf>
    <xf numFmtId="165" fontId="12" fillId="0" borderId="0" xfId="0" applyNumberFormat="1" applyFont="1" applyAlignment="1" applyProtection="1">
      <alignment horizontal="left" vertical="top" wrapText="1"/>
      <protection locked="0"/>
    </xf>
    <xf numFmtId="0" fontId="12" fillId="0" borderId="0" xfId="0" applyFont="1" applyProtection="1">
      <protection hidden="1"/>
    </xf>
    <xf numFmtId="165" fontId="12" fillId="0" borderId="0" xfId="0" applyNumberFormat="1" applyFont="1" applyAlignment="1" applyProtection="1">
      <alignment horizontal="left" vertical="top" wrapText="1"/>
      <protection hidden="1"/>
    </xf>
    <xf numFmtId="0" fontId="12" fillId="0" borderId="2" xfId="0" applyFont="1" applyBorder="1" applyAlignment="1" applyProtection="1">
      <alignment vertical="center"/>
      <protection hidden="1"/>
    </xf>
    <xf numFmtId="0" fontId="12" fillId="0" borderId="2" xfId="0" applyFont="1" applyBorder="1" applyAlignment="1" applyProtection="1">
      <alignment horizontal="left" vertical="top"/>
      <protection hidden="1"/>
    </xf>
    <xf numFmtId="0" fontId="12" fillId="0" borderId="0" xfId="0" applyFont="1" applyAlignment="1" applyProtection="1">
      <alignment horizontal="left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vertical="center" wrapText="1"/>
      <protection hidden="1"/>
    </xf>
    <xf numFmtId="0" fontId="12" fillId="0" borderId="3" xfId="0" applyFont="1" applyBorder="1" applyAlignment="1" applyProtection="1">
      <alignment vertical="center" wrapText="1"/>
      <protection hidden="1"/>
    </xf>
    <xf numFmtId="0" fontId="17" fillId="5" borderId="3" xfId="0" applyFont="1" applyFill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vertical="center" wrapText="1"/>
      <protection hidden="1"/>
    </xf>
    <xf numFmtId="0" fontId="12" fillId="0" borderId="10" xfId="0" applyFont="1" applyBorder="1" applyAlignment="1" applyProtection="1">
      <alignment vertical="center" wrapText="1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left" vertical="center"/>
      <protection hidden="1"/>
    </xf>
    <xf numFmtId="167" fontId="12" fillId="0" borderId="3" xfId="0" applyNumberFormat="1" applyFont="1" applyBorder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21" fillId="5" borderId="3" xfId="0" applyFont="1" applyFill="1" applyBorder="1" applyAlignment="1" applyProtection="1">
      <alignment horizontal="left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49" fontId="12" fillId="0" borderId="0" xfId="0" applyNumberFormat="1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vertical="center"/>
      <protection locked="0"/>
    </xf>
    <xf numFmtId="165" fontId="12" fillId="0" borderId="0" xfId="0" applyNumberFormat="1" applyFont="1" applyAlignment="1" applyProtection="1">
      <alignment horizontal="left" vertical="center" wrapText="1"/>
      <protection locked="0"/>
    </xf>
    <xf numFmtId="165" fontId="12" fillId="0" borderId="0" xfId="0" applyNumberFormat="1" applyFont="1" applyAlignment="1" applyProtection="1">
      <alignment horizontal="left" vertical="center" wrapText="1"/>
      <protection hidden="1"/>
    </xf>
    <xf numFmtId="0" fontId="22" fillId="0" borderId="0" xfId="0" applyFont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22" fillId="0" borderId="10" xfId="0" applyFont="1" applyBorder="1" applyAlignment="1" applyProtection="1">
      <alignment horizontal="left" vertical="center"/>
      <protection hidden="1"/>
    </xf>
    <xf numFmtId="0" fontId="22" fillId="0" borderId="11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0" fontId="12" fillId="5" borderId="3" xfId="0" applyFont="1" applyFill="1" applyBorder="1" applyAlignment="1" applyProtection="1">
      <alignment horizontal="left" vertical="center"/>
      <protection locked="0"/>
    </xf>
    <xf numFmtId="167" fontId="12" fillId="0" borderId="12" xfId="0" applyNumberFormat="1" applyFont="1" applyBorder="1" applyAlignment="1" applyProtection="1">
      <alignment horizontal="center" vertical="center" wrapText="1"/>
      <protection hidden="1"/>
    </xf>
    <xf numFmtId="167" fontId="12" fillId="0" borderId="4" xfId="0" applyNumberFormat="1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2" fillId="5" borderId="13" xfId="0" applyFont="1" applyFill="1" applyBorder="1" applyAlignment="1" applyProtection="1">
      <alignment horizontal="left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left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vertical="center" wrapText="1"/>
      <protection hidden="1"/>
    </xf>
    <xf numFmtId="0" fontId="12" fillId="5" borderId="1" xfId="0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vertical="center" wrapText="1"/>
      <protection hidden="1"/>
    </xf>
    <xf numFmtId="167" fontId="12" fillId="0" borderId="4" xfId="0" applyNumberFormat="1" applyFont="1" applyBorder="1" applyAlignment="1" applyProtection="1">
      <alignment horizontal="center" vertical="center" wrapText="1"/>
      <protection hidden="1"/>
    </xf>
    <xf numFmtId="0" fontId="12" fillId="5" borderId="10" xfId="0" applyFont="1" applyFill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6" borderId="3" xfId="0" applyFont="1" applyFill="1" applyBorder="1" applyAlignment="1" applyProtection="1">
      <alignment horizontal="left" vertical="center" wrapText="1"/>
      <protection hidden="1"/>
    </xf>
    <xf numFmtId="167" fontId="12" fillId="0" borderId="3" xfId="0" applyNumberFormat="1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right" vertical="top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167" fontId="13" fillId="0" borderId="0" xfId="0" applyNumberFormat="1" applyFont="1" applyAlignment="1" applyProtection="1">
      <alignment horizontal="center" vertical="center"/>
      <protection hidden="1"/>
    </xf>
    <xf numFmtId="167" fontId="12" fillId="0" borderId="0" xfId="0" applyNumberFormat="1" applyFont="1" applyAlignment="1" applyProtection="1">
      <alignment vertical="center"/>
      <protection hidden="1"/>
    </xf>
    <xf numFmtId="167" fontId="12" fillId="0" borderId="3" xfId="0" applyNumberFormat="1" applyFont="1" applyBorder="1" applyAlignment="1" applyProtection="1">
      <alignment vertical="center"/>
      <protection hidden="1"/>
    </xf>
    <xf numFmtId="167" fontId="13" fillId="0" borderId="0" xfId="0" applyNumberFormat="1" applyFont="1" applyAlignment="1" applyProtection="1">
      <alignment vertical="center"/>
      <protection hidden="1"/>
    </xf>
    <xf numFmtId="167" fontId="13" fillId="0" borderId="13" xfId="0" applyNumberFormat="1" applyFont="1" applyBorder="1" applyAlignment="1" applyProtection="1">
      <alignment horizontal="center" vertical="center"/>
      <protection hidden="1"/>
    </xf>
    <xf numFmtId="167" fontId="12" fillId="0" borderId="10" xfId="0" applyNumberFormat="1" applyFont="1" applyBorder="1" applyAlignment="1" applyProtection="1">
      <alignment vertical="center"/>
      <protection hidden="1"/>
    </xf>
    <xf numFmtId="167" fontId="13" fillId="0" borderId="11" xfId="0" applyNumberFormat="1" applyFont="1" applyBorder="1" applyAlignment="1" applyProtection="1">
      <alignment horizontal="left" vertical="center" wrapText="1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167" fontId="12" fillId="0" borderId="1" xfId="0" applyNumberFormat="1" applyFont="1" applyBorder="1" applyAlignment="1" applyProtection="1">
      <alignment horizontal="left" vertical="center" wrapText="1"/>
      <protection hidden="1"/>
    </xf>
    <xf numFmtId="167" fontId="12" fillId="0" borderId="1" xfId="0" applyNumberFormat="1" applyFont="1" applyBorder="1" applyAlignment="1" applyProtection="1">
      <alignment horizontal="center" vertical="center"/>
      <protection hidden="1"/>
    </xf>
    <xf numFmtId="167" fontId="13" fillId="0" borderId="3" xfId="0" applyNumberFormat="1" applyFont="1" applyBorder="1" applyAlignment="1" applyProtection="1">
      <alignment horizontal="left" vertical="center" wrapText="1"/>
      <protection hidden="1"/>
    </xf>
    <xf numFmtId="0" fontId="13" fillId="5" borderId="3" xfId="0" applyFont="1" applyFill="1" applyBorder="1" applyAlignment="1" applyProtection="1">
      <alignment horizontal="left" vertical="center"/>
      <protection locked="0"/>
    </xf>
    <xf numFmtId="167" fontId="13" fillId="0" borderId="3" xfId="0" applyNumberFormat="1" applyFont="1" applyBorder="1" applyAlignment="1" applyProtection="1">
      <alignment horizontal="center" vertical="center"/>
      <protection hidden="1"/>
    </xf>
    <xf numFmtId="167" fontId="13" fillId="0" borderId="9" xfId="0" applyNumberFormat="1" applyFont="1" applyBorder="1" applyAlignment="1" applyProtection="1">
      <alignment horizontal="center" vertical="center"/>
      <protection hidden="1"/>
    </xf>
    <xf numFmtId="167" fontId="12" fillId="0" borderId="0" xfId="0" applyNumberFormat="1" applyFont="1" applyAlignment="1" applyProtection="1">
      <alignment horizontal="left" vertical="center" wrapText="1"/>
      <protection hidden="1"/>
    </xf>
    <xf numFmtId="167" fontId="12" fillId="0" borderId="0" xfId="0" applyNumberFormat="1" applyFont="1" applyAlignment="1" applyProtection="1">
      <alignment horizontal="center" vertical="center"/>
      <protection hidden="1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3" fillId="0" borderId="3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horizontal="center" vertical="center"/>
      <protection hidden="1"/>
    </xf>
    <xf numFmtId="167" fontId="12" fillId="0" borderId="3" xfId="0" applyNumberFormat="1" applyFont="1" applyBorder="1" applyAlignment="1" applyProtection="1">
      <alignment horizontal="center" vertical="center" wrapText="1"/>
      <protection hidden="1"/>
    </xf>
    <xf numFmtId="0" fontId="23" fillId="6" borderId="0" xfId="0" applyFont="1" applyFill="1" applyAlignment="1" applyProtection="1">
      <alignment horizontal="left" vertical="center"/>
      <protection hidden="1"/>
    </xf>
    <xf numFmtId="0" fontId="23" fillId="6" borderId="0" xfId="0" applyFont="1" applyFill="1" applyAlignment="1" applyProtection="1">
      <alignment horizontal="center" vertical="center"/>
      <protection hidden="1"/>
    </xf>
    <xf numFmtId="0" fontId="24" fillId="6" borderId="0" xfId="0" applyFont="1" applyFill="1" applyAlignment="1" applyProtection="1">
      <alignment horizontal="center" vertical="top" wrapText="1"/>
      <protection hidden="1"/>
    </xf>
    <xf numFmtId="0" fontId="24" fillId="6" borderId="0" xfId="0" applyFont="1" applyFill="1" applyAlignment="1" applyProtection="1">
      <alignment horizontal="right" vertical="top"/>
      <protection hidden="1"/>
    </xf>
    <xf numFmtId="0" fontId="24" fillId="6" borderId="0" xfId="0" applyFont="1" applyFill="1" applyAlignment="1" applyProtection="1">
      <alignment horizontal="center" vertical="center"/>
      <protection hidden="1"/>
    </xf>
    <xf numFmtId="49" fontId="24" fillId="6" borderId="0" xfId="0" applyNumberFormat="1" applyFont="1" applyFill="1" applyAlignment="1" applyProtection="1">
      <alignment horizontal="center" vertical="center"/>
      <protection hidden="1"/>
    </xf>
    <xf numFmtId="165" fontId="24" fillId="6" borderId="0" xfId="0" applyNumberFormat="1" applyFont="1" applyFill="1" applyAlignment="1" applyProtection="1">
      <alignment horizontal="center" vertical="center" wrapText="1"/>
      <protection hidden="1"/>
    </xf>
    <xf numFmtId="0" fontId="23" fillId="6" borderId="0" xfId="0" applyFont="1" applyFill="1" applyAlignment="1" applyProtection="1">
      <alignment horizontal="left" vertical="center"/>
      <protection locked="0"/>
    </xf>
    <xf numFmtId="49" fontId="23" fillId="6" borderId="0" xfId="0" applyNumberFormat="1" applyFont="1" applyFill="1" applyAlignment="1" applyProtection="1">
      <alignment horizontal="center" vertical="center"/>
      <protection locked="0"/>
    </xf>
    <xf numFmtId="49" fontId="23" fillId="6" borderId="0" xfId="0" applyNumberFormat="1" applyFont="1" applyFill="1" applyAlignment="1" applyProtection="1">
      <alignment horizontal="left" vertical="center"/>
      <protection locked="0"/>
    </xf>
    <xf numFmtId="165" fontId="23" fillId="6" borderId="0" xfId="0" applyNumberFormat="1" applyFont="1" applyFill="1" applyAlignment="1" applyProtection="1">
      <alignment horizontal="center" vertical="center" wrapText="1"/>
      <protection locked="0"/>
    </xf>
    <xf numFmtId="0" fontId="23" fillId="6" borderId="0" xfId="0" applyFont="1" applyFill="1" applyAlignment="1" applyProtection="1">
      <alignment horizontal="center" vertical="center"/>
      <protection locked="0"/>
    </xf>
    <xf numFmtId="0" fontId="24" fillId="6" borderId="0" xfId="0" applyFont="1" applyFill="1" applyAlignment="1" applyProtection="1">
      <alignment horizontal="left" vertical="center"/>
      <protection hidden="1"/>
    </xf>
    <xf numFmtId="0" fontId="24" fillId="6" borderId="3" xfId="0" applyFont="1" applyFill="1" applyBorder="1" applyAlignment="1" applyProtection="1">
      <alignment horizontal="left" vertical="center" wrapText="1"/>
      <protection hidden="1"/>
    </xf>
    <xf numFmtId="0" fontId="25" fillId="6" borderId="3" xfId="0" applyFont="1" applyFill="1" applyBorder="1" applyAlignment="1" applyProtection="1">
      <alignment horizontal="left" vertical="center" wrapText="1"/>
      <protection hidden="1"/>
    </xf>
    <xf numFmtId="167" fontId="26" fillId="6" borderId="3" xfId="0" applyNumberFormat="1" applyFont="1" applyFill="1" applyBorder="1" applyAlignment="1" applyProtection="1">
      <alignment horizontal="center" vertical="center"/>
      <protection hidden="1"/>
    </xf>
    <xf numFmtId="167" fontId="26" fillId="6" borderId="13" xfId="0" applyNumberFormat="1" applyFont="1" applyFill="1" applyBorder="1" applyAlignment="1" applyProtection="1">
      <alignment horizontal="center" vertical="center"/>
      <protection hidden="1"/>
    </xf>
    <xf numFmtId="0" fontId="23" fillId="6" borderId="3" xfId="0" applyFont="1" applyFill="1" applyBorder="1" applyAlignment="1" applyProtection="1">
      <alignment horizontal="left" vertical="center"/>
      <protection hidden="1"/>
    </xf>
    <xf numFmtId="167" fontId="27" fillId="6" borderId="3" xfId="0" applyNumberFormat="1" applyFont="1" applyFill="1" applyBorder="1" applyAlignment="1" applyProtection="1">
      <alignment horizontal="center" vertical="center" wrapText="1"/>
      <protection hidden="1"/>
    </xf>
    <xf numFmtId="167" fontId="27" fillId="6" borderId="10" xfId="0" applyNumberFormat="1" applyFont="1" applyFill="1" applyBorder="1" applyAlignment="1" applyProtection="1">
      <alignment horizontal="left" vertical="center" wrapText="1"/>
      <protection hidden="1"/>
    </xf>
    <xf numFmtId="0" fontId="24" fillId="7" borderId="13" xfId="0" applyFont="1" applyFill="1" applyBorder="1" applyAlignment="1" applyProtection="1">
      <alignment horizontal="left" vertical="center"/>
      <protection hidden="1"/>
    </xf>
    <xf numFmtId="0" fontId="23" fillId="5" borderId="3" xfId="0" applyFont="1" applyFill="1" applyBorder="1" applyAlignment="1" applyProtection="1">
      <alignment horizontal="left" vertical="center"/>
      <protection locked="0"/>
    </xf>
    <xf numFmtId="167" fontId="27" fillId="6" borderId="3" xfId="0" applyNumberFormat="1" applyFont="1" applyFill="1" applyBorder="1" applyAlignment="1" applyProtection="1">
      <alignment horizontal="center" vertical="center"/>
      <protection hidden="1"/>
    </xf>
    <xf numFmtId="0" fontId="24" fillId="7" borderId="15" xfId="0" applyFont="1" applyFill="1" applyBorder="1" applyAlignment="1" applyProtection="1">
      <alignment horizontal="left" vertical="center"/>
      <protection hidden="1"/>
    </xf>
    <xf numFmtId="0" fontId="23" fillId="6" borderId="3" xfId="0" applyFont="1" applyFill="1" applyBorder="1" applyAlignment="1" applyProtection="1">
      <alignment horizontal="center" vertical="center" wrapText="1"/>
      <protection hidden="1"/>
    </xf>
    <xf numFmtId="0" fontId="24" fillId="7" borderId="1" xfId="0" applyFont="1" applyFill="1" applyBorder="1" applyAlignment="1" applyProtection="1">
      <alignment horizontal="left" vertical="center"/>
      <protection hidden="1"/>
    </xf>
    <xf numFmtId="0" fontId="23" fillId="6" borderId="10" xfId="0" applyFont="1" applyFill="1" applyBorder="1" applyAlignment="1" applyProtection="1">
      <alignment horizontal="center" vertical="center"/>
      <protection hidden="1"/>
    </xf>
    <xf numFmtId="0" fontId="23" fillId="6" borderId="11" xfId="0" applyFont="1" applyFill="1" applyBorder="1" applyAlignment="1" applyProtection="1">
      <alignment horizontal="center" vertical="center"/>
      <protection hidden="1"/>
    </xf>
    <xf numFmtId="0" fontId="23" fillId="6" borderId="2" xfId="0" applyFont="1" applyFill="1" applyBorder="1" applyAlignment="1" applyProtection="1">
      <alignment horizontal="center" vertical="center"/>
      <protection hidden="1"/>
    </xf>
    <xf numFmtId="0" fontId="23" fillId="6" borderId="4" xfId="0" applyFont="1" applyFill="1" applyBorder="1" applyAlignment="1" applyProtection="1">
      <alignment horizontal="center" vertical="center"/>
      <protection hidden="1"/>
    </xf>
    <xf numFmtId="167" fontId="27" fillId="6" borderId="3" xfId="0" applyNumberFormat="1" applyFont="1" applyFill="1" applyBorder="1" applyAlignment="1" applyProtection="1">
      <alignment horizontal="left" vertical="center" wrapText="1"/>
      <protection hidden="1"/>
    </xf>
    <xf numFmtId="167" fontId="27" fillId="6" borderId="3" xfId="0" applyNumberFormat="1" applyFont="1" applyFill="1" applyBorder="1" applyAlignment="1" applyProtection="1">
      <alignment vertical="center" wrapText="1"/>
      <protection hidden="1"/>
    </xf>
    <xf numFmtId="167" fontId="26" fillId="6" borderId="10" xfId="0" applyNumberFormat="1" applyFont="1" applyFill="1" applyBorder="1" applyAlignment="1" applyProtection="1">
      <alignment vertical="center"/>
      <protection hidden="1"/>
    </xf>
    <xf numFmtId="167" fontId="26" fillId="6" borderId="11" xfId="0" applyNumberFormat="1" applyFont="1" applyFill="1" applyBorder="1" applyAlignment="1" applyProtection="1">
      <alignment vertical="center"/>
      <protection hidden="1"/>
    </xf>
    <xf numFmtId="167" fontId="26" fillId="6" borderId="4" xfId="0" applyNumberFormat="1" applyFont="1" applyFill="1" applyBorder="1" applyAlignment="1" applyProtection="1">
      <alignment vertical="center"/>
      <protection hidden="1"/>
    </xf>
    <xf numFmtId="167" fontId="26" fillId="6" borderId="3" xfId="0" applyNumberFormat="1" applyFont="1" applyFill="1" applyBorder="1" applyAlignment="1" applyProtection="1">
      <alignment horizontal="center" vertical="center" wrapText="1"/>
      <protection hidden="1"/>
    </xf>
    <xf numFmtId="167" fontId="26" fillId="6" borderId="3" xfId="0" applyNumberFormat="1" applyFont="1" applyFill="1" applyBorder="1" applyAlignment="1" applyProtection="1">
      <alignment vertical="center" wrapText="1"/>
      <protection hidden="1"/>
    </xf>
    <xf numFmtId="0" fontId="28" fillId="6" borderId="0" xfId="0" applyFont="1" applyFill="1" applyAlignment="1" applyProtection="1">
      <alignment horizontal="left" vertical="center" wrapText="1"/>
      <protection hidden="1"/>
    </xf>
    <xf numFmtId="0" fontId="18" fillId="0" borderId="0" xfId="0" applyFont="1" applyAlignment="1">
      <alignment horizontal="right" vertical="top"/>
    </xf>
    <xf numFmtId="165" fontId="18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/>
    </xf>
    <xf numFmtId="0" fontId="21" fillId="0" borderId="12" xfId="0" applyFont="1" applyBorder="1" applyAlignment="1" applyProtection="1">
      <alignment horizontal="left" vertical="center"/>
      <protection hidden="1"/>
    </xf>
    <xf numFmtId="0" fontId="17" fillId="0" borderId="3" xfId="0" applyFont="1" applyBorder="1" applyAlignment="1" applyProtection="1">
      <alignment horizontal="left" vertical="center"/>
      <protection hidden="1"/>
    </xf>
    <xf numFmtId="0" fontId="17" fillId="0" borderId="3" xfId="0" applyFont="1" applyBorder="1" applyAlignment="1" applyProtection="1">
      <alignment horizontal="left" vertical="center" wrapText="1"/>
      <protection hidden="1"/>
    </xf>
    <xf numFmtId="0" fontId="17" fillId="0" borderId="3" xfId="0" applyFont="1" applyBorder="1" applyAlignment="1">
      <alignment horizontal="center" vertical="center"/>
    </xf>
    <xf numFmtId="0" fontId="17" fillId="5" borderId="3" xfId="0" applyFont="1" applyFill="1" applyBorder="1" applyAlignment="1" applyProtection="1">
      <alignment horizontal="center" vertical="center"/>
      <protection locked="0"/>
    </xf>
    <xf numFmtId="0" fontId="21" fillId="0" borderId="3" xfId="0" applyFont="1" applyBorder="1" applyAlignment="1" applyProtection="1">
      <alignment horizontal="left" vertical="center"/>
      <protection hidden="1"/>
    </xf>
    <xf numFmtId="0" fontId="21" fillId="0" borderId="4" xfId="0" applyFont="1" applyBorder="1" applyAlignment="1" applyProtection="1">
      <alignment horizontal="left" vertical="center"/>
      <protection hidden="1"/>
    </xf>
    <xf numFmtId="0" fontId="17" fillId="0" borderId="3" xfId="0" applyFont="1" applyBorder="1" applyAlignment="1" applyProtection="1">
      <alignment vertical="center"/>
      <protection hidden="1"/>
    </xf>
    <xf numFmtId="0" fontId="21" fillId="0" borderId="3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right" vertical="center"/>
      <protection hidden="1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21" fillId="0" borderId="13" xfId="0" applyFont="1" applyBorder="1" applyAlignment="1" applyProtection="1">
      <alignment horizontal="center" vertical="center" wrapText="1"/>
      <protection hidden="1"/>
    </xf>
    <xf numFmtId="0" fontId="18" fillId="0" borderId="13" xfId="0" applyFont="1" applyBorder="1" applyAlignment="1" applyProtection="1">
      <alignment horizontal="center" vertical="center" wrapText="1"/>
      <protection hidden="1"/>
    </xf>
    <xf numFmtId="0" fontId="18" fillId="0" borderId="15" xfId="0" applyFont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horizontal="left" vertical="center" wrapText="1"/>
      <protection hidden="1"/>
    </xf>
    <xf numFmtId="0" fontId="18" fillId="0" borderId="15" xfId="0" applyFont="1" applyBorder="1" applyAlignment="1" applyProtection="1">
      <alignment horizontal="left" vertical="center" wrapText="1"/>
      <protection hidden="1"/>
    </xf>
    <xf numFmtId="0" fontId="18" fillId="0" borderId="13" xfId="0" applyFont="1" applyBorder="1" applyAlignment="1" applyProtection="1">
      <alignment horizontal="left" vertical="center" wrapText="1"/>
      <protection hidden="1"/>
    </xf>
    <xf numFmtId="0" fontId="18" fillId="0" borderId="0" xfId="0" applyFont="1" applyAlignment="1" applyProtection="1">
      <alignment horizontal="left" vertical="center"/>
      <protection hidden="1"/>
    </xf>
    <xf numFmtId="0" fontId="21" fillId="0" borderId="10" xfId="0" applyFont="1" applyBorder="1" applyAlignment="1" applyProtection="1">
      <alignment horizontal="left" vertical="center"/>
      <protection hidden="1"/>
    </xf>
    <xf numFmtId="0" fontId="18" fillId="0" borderId="11" xfId="0" applyFont="1" applyBorder="1" applyAlignment="1" applyProtection="1">
      <alignment horizontal="left" vertical="center"/>
      <protection hidden="1"/>
    </xf>
    <xf numFmtId="0" fontId="18" fillId="0" borderId="3" xfId="0" applyFont="1" applyBorder="1" applyAlignment="1" applyProtection="1">
      <alignment horizontal="center" vertical="center"/>
      <protection hidden="1"/>
    </xf>
    <xf numFmtId="0" fontId="18" fillId="0" borderId="3" xfId="0" applyFont="1" applyBorder="1" applyAlignment="1" applyProtection="1">
      <alignment horizontal="center" vertical="center" wrapText="1"/>
      <protection hidden="1"/>
    </xf>
    <xf numFmtId="0" fontId="17" fillId="0" borderId="5" xfId="0" applyFont="1" applyBorder="1" applyAlignment="1" applyProtection="1">
      <alignment horizontal="left" vertical="center"/>
      <protection hidden="1"/>
    </xf>
    <xf numFmtId="0" fontId="18" fillId="0" borderId="12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5" borderId="3" xfId="0" applyFont="1" applyFill="1" applyBorder="1" applyAlignment="1" applyProtection="1">
      <alignment horizontal="center" vertical="center"/>
      <protection locked="0"/>
    </xf>
    <xf numFmtId="2" fontId="6" fillId="5" borderId="3" xfId="0" applyNumberFormat="1" applyFont="1" applyFill="1" applyBorder="1" applyAlignment="1" applyProtection="1">
      <alignment horizontal="center" vertical="center"/>
      <protection locked="0"/>
    </xf>
    <xf numFmtId="3" fontId="6" fillId="5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  <protection hidden="1"/>
    </xf>
    <xf numFmtId="0" fontId="18" fillId="0" borderId="3" xfId="0" applyFont="1" applyBorder="1" applyAlignment="1" applyProtection="1">
      <alignment horizontal="left" vertical="center" wrapText="1"/>
      <protection hidden="1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2" fontId="18" fillId="5" borderId="3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left" vertical="center"/>
      <protection hidden="1"/>
    </xf>
    <xf numFmtId="0" fontId="30" fillId="0" borderId="0" xfId="0" applyFont="1" applyAlignment="1" applyProtection="1">
      <alignment horizontal="center" vertical="top"/>
      <protection hidden="1"/>
    </xf>
    <xf numFmtId="0" fontId="30" fillId="0" borderId="0" xfId="0" applyFont="1" applyAlignment="1" applyProtection="1">
      <alignment horizontal="right" vertical="top"/>
      <protection hidden="1"/>
    </xf>
    <xf numFmtId="0" fontId="29" fillId="0" borderId="0" xfId="0" applyFont="1" applyAlignment="1" applyProtection="1">
      <alignment horizontal="left" vertical="center"/>
      <protection locked="0"/>
    </xf>
    <xf numFmtId="0" fontId="29" fillId="0" borderId="0" xfId="0" applyFont="1" applyAlignment="1" applyProtection="1">
      <alignment vertical="center"/>
      <protection locked="0"/>
    </xf>
    <xf numFmtId="49" fontId="29" fillId="0" borderId="0" xfId="0" applyNumberFormat="1" applyFont="1" applyAlignment="1" applyProtection="1">
      <alignment horizontal="left" vertical="center"/>
      <protection locked="0"/>
    </xf>
    <xf numFmtId="165" fontId="29" fillId="0" borderId="0" xfId="0" applyNumberFormat="1" applyFont="1" applyAlignment="1" applyProtection="1">
      <alignment horizontal="center" vertical="center" wrapText="1"/>
      <protection locked="0"/>
    </xf>
    <xf numFmtId="49" fontId="29" fillId="0" borderId="0" xfId="0" applyNumberFormat="1" applyFont="1" applyAlignment="1" applyProtection="1">
      <alignment vertical="center"/>
      <protection locked="0"/>
    </xf>
    <xf numFmtId="165" fontId="29" fillId="0" borderId="0" xfId="0" applyNumberFormat="1" applyFont="1" applyAlignment="1" applyProtection="1">
      <alignment horizontal="left" vertical="center" wrapText="1"/>
      <protection locked="0"/>
    </xf>
    <xf numFmtId="0" fontId="30" fillId="0" borderId="0" xfId="0" applyFont="1" applyAlignment="1" applyProtection="1">
      <alignment horizontal="left" vertical="center" wrapText="1"/>
      <protection hidden="1"/>
    </xf>
    <xf numFmtId="0" fontId="30" fillId="0" borderId="3" xfId="0" applyFont="1" applyBorder="1" applyAlignment="1" applyProtection="1">
      <alignment horizontal="center" vertical="center" wrapText="1"/>
      <protection hidden="1"/>
    </xf>
    <xf numFmtId="0" fontId="30" fillId="0" borderId="13" xfId="0" applyFont="1" applyBorder="1" applyAlignment="1" applyProtection="1">
      <alignment horizontal="center" vertical="center" wrapText="1"/>
      <protection hidden="1"/>
    </xf>
    <xf numFmtId="0" fontId="30" fillId="0" borderId="3" xfId="0" applyFont="1" applyBorder="1" applyAlignment="1" applyProtection="1">
      <alignment horizontal="center" vertical="center"/>
      <protection hidden="1"/>
    </xf>
    <xf numFmtId="0" fontId="30" fillId="0" borderId="2" xfId="0" applyFont="1" applyBorder="1" applyAlignment="1" applyProtection="1">
      <alignment horizontal="left" vertical="center" wrapText="1"/>
      <protection hidden="1"/>
    </xf>
    <xf numFmtId="0" fontId="30" fillId="0" borderId="3" xfId="0" applyFont="1" applyBorder="1" applyAlignment="1" applyProtection="1">
      <alignment horizontal="left" vertical="center" wrapText="1"/>
      <protection hidden="1"/>
    </xf>
    <xf numFmtId="166" fontId="30" fillId="0" borderId="3" xfId="0" applyNumberFormat="1" applyFont="1" applyBorder="1" applyAlignment="1" applyProtection="1">
      <alignment horizontal="center" vertical="center" wrapText="1"/>
      <protection hidden="1"/>
    </xf>
    <xf numFmtId="0" fontId="30" fillId="0" borderId="9" xfId="0" applyFont="1" applyBorder="1" applyAlignment="1" applyProtection="1">
      <alignment horizontal="center" vertical="center" wrapText="1"/>
      <protection hidden="1"/>
    </xf>
    <xf numFmtId="0" fontId="29" fillId="0" borderId="0" xfId="0" applyFont="1" applyAlignment="1" applyProtection="1">
      <alignment horizontal="left" vertical="center" wrapText="1"/>
      <protection hidden="1"/>
    </xf>
    <xf numFmtId="0" fontId="29" fillId="0" borderId="10" xfId="0" applyFont="1" applyBorder="1" applyAlignment="1" applyProtection="1">
      <alignment horizontal="left" vertical="center" wrapText="1"/>
      <protection hidden="1"/>
    </xf>
    <xf numFmtId="0" fontId="30" fillId="0" borderId="4" xfId="0" applyFont="1" applyBorder="1" applyAlignment="1" applyProtection="1">
      <alignment horizontal="left" vertical="center" wrapText="1"/>
      <protection hidden="1"/>
    </xf>
    <xf numFmtId="0" fontId="29" fillId="0" borderId="3" xfId="0" applyFont="1" applyBorder="1" applyAlignment="1" applyProtection="1">
      <alignment horizontal="left" vertical="center"/>
      <protection hidden="1"/>
    </xf>
    <xf numFmtId="0" fontId="29" fillId="0" borderId="1" xfId="0" applyFont="1" applyBorder="1" applyAlignment="1" applyProtection="1">
      <alignment horizontal="left" vertical="center" wrapText="1"/>
      <protection hidden="1"/>
    </xf>
    <xf numFmtId="0" fontId="29" fillId="5" borderId="1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left" vertical="center" wrapText="1"/>
      <protection hidden="1"/>
    </xf>
    <xf numFmtId="0" fontId="29" fillId="5" borderId="3" xfId="0" applyFont="1" applyFill="1" applyBorder="1" applyAlignment="1" applyProtection="1">
      <alignment horizontal="center" vertical="center"/>
      <protection locked="0"/>
    </xf>
    <xf numFmtId="0" fontId="29" fillId="0" borderId="4" xfId="0" applyFont="1" applyBorder="1" applyAlignment="1" applyProtection="1">
      <alignment horizontal="left" vertical="center"/>
      <protection hidden="1"/>
    </xf>
    <xf numFmtId="0" fontId="30" fillId="0" borderId="0" xfId="0" applyFont="1" applyAlignment="1" applyProtection="1">
      <alignment horizontal="left" vertical="center"/>
      <protection hidden="1"/>
    </xf>
    <xf numFmtId="0" fontId="30" fillId="0" borderId="3" xfId="0" applyFont="1" applyBorder="1" applyAlignment="1" applyProtection="1">
      <alignment horizontal="left" vertical="center"/>
      <protection hidden="1"/>
    </xf>
    <xf numFmtId="0" fontId="30" fillId="5" borderId="3" xfId="0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left" vertical="center"/>
      <protection hidden="1"/>
    </xf>
    <xf numFmtId="0" fontId="31" fillId="6" borderId="0" xfId="0" applyFont="1" applyFill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165" fontId="4" fillId="0" borderId="0" xfId="0" applyNumberFormat="1" applyFont="1" applyAlignment="1" applyProtection="1">
      <alignment horizontal="right" vertical="top" wrapText="1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49" fontId="4" fillId="0" borderId="0" xfId="0" applyNumberFormat="1" applyFont="1" applyAlignment="1" applyProtection="1">
      <alignment horizontal="center" vertical="center"/>
      <protection hidden="1"/>
    </xf>
    <xf numFmtId="165" fontId="4" fillId="0" borderId="0" xfId="0" applyNumberFormat="1" applyFont="1" applyAlignment="1" applyProtection="1">
      <alignment horizontal="center" vertical="center" wrapText="1"/>
      <protection hidden="1"/>
    </xf>
    <xf numFmtId="165" fontId="31" fillId="0" borderId="0" xfId="0" applyNumberFormat="1" applyFont="1" applyAlignment="1" applyProtection="1">
      <alignment horizontal="center" vertical="center" wrapText="1"/>
      <protection hidden="1"/>
    </xf>
    <xf numFmtId="165" fontId="4" fillId="0" borderId="0" xfId="0" applyNumberFormat="1" applyFont="1" applyAlignment="1" applyProtection="1">
      <alignment horizontal="right" vertical="center" wrapText="1"/>
      <protection hidden="1"/>
    </xf>
    <xf numFmtId="0" fontId="31" fillId="0" borderId="2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6" borderId="3" xfId="0" applyFont="1" applyFill="1" applyBorder="1" applyAlignment="1" applyProtection="1">
      <alignment horizontal="center" vertical="center"/>
      <protection hidden="1"/>
    </xf>
    <xf numFmtId="0" fontId="13" fillId="6" borderId="0" xfId="0" applyFont="1" applyFill="1" applyAlignment="1" applyProtection="1">
      <alignment horizontal="center" vertical="center"/>
      <protection hidden="1"/>
    </xf>
    <xf numFmtId="0" fontId="13" fillId="6" borderId="0" xfId="0" applyFont="1" applyFill="1" applyAlignment="1" applyProtection="1">
      <alignment horizontal="left" vertical="center"/>
      <protection hidden="1"/>
    </xf>
    <xf numFmtId="0" fontId="12" fillId="6" borderId="3" xfId="0" applyFont="1" applyFill="1" applyBorder="1" applyAlignment="1" applyProtection="1">
      <alignment horizontal="left" vertical="center"/>
      <protection hidden="1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168" fontId="12" fillId="0" borderId="3" xfId="0" applyNumberFormat="1" applyFont="1" applyBorder="1" applyAlignment="1" applyProtection="1">
      <alignment horizontal="center" vertical="center"/>
      <protection hidden="1"/>
    </xf>
    <xf numFmtId="49" fontId="12" fillId="0" borderId="3" xfId="0" applyNumberFormat="1" applyFont="1" applyBorder="1" applyAlignment="1" applyProtection="1">
      <alignment horizontal="center" vertical="center"/>
      <protection hidden="1"/>
    </xf>
    <xf numFmtId="166" fontId="12" fillId="0" borderId="3" xfId="0" applyNumberFormat="1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3" fillId="6" borderId="3" xfId="0" applyFont="1" applyFill="1" applyBorder="1" applyAlignment="1" applyProtection="1">
      <alignment horizontal="left" vertical="center"/>
      <protection hidden="1"/>
    </xf>
    <xf numFmtId="0" fontId="12" fillId="7" borderId="3" xfId="0" applyFont="1" applyFill="1" applyBorder="1" applyAlignment="1" applyProtection="1">
      <alignment horizontal="left" vertical="center"/>
      <protection hidden="1"/>
    </xf>
    <xf numFmtId="0" fontId="4" fillId="6" borderId="0" xfId="0" applyFont="1" applyFill="1" applyAlignment="1" applyProtection="1">
      <alignment horizontal="left" vertical="center"/>
      <protection hidden="1"/>
    </xf>
    <xf numFmtId="0" fontId="31" fillId="0" borderId="6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locked="0"/>
    </xf>
    <xf numFmtId="49" fontId="31" fillId="0" borderId="0" xfId="0" applyNumberFormat="1" applyFont="1" applyAlignment="1" applyProtection="1">
      <alignment horizontal="left" vertical="center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6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11" fontId="13" fillId="0" borderId="4" xfId="0" applyNumberFormat="1" applyFont="1" applyBorder="1" applyAlignment="1" applyProtection="1">
      <alignment horizontal="left" vertical="center" wrapText="1"/>
      <protection hidden="1"/>
    </xf>
    <xf numFmtId="166" fontId="12" fillId="0" borderId="4" xfId="0" applyNumberFormat="1" applyFont="1" applyBorder="1" applyAlignment="1" applyProtection="1">
      <alignment horizontal="center" vertical="center"/>
      <protection hidden="1"/>
    </xf>
    <xf numFmtId="0" fontId="12" fillId="5" borderId="3" xfId="0" applyFont="1" applyFill="1" applyBorder="1" applyAlignment="1" applyProtection="1">
      <alignment horizontal="center" vertical="center"/>
      <protection locked="0"/>
    </xf>
    <xf numFmtId="0" fontId="12" fillId="7" borderId="3" xfId="0" applyFont="1" applyFill="1" applyBorder="1" applyAlignment="1" applyProtection="1">
      <alignment horizontal="center" vertical="center"/>
      <protection hidden="1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hidden="1"/>
    </xf>
    <xf numFmtId="0" fontId="12" fillId="0" borderId="16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166" fontId="12" fillId="0" borderId="12" xfId="0" applyNumberFormat="1" applyFont="1" applyBorder="1" applyAlignment="1" applyProtection="1">
      <alignment horizontal="center" vertical="center"/>
      <protection hidden="1"/>
    </xf>
    <xf numFmtId="0" fontId="12" fillId="7" borderId="1" xfId="0" applyFont="1" applyFill="1" applyBorder="1" applyAlignment="1" applyProtection="1">
      <alignment horizontal="center" vertical="center"/>
      <protection hidden="1"/>
    </xf>
    <xf numFmtId="0" fontId="12" fillId="0" borderId="15" xfId="0" applyFont="1" applyBorder="1" applyAlignment="1" applyProtection="1">
      <alignment horizontal="center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32" fillId="0" borderId="0" xfId="0" applyFont="1" applyAlignment="1" applyProtection="1">
      <alignment horizontal="left" vertical="center"/>
      <protection hidden="1"/>
    </xf>
    <xf numFmtId="0" fontId="33" fillId="0" borderId="0" xfId="0" applyFont="1" applyAlignment="1" applyProtection="1">
      <alignment horizontal="center" vertical="top" wrapText="1"/>
      <protection hidden="1"/>
    </xf>
    <xf numFmtId="0" fontId="32" fillId="0" borderId="2" xfId="0" applyFont="1" applyBorder="1" applyAlignment="1" applyProtection="1">
      <alignment horizontal="left" vertical="center"/>
      <protection hidden="1"/>
    </xf>
    <xf numFmtId="0" fontId="34" fillId="0" borderId="3" xfId="0" applyFont="1" applyBorder="1" applyAlignment="1" applyProtection="1">
      <alignment horizontal="center" vertical="center" wrapText="1"/>
      <protection hidden="1"/>
    </xf>
    <xf numFmtId="0" fontId="35" fillId="0" borderId="3" xfId="0" applyFont="1" applyBorder="1" applyAlignment="1" applyProtection="1">
      <alignment horizontal="left" vertical="center"/>
      <protection hidden="1"/>
    </xf>
    <xf numFmtId="0" fontId="35" fillId="5" borderId="3" xfId="0" applyFont="1" applyFill="1" applyBorder="1" applyAlignment="1" applyProtection="1">
      <alignment horizontal="center" vertical="center"/>
      <protection locked="0"/>
    </xf>
    <xf numFmtId="0" fontId="34" fillId="5" borderId="3" xfId="0" applyFont="1" applyFill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left" vertical="center"/>
      <protection hidden="1"/>
    </xf>
    <xf numFmtId="0" fontId="35" fillId="0" borderId="15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49" fontId="4" fillId="0" borderId="0" xfId="0" applyNumberFormat="1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left"/>
      <protection locked="0"/>
    </xf>
    <xf numFmtId="49" fontId="31" fillId="0" borderId="0" xfId="0" applyNumberFormat="1" applyFont="1" applyAlignment="1" applyProtection="1">
      <alignment horizontal="left"/>
      <protection locked="0"/>
    </xf>
    <xf numFmtId="0" fontId="31" fillId="0" borderId="0" xfId="0" applyFont="1" applyAlignment="1" applyProtection="1">
      <alignment horizontal="left"/>
      <protection hidden="1"/>
    </xf>
    <xf numFmtId="0" fontId="13" fillId="0" borderId="11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wrapText="1"/>
      <protection hidden="1"/>
    </xf>
    <xf numFmtId="0" fontId="31" fillId="0" borderId="0" xfId="0" applyFont="1" applyAlignment="1" applyProtection="1">
      <alignment horizontal="center"/>
      <protection hidden="1"/>
    </xf>
    <xf numFmtId="11" fontId="13" fillId="0" borderId="4" xfId="0" applyNumberFormat="1" applyFont="1" applyBorder="1" applyAlignment="1" applyProtection="1">
      <alignment horizontal="left" wrapText="1"/>
      <protection hidden="1"/>
    </xf>
    <xf numFmtId="166" fontId="12" fillId="0" borderId="4" xfId="0" applyNumberFormat="1" applyFont="1" applyBorder="1" applyAlignment="1" applyProtection="1">
      <alignment horizontal="center"/>
      <protection hidden="1"/>
    </xf>
    <xf numFmtId="0" fontId="12" fillId="7" borderId="3" xfId="0" applyFont="1" applyFill="1" applyBorder="1" applyAlignment="1" applyProtection="1">
      <alignment horizontal="center"/>
      <protection hidden="1"/>
    </xf>
    <xf numFmtId="0" fontId="13" fillId="0" borderId="4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22" fillId="0" borderId="0" xfId="0" applyFont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166" fontId="12" fillId="0" borderId="11" xfId="0" applyNumberFormat="1" applyFont="1" applyBorder="1" applyAlignment="1" applyProtection="1">
      <alignment horizontal="center" vertical="center"/>
      <protection hidden="1"/>
    </xf>
    <xf numFmtId="0" fontId="12" fillId="7" borderId="13" xfId="0" applyFont="1" applyFill="1" applyBorder="1" applyAlignment="1" applyProtection="1">
      <alignment horizontal="center" vertical="center"/>
      <protection hidden="1"/>
    </xf>
    <xf numFmtId="0" fontId="12" fillId="7" borderId="15" xfId="0" applyFont="1" applyFill="1" applyBorder="1" applyAlignment="1" applyProtection="1">
      <alignment horizontal="center" vertical="center"/>
      <protection hidden="1"/>
    </xf>
    <xf numFmtId="11" fontId="13" fillId="0" borderId="13" xfId="0" applyNumberFormat="1" applyFont="1" applyBorder="1" applyAlignment="1" applyProtection="1">
      <alignment horizontal="left" vertical="center" wrapText="1"/>
      <protection hidden="1"/>
    </xf>
    <xf numFmtId="166" fontId="12" fillId="0" borderId="16" xfId="0" applyNumberFormat="1" applyFont="1" applyBorder="1" applyAlignment="1" applyProtection="1">
      <alignment horizontal="center" vertical="center"/>
      <protection hidden="1"/>
    </xf>
    <xf numFmtId="166" fontId="12" fillId="0" borderId="10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18" fillId="0" borderId="0" xfId="0" applyFont="1" applyAlignment="1" applyProtection="1">
      <alignment horizontal="center" vertical="top" wrapText="1"/>
      <protection hidden="1"/>
    </xf>
    <xf numFmtId="165" fontId="18" fillId="0" borderId="0" xfId="0" applyNumberFormat="1" applyFont="1" applyAlignment="1" applyProtection="1">
      <alignment horizontal="right" vertical="top" wrapText="1"/>
      <protection hidden="1"/>
    </xf>
    <xf numFmtId="0" fontId="18" fillId="0" borderId="0" xfId="0" applyFont="1" applyAlignment="1" applyProtection="1">
      <alignment vertical="center" wrapText="1"/>
      <protection hidden="1"/>
    </xf>
    <xf numFmtId="165" fontId="18" fillId="0" borderId="0" xfId="0" applyNumberFormat="1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21" fillId="0" borderId="3" xfId="0" applyFont="1" applyBorder="1" applyAlignment="1" applyProtection="1">
      <alignment vertical="center" wrapText="1"/>
      <protection hidden="1"/>
    </xf>
    <xf numFmtId="0" fontId="21" fillId="0" borderId="3" xfId="0" applyFont="1" applyBorder="1" applyAlignment="1" applyProtection="1">
      <alignment horizontal="center" vertical="center"/>
      <protection hidden="1"/>
    </xf>
    <xf numFmtId="0" fontId="21" fillId="0" borderId="3" xfId="0" applyFont="1" applyBorder="1" applyAlignment="1" applyProtection="1">
      <alignment horizontal="center" vertical="center" wrapText="1"/>
      <protection hidden="1"/>
    </xf>
    <xf numFmtId="0" fontId="18" fillId="0" borderId="1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166" fontId="6" fillId="0" borderId="3" xfId="0" applyNumberFormat="1" applyFont="1" applyBorder="1" applyAlignment="1" applyProtection="1">
      <alignment horizontal="center" vertical="center" wrapText="1"/>
      <protection hidden="1"/>
    </xf>
    <xf numFmtId="0" fontId="17" fillId="6" borderId="3" xfId="0" applyFont="1" applyFill="1" applyBorder="1" applyAlignment="1" applyProtection="1">
      <alignment horizontal="left" vertical="center" wrapText="1"/>
      <protection hidden="1"/>
    </xf>
    <xf numFmtId="0" fontId="17" fillId="0" borderId="13" xfId="0" applyFont="1" applyBorder="1" applyAlignment="1" applyProtection="1">
      <alignment horizontal="left" vertical="center"/>
      <protection hidden="1"/>
    </xf>
    <xf numFmtId="166" fontId="6" fillId="0" borderId="13" xfId="0" applyNumberFormat="1" applyFont="1" applyBorder="1" applyAlignment="1" applyProtection="1">
      <alignment horizontal="center" vertical="center" wrapText="1"/>
      <protection hidden="1"/>
    </xf>
    <xf numFmtId="0" fontId="18" fillId="5" borderId="10" xfId="0" applyFont="1" applyFill="1" applyBorder="1" applyAlignment="1" applyProtection="1">
      <alignment horizontal="left" vertical="center"/>
      <protection locked="0"/>
    </xf>
    <xf numFmtId="0" fontId="31" fillId="7" borderId="3" xfId="0" applyFont="1" applyFill="1" applyBorder="1" applyAlignment="1" applyProtection="1">
      <alignment horizontal="center" vertical="center"/>
      <protection hidden="1"/>
    </xf>
    <xf numFmtId="0" fontId="18" fillId="5" borderId="4" xfId="0" applyFont="1" applyFill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vertical="center"/>
      <protection hidden="1"/>
    </xf>
    <xf numFmtId="0" fontId="31" fillId="0" borderId="0" xfId="0" applyFont="1" applyAlignment="1" applyProtection="1">
      <alignment horizontal="left" vertical="center" wrapText="1"/>
      <protection hidden="1"/>
    </xf>
    <xf numFmtId="11" fontId="31" fillId="0" borderId="3" xfId="0" applyNumberFormat="1" applyFont="1" applyBorder="1" applyAlignment="1" applyProtection="1">
      <alignment horizontal="left" vertical="center" wrapText="1"/>
      <protection hidden="1"/>
    </xf>
    <xf numFmtId="0" fontId="31" fillId="5" borderId="3" xfId="0" applyFont="1" applyFill="1" applyBorder="1" applyAlignment="1" applyProtection="1">
      <alignment horizontal="center" vertical="center" wrapText="1"/>
      <protection locked="0"/>
    </xf>
    <xf numFmtId="166" fontId="31" fillId="0" borderId="3" xfId="0" applyNumberFormat="1" applyFont="1" applyBorder="1" applyAlignment="1" applyProtection="1">
      <alignment horizontal="left" vertical="center" wrapText="1"/>
      <protection hidden="1"/>
    </xf>
    <xf numFmtId="0" fontId="4" fillId="0" borderId="3" xfId="0" applyFont="1" applyBorder="1" applyAlignment="1" applyProtection="1">
      <alignment horizontal="left" vertical="center"/>
      <protection hidden="1"/>
    </xf>
    <xf numFmtId="0" fontId="13" fillId="6" borderId="3" xfId="0" applyFont="1" applyFill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vertical="center" wrapText="1"/>
      <protection hidden="1"/>
    </xf>
    <xf numFmtId="0" fontId="4" fillId="6" borderId="3" xfId="0" applyFont="1" applyFill="1" applyBorder="1" applyAlignment="1" applyProtection="1">
      <alignment horizontal="center" vertical="center" wrapText="1"/>
      <protection hidden="1"/>
    </xf>
    <xf numFmtId="0" fontId="31" fillId="0" borderId="3" xfId="0" applyFont="1" applyBorder="1" applyAlignment="1" applyProtection="1">
      <alignment horizontal="center" vertical="center"/>
      <protection hidden="1"/>
    </xf>
    <xf numFmtId="0" fontId="4" fillId="6" borderId="4" xfId="0" applyFont="1" applyFill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16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left" vertical="center" wrapText="1"/>
      <protection hidden="1"/>
    </xf>
    <xf numFmtId="169" fontId="37" fillId="0" borderId="1" xfId="0" applyNumberFormat="1" applyFont="1" applyBorder="1" applyAlignment="1" applyProtection="1">
      <alignment horizontal="center" vertical="center"/>
      <protection hidden="1"/>
    </xf>
    <xf numFmtId="0" fontId="4" fillId="6" borderId="13" xfId="0" applyFont="1" applyFill="1" applyBorder="1" applyAlignment="1" applyProtection="1">
      <alignment horizontal="left" vertical="center" wrapText="1"/>
      <protection hidden="1"/>
    </xf>
    <xf numFmtId="0" fontId="31" fillId="6" borderId="0" xfId="0" applyFont="1" applyFill="1" applyAlignment="1" applyProtection="1">
      <alignment horizontal="center" vertical="center"/>
      <protection hidden="1"/>
    </xf>
    <xf numFmtId="0" fontId="4" fillId="6" borderId="1" xfId="0" applyFont="1" applyFill="1" applyBorder="1" applyAlignment="1" applyProtection="1">
      <alignment horizontal="left" vertical="center" wrapText="1"/>
      <protection hidden="1"/>
    </xf>
    <xf numFmtId="0" fontId="31" fillId="6" borderId="3" xfId="0" applyFont="1" applyFill="1" applyBorder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4" fillId="6" borderId="3" xfId="0" applyFont="1" applyFill="1" applyBorder="1" applyAlignment="1" applyProtection="1">
      <alignment horizontal="left" vertical="center" wrapText="1"/>
      <protection hidden="1"/>
    </xf>
    <xf numFmtId="0" fontId="4" fillId="5" borderId="3" xfId="0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horizontal="left" vertical="center"/>
      <protection hidden="1"/>
    </xf>
    <xf numFmtId="0" fontId="39" fillId="0" borderId="0" xfId="0" applyFont="1" applyAlignment="1" applyProtection="1">
      <alignment horizontal="center" vertical="top" wrapText="1"/>
      <protection hidden="1"/>
    </xf>
    <xf numFmtId="165" fontId="39" fillId="0" borderId="0" xfId="0" applyNumberFormat="1" applyFont="1" applyAlignment="1" applyProtection="1">
      <alignment horizontal="right" vertical="top" wrapText="1"/>
      <protection hidden="1"/>
    </xf>
    <xf numFmtId="0" fontId="40" fillId="0" borderId="0" xfId="0" applyFont="1" applyAlignment="1" applyProtection="1">
      <alignment horizontal="left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49" fontId="39" fillId="0" borderId="0" xfId="0" applyNumberFormat="1" applyFont="1" applyAlignment="1" applyProtection="1">
      <alignment horizontal="center" vertical="center"/>
      <protection hidden="1"/>
    </xf>
    <xf numFmtId="165" fontId="39" fillId="0" borderId="0" xfId="0" applyNumberFormat="1" applyFont="1" applyAlignment="1" applyProtection="1">
      <alignment horizontal="center" vertical="center" wrapText="1"/>
      <protection hidden="1"/>
    </xf>
    <xf numFmtId="165" fontId="39" fillId="0" borderId="0" xfId="0" applyNumberFormat="1" applyFont="1" applyAlignment="1" applyProtection="1">
      <alignment horizontal="right" vertical="center" wrapText="1"/>
      <protection hidden="1"/>
    </xf>
    <xf numFmtId="0" fontId="38" fillId="0" borderId="0" xfId="0" applyFont="1" applyAlignment="1" applyProtection="1">
      <alignment horizontal="left" vertical="center"/>
      <protection locked="0"/>
    </xf>
    <xf numFmtId="49" fontId="38" fillId="0" borderId="0" xfId="0" applyNumberFormat="1" applyFont="1" applyAlignment="1" applyProtection="1">
      <alignment horizontal="left" vertical="center"/>
      <protection locked="0"/>
    </xf>
    <xf numFmtId="165" fontId="38" fillId="0" borderId="0" xfId="0" applyNumberFormat="1" applyFont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left" vertical="center"/>
      <protection hidden="1"/>
    </xf>
    <xf numFmtId="0" fontId="41" fillId="0" borderId="3" xfId="0" applyFont="1" applyBorder="1" applyAlignment="1" applyProtection="1">
      <alignment horizontal="center" vertical="center" wrapText="1"/>
      <protection hidden="1"/>
    </xf>
    <xf numFmtId="0" fontId="39" fillId="0" borderId="3" xfId="0" applyFont="1" applyBorder="1" applyAlignment="1" applyProtection="1">
      <alignment horizontal="center" vertical="center" wrapText="1"/>
      <protection hidden="1"/>
    </xf>
    <xf numFmtId="0" fontId="39" fillId="0" borderId="3" xfId="0" applyFont="1" applyBorder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left" vertical="center" wrapText="1"/>
      <protection hidden="1"/>
    </xf>
    <xf numFmtId="0" fontId="39" fillId="0" borderId="1" xfId="0" applyFont="1" applyBorder="1" applyAlignment="1" applyProtection="1">
      <alignment horizontal="left" vertical="center" wrapText="1"/>
      <protection hidden="1"/>
    </xf>
    <xf numFmtId="0" fontId="39" fillId="0" borderId="16" xfId="0" applyFont="1" applyBorder="1" applyAlignment="1" applyProtection="1">
      <alignment horizontal="left" vertical="center" wrapText="1"/>
      <protection hidden="1"/>
    </xf>
    <xf numFmtId="0" fontId="39" fillId="0" borderId="0" xfId="0" applyFont="1" applyAlignment="1" applyProtection="1">
      <alignment horizontal="center" vertical="center" wrapText="1"/>
      <protection hidden="1"/>
    </xf>
    <xf numFmtId="0" fontId="38" fillId="0" borderId="0" xfId="0" applyFont="1" applyAlignment="1" applyProtection="1">
      <alignment horizontal="left" vertical="center" wrapText="1"/>
      <protection hidden="1"/>
    </xf>
    <xf numFmtId="0" fontId="42" fillId="0" borderId="3" xfId="0" applyFont="1" applyBorder="1" applyAlignment="1" applyProtection="1">
      <alignment vertical="center"/>
      <protection hidden="1"/>
    </xf>
    <xf numFmtId="11" fontId="38" fillId="0" borderId="3" xfId="0" applyNumberFormat="1" applyFont="1" applyBorder="1" applyAlignment="1" applyProtection="1">
      <alignment horizontal="left" vertical="center" wrapText="1"/>
      <protection hidden="1"/>
    </xf>
    <xf numFmtId="0" fontId="38" fillId="5" borderId="3" xfId="0" applyFont="1" applyFill="1" applyBorder="1" applyAlignment="1" applyProtection="1">
      <alignment horizontal="center" vertical="center" wrapText="1"/>
      <protection locked="0"/>
    </xf>
    <xf numFmtId="0" fontId="41" fillId="0" borderId="3" xfId="0" applyFont="1" applyBorder="1" applyAlignment="1" applyProtection="1">
      <alignment vertical="center"/>
      <protection hidden="1"/>
    </xf>
    <xf numFmtId="0" fontId="39" fillId="0" borderId="3" xfId="0" applyFont="1" applyBorder="1" applyAlignment="1" applyProtection="1">
      <alignment horizontal="left" vertical="center"/>
      <protection hidden="1"/>
    </xf>
    <xf numFmtId="0" fontId="39" fillId="5" borderId="3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horizontal="left" vertical="center"/>
      <protection hidden="1"/>
    </xf>
    <xf numFmtId="0" fontId="41" fillId="0" borderId="0" xfId="0" applyFont="1" applyAlignment="1" applyProtection="1">
      <alignment horizontal="left" vertical="center"/>
      <protection hidden="1"/>
    </xf>
    <xf numFmtId="0" fontId="41" fillId="6" borderId="3" xfId="0" applyFont="1" applyFill="1" applyBorder="1" applyAlignment="1" applyProtection="1">
      <alignment horizontal="center" vertical="center" wrapText="1"/>
      <protection hidden="1"/>
    </xf>
    <xf numFmtId="0" fontId="39" fillId="6" borderId="10" xfId="0" applyFont="1" applyFill="1" applyBorder="1" applyAlignment="1" applyProtection="1">
      <alignment horizontal="center" vertical="center" wrapText="1"/>
      <protection hidden="1"/>
    </xf>
    <xf numFmtId="0" fontId="43" fillId="0" borderId="13" xfId="0" applyFont="1" applyBorder="1" applyAlignment="1" applyProtection="1">
      <alignment horizontal="center" vertical="center"/>
      <protection hidden="1"/>
    </xf>
    <xf numFmtId="0" fontId="39" fillId="6" borderId="5" xfId="0" applyFont="1" applyFill="1" applyBorder="1" applyAlignment="1" applyProtection="1">
      <alignment vertical="center" wrapText="1"/>
      <protection hidden="1"/>
    </xf>
    <xf numFmtId="0" fontId="39" fillId="6" borderId="3" xfId="0" applyFont="1" applyFill="1" applyBorder="1" applyAlignment="1" applyProtection="1">
      <alignment vertical="center" wrapText="1"/>
      <protection hidden="1"/>
    </xf>
    <xf numFmtId="0" fontId="39" fillId="6" borderId="0" xfId="0" applyFont="1" applyFill="1" applyAlignment="1" applyProtection="1">
      <alignment vertical="center" wrapText="1"/>
      <protection hidden="1"/>
    </xf>
    <xf numFmtId="0" fontId="39" fillId="6" borderId="13" xfId="0" applyFont="1" applyFill="1" applyBorder="1" applyAlignment="1" applyProtection="1">
      <alignment horizontal="left" vertical="center" wrapText="1"/>
      <protection hidden="1"/>
    </xf>
    <xf numFmtId="0" fontId="43" fillId="0" borderId="3" xfId="0" applyFont="1" applyBorder="1" applyAlignment="1" applyProtection="1">
      <alignment horizontal="center" vertical="center"/>
      <protection hidden="1"/>
    </xf>
    <xf numFmtId="0" fontId="38" fillId="0" borderId="3" xfId="0" applyFont="1" applyBorder="1" applyAlignment="1" applyProtection="1">
      <alignment horizontal="left" vertical="center"/>
      <protection hidden="1"/>
    </xf>
    <xf numFmtId="169" fontId="44" fillId="0" borderId="3" xfId="0" applyNumberFormat="1" applyFont="1" applyBorder="1" applyAlignment="1" applyProtection="1">
      <alignment horizontal="center" vertical="center"/>
      <protection hidden="1"/>
    </xf>
    <xf numFmtId="167" fontId="43" fillId="0" borderId="4" xfId="0" applyNumberFormat="1" applyFont="1" applyBorder="1" applyAlignment="1" applyProtection="1">
      <alignment vertical="center" wrapText="1"/>
      <protection hidden="1"/>
    </xf>
    <xf numFmtId="0" fontId="43" fillId="0" borderId="4" xfId="0" applyFont="1" applyBorder="1" applyAlignment="1" applyProtection="1">
      <alignment vertical="center"/>
      <protection hidden="1"/>
    </xf>
    <xf numFmtId="0" fontId="43" fillId="0" borderId="3" xfId="0" applyFont="1" applyBorder="1" applyAlignment="1" applyProtection="1">
      <alignment horizontal="left" vertical="center"/>
      <protection hidden="1"/>
    </xf>
    <xf numFmtId="0" fontId="32" fillId="6" borderId="0" xfId="0" applyFont="1" applyFill="1" applyAlignment="1" applyProtection="1">
      <alignment horizontal="left" vertical="center"/>
      <protection hidden="1"/>
    </xf>
    <xf numFmtId="0" fontId="32" fillId="0" borderId="5" xfId="0" applyFont="1" applyBorder="1" applyAlignment="1" applyProtection="1">
      <alignment horizontal="left" vertical="center"/>
      <protection hidden="1"/>
    </xf>
    <xf numFmtId="0" fontId="32" fillId="0" borderId="6" xfId="0" applyFont="1" applyBorder="1" applyAlignment="1" applyProtection="1">
      <alignment horizontal="left" vertical="center"/>
      <protection hidden="1"/>
    </xf>
    <xf numFmtId="0" fontId="34" fillId="6" borderId="3" xfId="0" applyFont="1" applyFill="1" applyBorder="1" applyAlignment="1" applyProtection="1">
      <alignment horizontal="center" vertical="center" wrapText="1"/>
      <protection hidden="1"/>
    </xf>
    <xf numFmtId="0" fontId="36" fillId="6" borderId="3" xfId="0" applyFont="1" applyFill="1" applyBorder="1" applyAlignment="1" applyProtection="1">
      <alignment horizontal="center" vertical="center"/>
      <protection hidden="1"/>
    </xf>
    <xf numFmtId="0" fontId="36" fillId="6" borderId="13" xfId="0" applyFont="1" applyFill="1" applyBorder="1" applyAlignment="1" applyProtection="1">
      <alignment horizontal="center" vertical="center" wrapText="1"/>
      <protection hidden="1"/>
    </xf>
    <xf numFmtId="0" fontId="4" fillId="6" borderId="13" xfId="0" applyFont="1" applyFill="1" applyBorder="1" applyAlignment="1" applyProtection="1">
      <alignment horizontal="center" vertical="center" wrapText="1"/>
      <protection hidden="1"/>
    </xf>
    <xf numFmtId="0" fontId="41" fillId="0" borderId="13" xfId="0" applyFont="1" applyBorder="1" applyAlignment="1" applyProtection="1">
      <alignment horizontal="center" vertical="center" wrapText="1"/>
      <protection hidden="1"/>
    </xf>
    <xf numFmtId="0" fontId="34" fillId="0" borderId="3" xfId="0" applyFont="1" applyBorder="1" applyAlignment="1" applyProtection="1">
      <alignment horizontal="left" vertical="center" wrapText="1"/>
      <protection hidden="1"/>
    </xf>
    <xf numFmtId="0" fontId="35" fillId="0" borderId="10" xfId="0" applyFont="1" applyBorder="1" applyAlignment="1" applyProtection="1">
      <alignment horizontal="left" vertical="center" wrapText="1"/>
      <protection hidden="1"/>
    </xf>
    <xf numFmtId="0" fontId="23" fillId="0" borderId="5" xfId="0" applyFont="1" applyBorder="1" applyAlignment="1" applyProtection="1">
      <alignment horizontal="left" vertical="center"/>
      <protection hidden="1"/>
    </xf>
    <xf numFmtId="0" fontId="23" fillId="0" borderId="6" xfId="0" applyFont="1" applyBorder="1" applyAlignment="1" applyProtection="1">
      <alignment horizontal="left" vertical="center"/>
      <protection hidden="1"/>
    </xf>
    <xf numFmtId="0" fontId="23" fillId="0" borderId="0" xfId="0" applyFont="1" applyAlignment="1" applyProtection="1">
      <alignment horizontal="left" vertical="center"/>
      <protection hidden="1"/>
    </xf>
    <xf numFmtId="0" fontId="24" fillId="0" borderId="0" xfId="0" applyFont="1" applyAlignment="1" applyProtection="1">
      <alignment horizontal="center" vertical="top" wrapText="1"/>
      <protection hidden="1"/>
    </xf>
    <xf numFmtId="165" fontId="24" fillId="0" borderId="0" xfId="0" applyNumberFormat="1" applyFont="1" applyAlignment="1" applyProtection="1">
      <alignment horizontal="right" vertical="top" wrapText="1"/>
      <protection hidden="1"/>
    </xf>
    <xf numFmtId="0" fontId="45" fillId="0" borderId="0" xfId="0" applyFont="1" applyAlignment="1" applyProtection="1">
      <alignment horizontal="left"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49" fontId="24" fillId="0" borderId="0" xfId="0" applyNumberFormat="1" applyFont="1" applyAlignment="1" applyProtection="1">
      <alignment horizontal="center" vertical="center"/>
      <protection hidden="1"/>
    </xf>
    <xf numFmtId="165" fontId="24" fillId="0" borderId="0" xfId="0" applyNumberFormat="1" applyFont="1" applyAlignment="1" applyProtection="1">
      <alignment horizontal="center" vertical="center" wrapText="1"/>
      <protection hidden="1"/>
    </xf>
    <xf numFmtId="165" fontId="24" fillId="0" borderId="0" xfId="0" applyNumberFormat="1" applyFont="1" applyAlignment="1" applyProtection="1">
      <alignment horizontal="right" vertical="center" wrapText="1"/>
      <protection hidden="1"/>
    </xf>
    <xf numFmtId="0" fontId="23" fillId="0" borderId="0" xfId="0" applyFont="1" applyAlignment="1" applyProtection="1">
      <alignment horizontal="left" vertical="center"/>
      <protection locked="0"/>
    </xf>
    <xf numFmtId="49" fontId="23" fillId="0" borderId="0" xfId="0" applyNumberFormat="1" applyFont="1" applyAlignment="1" applyProtection="1">
      <alignment horizontal="left" vertical="center"/>
      <protection locked="0"/>
    </xf>
    <xf numFmtId="165" fontId="23" fillId="0" borderId="0" xfId="0" applyNumberFormat="1" applyFont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left"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4" fillId="0" borderId="0" xfId="0" applyFont="1" applyAlignment="1" applyProtection="1">
      <alignment horizontal="left" vertical="center" wrapText="1"/>
      <protection hidden="1"/>
    </xf>
    <xf numFmtId="0" fontId="25" fillId="0" borderId="3" xfId="0" applyFont="1" applyBorder="1" applyAlignment="1" applyProtection="1">
      <alignment horizontal="center" vertical="center" wrapText="1"/>
      <protection hidden="1"/>
    </xf>
    <xf numFmtId="0" fontId="28" fillId="0" borderId="3" xfId="0" applyFont="1" applyBorder="1" applyAlignment="1" applyProtection="1">
      <alignment horizontal="left" vertical="center"/>
      <protection hidden="1"/>
    </xf>
    <xf numFmtId="0" fontId="28" fillId="0" borderId="3" xfId="0" applyFont="1" applyBorder="1" applyAlignment="1" applyProtection="1">
      <alignment vertical="center"/>
      <protection hidden="1"/>
    </xf>
    <xf numFmtId="0" fontId="28" fillId="5" borderId="3" xfId="0" applyFont="1" applyFill="1" applyBorder="1" applyAlignment="1" applyProtection="1">
      <alignment horizontal="center" vertical="center" wrapText="1"/>
      <protection locked="0"/>
    </xf>
    <xf numFmtId="166" fontId="28" fillId="0" borderId="3" xfId="0" applyNumberFormat="1" applyFont="1" applyBorder="1" applyAlignment="1">
      <alignment horizontal="center" vertical="center"/>
    </xf>
    <xf numFmtId="164" fontId="28" fillId="0" borderId="3" xfId="0" applyNumberFormat="1" applyFont="1" applyBorder="1" applyAlignment="1">
      <alignment horizontal="center" vertical="center"/>
    </xf>
    <xf numFmtId="168" fontId="28" fillId="0" borderId="3" xfId="0" applyNumberFormat="1" applyFont="1" applyBorder="1" applyAlignment="1">
      <alignment horizontal="center" vertical="center"/>
    </xf>
    <xf numFmtId="0" fontId="28" fillId="0" borderId="13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5" fillId="0" borderId="10" xfId="0" applyFont="1" applyBorder="1" applyAlignment="1" applyProtection="1">
      <alignment vertical="center"/>
      <protection hidden="1"/>
    </xf>
    <xf numFmtId="0" fontId="25" fillId="0" borderId="11" xfId="0" applyFont="1" applyBorder="1" applyAlignment="1" applyProtection="1">
      <alignment vertical="center"/>
      <protection hidden="1"/>
    </xf>
    <xf numFmtId="170" fontId="25" fillId="0" borderId="11" xfId="0" applyNumberFormat="1" applyFont="1" applyBorder="1" applyAlignment="1" applyProtection="1">
      <alignment vertical="center"/>
      <protection hidden="1"/>
    </xf>
    <xf numFmtId="0" fontId="25" fillId="5" borderId="3" xfId="0" applyFont="1" applyFill="1" applyBorder="1" applyAlignment="1" applyProtection="1">
      <alignment horizontal="center" vertical="center" wrapText="1"/>
      <protection locked="0"/>
    </xf>
    <xf numFmtId="0" fontId="28" fillId="6" borderId="0" xfId="0" applyFont="1" applyFill="1" applyAlignment="1" applyProtection="1">
      <alignment horizontal="left" vertical="center"/>
      <protection hidden="1"/>
    </xf>
    <xf numFmtId="0" fontId="28" fillId="0" borderId="9" xfId="0" applyFont="1" applyBorder="1" applyAlignment="1" applyProtection="1">
      <alignment horizontal="left" vertical="center"/>
      <protection hidden="1"/>
    </xf>
    <xf numFmtId="0" fontId="28" fillId="0" borderId="0" xfId="0" applyFont="1" applyAlignment="1" applyProtection="1">
      <alignment horizontal="left" vertical="center"/>
      <protection hidden="1"/>
    </xf>
    <xf numFmtId="0" fontId="25" fillId="0" borderId="2" xfId="0" applyFont="1" applyBorder="1" applyAlignment="1" applyProtection="1">
      <alignment vertical="center"/>
      <protection hidden="1"/>
    </xf>
    <xf numFmtId="0" fontId="28" fillId="0" borderId="2" xfId="0" applyFont="1" applyBorder="1" applyAlignment="1" applyProtection="1">
      <alignment vertical="center"/>
      <protection hidden="1"/>
    </xf>
    <xf numFmtId="0" fontId="25" fillId="0" borderId="13" xfId="0" applyFont="1" applyBorder="1" applyAlignment="1" applyProtection="1">
      <alignment horizontal="center" vertical="center" wrapText="1"/>
      <protection hidden="1"/>
    </xf>
    <xf numFmtId="0" fontId="28" fillId="5" borderId="13" xfId="0" applyFont="1" applyFill="1" applyBorder="1" applyAlignment="1" applyProtection="1">
      <alignment horizontal="center" vertical="center" wrapText="1"/>
      <protection locked="0"/>
    </xf>
    <xf numFmtId="0" fontId="28" fillId="7" borderId="6" xfId="0" applyFont="1" applyFill="1" applyBorder="1" applyAlignment="1" applyProtection="1">
      <alignment horizontal="center" vertical="center"/>
      <protection hidden="1"/>
    </xf>
    <xf numFmtId="0" fontId="28" fillId="7" borderId="13" xfId="0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 applyProtection="1">
      <alignment horizontal="left" vertical="center"/>
      <protection hidden="1"/>
    </xf>
    <xf numFmtId="0" fontId="28" fillId="7" borderId="7" xfId="0" applyFont="1" applyFill="1" applyBorder="1" applyAlignment="1" applyProtection="1">
      <alignment vertical="center"/>
      <protection hidden="1"/>
    </xf>
    <xf numFmtId="0" fontId="28" fillId="7" borderId="8" xfId="0" applyFont="1" applyFill="1" applyBorder="1" applyAlignment="1" applyProtection="1">
      <alignment vertical="center"/>
      <protection hidden="1"/>
    </xf>
    <xf numFmtId="0" fontId="28" fillId="5" borderId="4" xfId="0" applyFont="1" applyFill="1" applyBorder="1" applyAlignment="1" applyProtection="1">
      <alignment horizontal="center" vertical="center" wrapText="1"/>
      <protection locked="0"/>
    </xf>
    <xf numFmtId="0" fontId="28" fillId="7" borderId="15" xfId="0" applyFont="1" applyFill="1" applyBorder="1" applyAlignment="1" applyProtection="1">
      <alignment horizontal="center" vertical="center"/>
      <protection hidden="1"/>
    </xf>
    <xf numFmtId="0" fontId="28" fillId="7" borderId="5" xfId="0" applyFont="1" applyFill="1" applyBorder="1" applyAlignment="1" applyProtection="1">
      <alignment vertical="center"/>
      <protection hidden="1"/>
    </xf>
    <xf numFmtId="0" fontId="28" fillId="7" borderId="6" xfId="0" applyFont="1" applyFill="1" applyBorder="1" applyAlignment="1" applyProtection="1">
      <alignment vertical="center"/>
      <protection hidden="1"/>
    </xf>
    <xf numFmtId="0" fontId="28" fillId="7" borderId="16" xfId="0" applyFont="1" applyFill="1" applyBorder="1" applyAlignment="1" applyProtection="1">
      <alignment vertical="center"/>
      <protection hidden="1"/>
    </xf>
    <xf numFmtId="0" fontId="28" fillId="7" borderId="12" xfId="0" applyFont="1" applyFill="1" applyBorder="1" applyAlignment="1" applyProtection="1">
      <alignment vertical="center"/>
      <protection hidden="1"/>
    </xf>
    <xf numFmtId="0" fontId="28" fillId="5" borderId="15" xfId="0" applyFont="1" applyFill="1" applyBorder="1" applyAlignment="1" applyProtection="1">
      <alignment horizontal="center" vertical="center" wrapText="1"/>
      <protection locked="0"/>
    </xf>
    <xf numFmtId="0" fontId="28" fillId="7" borderId="12" xfId="0" applyFont="1" applyFill="1" applyBorder="1" applyAlignment="1" applyProtection="1">
      <alignment horizontal="center" vertical="center"/>
      <protection hidden="1"/>
    </xf>
    <xf numFmtId="0" fontId="28" fillId="7" borderId="5" xfId="0" applyFont="1" applyFill="1" applyBorder="1" applyAlignment="1" applyProtection="1">
      <alignment horizontal="center" vertical="center"/>
      <protection hidden="1"/>
    </xf>
    <xf numFmtId="0" fontId="28" fillId="7" borderId="9" xfId="0" applyFont="1" applyFill="1" applyBorder="1" applyAlignment="1" applyProtection="1">
      <alignment horizontal="center" vertical="center"/>
      <protection hidden="1"/>
    </xf>
    <xf numFmtId="0" fontId="28" fillId="7" borderId="8" xfId="0" applyFont="1" applyFill="1" applyBorder="1" applyAlignment="1" applyProtection="1">
      <alignment horizontal="center" vertical="center"/>
      <protection hidden="1"/>
    </xf>
    <xf numFmtId="0" fontId="28" fillId="7" borderId="0" xfId="0" applyFont="1" applyFill="1" applyAlignment="1" applyProtection="1">
      <alignment horizontal="center" vertical="center"/>
      <protection hidden="1"/>
    </xf>
    <xf numFmtId="0" fontId="28" fillId="7" borderId="16" xfId="0" applyFont="1" applyFill="1" applyBorder="1" applyAlignment="1" applyProtection="1">
      <alignment horizontal="center" vertical="center"/>
      <protection hidden="1"/>
    </xf>
    <xf numFmtId="0" fontId="28" fillId="7" borderId="2" xfId="0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 applyProtection="1">
      <alignment horizontal="center" vertical="center"/>
      <protection hidden="1"/>
    </xf>
    <xf numFmtId="0" fontId="25" fillId="6" borderId="2" xfId="0" applyFont="1" applyFill="1" applyBorder="1" applyAlignment="1" applyProtection="1">
      <alignment horizontal="left" vertical="center"/>
      <protection hidden="1"/>
    </xf>
    <xf numFmtId="0" fontId="25" fillId="0" borderId="10" xfId="0" applyFont="1" applyBorder="1" applyAlignment="1" applyProtection="1">
      <alignment horizontal="center" vertical="center" wrapText="1"/>
      <protection hidden="1"/>
    </xf>
    <xf numFmtId="0" fontId="25" fillId="0" borderId="4" xfId="0" applyFont="1" applyBorder="1" applyAlignment="1" applyProtection="1">
      <alignment horizontal="center" vertical="center" wrapText="1"/>
      <protection hidden="1"/>
    </xf>
    <xf numFmtId="0" fontId="28" fillId="0" borderId="10" xfId="0" applyFont="1" applyBorder="1" applyAlignment="1" applyProtection="1">
      <alignment vertical="center"/>
      <protection hidden="1"/>
    </xf>
    <xf numFmtId="0" fontId="28" fillId="6" borderId="4" xfId="0" applyFont="1" applyFill="1" applyBorder="1" applyAlignment="1" applyProtection="1">
      <alignment horizontal="center" vertical="center" wrapText="1"/>
      <protection hidden="1"/>
    </xf>
    <xf numFmtId="0" fontId="25" fillId="0" borderId="3" xfId="0" applyFont="1" applyBorder="1" applyAlignment="1" applyProtection="1">
      <alignment horizontal="left" vertical="center"/>
      <protection hidden="1"/>
    </xf>
    <xf numFmtId="0" fontId="28" fillId="0" borderId="5" xfId="0" applyFont="1" applyBorder="1" applyAlignment="1" applyProtection="1">
      <alignment horizontal="left" vertical="center"/>
      <protection hidden="1"/>
    </xf>
    <xf numFmtId="0" fontId="28" fillId="0" borderId="9" xfId="0" applyFont="1" applyBorder="1" applyAlignment="1" applyProtection="1">
      <alignment horizontal="center" vertical="center"/>
      <protection hidden="1"/>
    </xf>
    <xf numFmtId="0" fontId="25" fillId="0" borderId="10" xfId="0" applyFont="1" applyBorder="1" applyAlignment="1" applyProtection="1">
      <alignment vertical="center" wrapText="1"/>
      <protection hidden="1"/>
    </xf>
    <xf numFmtId="0" fontId="28" fillId="0" borderId="7" xfId="0" applyFont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46" fillId="0" borderId="0" xfId="0" applyFont="1" applyAlignment="1" applyProtection="1">
      <alignment horizontal="left" vertical="center"/>
      <protection hidden="1"/>
    </xf>
    <xf numFmtId="0" fontId="28" fillId="0" borderId="5" xfId="0" applyFont="1" applyBorder="1" applyAlignment="1" applyProtection="1">
      <alignment horizontal="center" vertical="center"/>
      <protection hidden="1"/>
    </xf>
    <xf numFmtId="0" fontId="23" fillId="0" borderId="9" xfId="0" applyFont="1" applyBorder="1" applyAlignment="1" applyProtection="1">
      <alignment horizontal="left" vertical="center"/>
      <protection hidden="1"/>
    </xf>
    <xf numFmtId="0" fontId="47" fillId="0" borderId="0" xfId="0" applyFont="1" applyAlignment="1" applyProtection="1">
      <alignment horizontal="left" vertical="center"/>
      <protection hidden="1"/>
    </xf>
    <xf numFmtId="0" fontId="31" fillId="0" borderId="5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right" vertical="top" wrapText="1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2" fillId="5" borderId="3" xfId="0" applyFont="1" applyFill="1" applyBorder="1" applyAlignment="1" applyProtection="1">
      <alignment horizontal="center" vertical="center" wrapText="1"/>
      <protection locked="0"/>
    </xf>
    <xf numFmtId="166" fontId="12" fillId="0" borderId="3" xfId="0" applyNumberFormat="1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left" vertical="center" wrapText="1"/>
      <protection hidden="1"/>
    </xf>
    <xf numFmtId="170" fontId="12" fillId="0" borderId="0" xfId="0" applyNumberFormat="1" applyFont="1" applyAlignment="1" applyProtection="1">
      <alignment vertical="center" wrapText="1"/>
      <protection hidden="1"/>
    </xf>
    <xf numFmtId="170" fontId="12" fillId="0" borderId="6" xfId="0" applyNumberFormat="1" applyFont="1" applyBorder="1" applyAlignment="1" applyProtection="1">
      <alignment vertical="center" wrapText="1"/>
      <protection hidden="1"/>
    </xf>
    <xf numFmtId="0" fontId="13" fillId="0" borderId="10" xfId="0" applyFont="1" applyBorder="1" applyAlignment="1" applyProtection="1">
      <alignment vertical="center" wrapText="1"/>
      <protection hidden="1"/>
    </xf>
    <xf numFmtId="0" fontId="13" fillId="0" borderId="11" xfId="0" applyFont="1" applyBorder="1" applyAlignment="1" applyProtection="1">
      <alignment vertical="center" wrapText="1"/>
      <protection hidden="1"/>
    </xf>
    <xf numFmtId="170" fontId="13" fillId="0" borderId="11" xfId="0" applyNumberFormat="1" applyFont="1" applyBorder="1" applyAlignment="1" applyProtection="1">
      <alignment vertical="center" wrapText="1"/>
      <protection hidden="1"/>
    </xf>
    <xf numFmtId="0" fontId="12" fillId="6" borderId="9" xfId="0" applyFont="1" applyFill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vertical="center"/>
      <protection hidden="1"/>
    </xf>
    <xf numFmtId="0" fontId="12" fillId="6" borderId="15" xfId="0" applyFont="1" applyFill="1" applyBorder="1" applyAlignment="1" applyProtection="1">
      <alignment horizontal="center" vertical="center" wrapText="1"/>
      <protection hidden="1"/>
    </xf>
    <xf numFmtId="0" fontId="12" fillId="6" borderId="5" xfId="0" applyFont="1" applyFill="1" applyBorder="1" applyAlignment="1" applyProtection="1">
      <alignment horizontal="center" vertical="center" wrapText="1"/>
      <protection hidden="1"/>
    </xf>
    <xf numFmtId="0" fontId="41" fillId="0" borderId="5" xfId="0" applyFont="1" applyBorder="1" applyAlignment="1" applyProtection="1">
      <alignment vertical="center"/>
      <protection hidden="1"/>
    </xf>
    <xf numFmtId="0" fontId="41" fillId="0" borderId="0" xfId="0" applyFont="1" applyAlignment="1" applyProtection="1">
      <alignment vertical="center"/>
      <protection hidden="1"/>
    </xf>
    <xf numFmtId="0" fontId="41" fillId="0" borderId="0" xfId="0" applyFont="1" applyAlignment="1" applyProtection="1">
      <alignment horizontal="left" vertical="center" wrapText="1"/>
      <protection hidden="1"/>
    </xf>
    <xf numFmtId="0" fontId="42" fillId="0" borderId="5" xfId="0" applyFont="1" applyBorder="1" applyAlignment="1" applyProtection="1">
      <alignment horizontal="left" vertical="center"/>
      <protection hidden="1"/>
    </xf>
    <xf numFmtId="0" fontId="39" fillId="6" borderId="0" xfId="0" applyFont="1" applyFill="1" applyAlignment="1" applyProtection="1">
      <alignment horizontal="left" vertical="center"/>
      <protection hidden="1"/>
    </xf>
    <xf numFmtId="0" fontId="13" fillId="6" borderId="0" xfId="0" applyFont="1" applyFill="1" applyAlignment="1" applyProtection="1">
      <alignment vertical="center" wrapText="1"/>
      <protection hidden="1"/>
    </xf>
    <xf numFmtId="0" fontId="12" fillId="6" borderId="0" xfId="0" applyFont="1" applyFill="1" applyAlignment="1" applyProtection="1">
      <alignment horizontal="center" vertical="center" wrapText="1"/>
      <protection locked="0"/>
    </xf>
    <xf numFmtId="0" fontId="42" fillId="6" borderId="0" xfId="0" applyFont="1" applyFill="1" applyAlignment="1" applyProtection="1">
      <alignment horizontal="left" vertical="center"/>
      <protection hidden="1"/>
    </xf>
    <xf numFmtId="0" fontId="41" fillId="6" borderId="0" xfId="0" applyFont="1" applyFill="1" applyAlignment="1" applyProtection="1">
      <alignment horizontal="left" vertical="center"/>
      <protection hidden="1"/>
    </xf>
    <xf numFmtId="0" fontId="12" fillId="6" borderId="0" xfId="0" applyFont="1" applyFill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left" vertical="center" wrapText="1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31" fillId="0" borderId="9" xfId="0" applyFont="1" applyBorder="1" applyAlignment="1" applyProtection="1">
      <alignment horizontal="left" vertical="center"/>
      <protection hidden="1"/>
    </xf>
    <xf numFmtId="0" fontId="31" fillId="6" borderId="0" xfId="0" applyFont="1" applyFill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165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vertical="center" wrapText="1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164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6" xfId="0" applyFont="1" applyBorder="1" applyAlignment="1" applyProtection="1">
      <alignment horizontal="left" vertical="center" wrapText="1"/>
      <protection hidden="1"/>
    </xf>
    <xf numFmtId="0" fontId="13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70" fontId="12" fillId="0" borderId="11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170" fontId="12" fillId="0" borderId="0" xfId="0" applyNumberFormat="1" applyFont="1" applyAlignment="1">
      <alignment vertical="center"/>
    </xf>
    <xf numFmtId="170" fontId="12" fillId="6" borderId="0" xfId="0" applyNumberFormat="1" applyFont="1" applyFill="1" applyAlignment="1">
      <alignment vertical="center"/>
    </xf>
    <xf numFmtId="0" fontId="13" fillId="6" borderId="2" xfId="0" applyFont="1" applyFill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2" xfId="0" applyFont="1" applyBorder="1" applyAlignment="1" applyProtection="1">
      <alignment horizontal="left" vertical="center" wrapText="1"/>
      <protection hidden="1"/>
    </xf>
    <xf numFmtId="0" fontId="13" fillId="6" borderId="0" xfId="0" applyFont="1" applyFill="1" applyAlignment="1" applyProtection="1">
      <alignment horizontal="left" vertical="center" wrapText="1"/>
      <protection hidden="1"/>
    </xf>
    <xf numFmtId="0" fontId="12" fillId="6" borderId="0" xfId="0" applyFont="1" applyFill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31" fillId="0" borderId="9" xfId="0" applyFont="1" applyBorder="1" applyAlignment="1">
      <alignment horizontal="left" vertical="center"/>
    </xf>
    <xf numFmtId="49" fontId="31" fillId="0" borderId="0" xfId="0" applyNumberFormat="1" applyFont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6" borderId="0" xfId="0" applyFont="1" applyFill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 wrapText="1"/>
      <protection hidden="1"/>
    </xf>
    <xf numFmtId="0" fontId="12" fillId="6" borderId="4" xfId="0" applyFont="1" applyFill="1" applyBorder="1" applyAlignment="1" applyProtection="1">
      <alignment horizontal="center" vertical="center" wrapText="1"/>
      <protection locked="0"/>
    </xf>
    <xf numFmtId="0" fontId="12" fillId="6" borderId="0" xfId="0" applyFont="1" applyFill="1" applyAlignment="1" applyProtection="1">
      <alignment vertical="center" wrapText="1"/>
      <protection hidden="1"/>
    </xf>
    <xf numFmtId="0" fontId="39" fillId="0" borderId="0" xfId="0" applyFont="1" applyAlignment="1" applyProtection="1">
      <alignment vertical="center"/>
      <protection hidden="1"/>
    </xf>
    <xf numFmtId="0" fontId="41" fillId="0" borderId="7" xfId="0" applyFont="1" applyBorder="1" applyAlignment="1" applyProtection="1">
      <alignment vertical="center"/>
      <protection hidden="1"/>
    </xf>
    <xf numFmtId="0" fontId="41" fillId="0" borderId="6" xfId="0" applyFont="1" applyBorder="1" applyAlignment="1" applyProtection="1">
      <alignment vertical="center"/>
      <protection hidden="1"/>
    </xf>
    <xf numFmtId="0" fontId="41" fillId="0" borderId="16" xfId="0" applyFont="1" applyBorder="1" applyAlignment="1" applyProtection="1">
      <alignment horizontal="center" vertical="center" wrapText="1"/>
      <protection hidden="1"/>
    </xf>
    <xf numFmtId="0" fontId="41" fillId="0" borderId="12" xfId="0" applyFont="1" applyBorder="1" applyAlignment="1" applyProtection="1">
      <alignment vertical="center"/>
      <protection hidden="1"/>
    </xf>
    <xf numFmtId="0" fontId="48" fillId="0" borderId="3" xfId="0" applyFont="1" applyBorder="1" applyAlignment="1" applyProtection="1">
      <alignment horizontal="center" vertical="center" wrapText="1"/>
      <protection hidden="1"/>
    </xf>
    <xf numFmtId="0" fontId="41" fillId="0" borderId="10" xfId="0" applyFont="1" applyBorder="1" applyAlignment="1" applyProtection="1">
      <alignment horizontal="center" vertical="center" wrapText="1"/>
      <protection hidden="1"/>
    </xf>
    <xf numFmtId="0" fontId="38" fillId="0" borderId="0" xfId="0" applyFont="1" applyAlignment="1" applyProtection="1">
      <alignment vertical="center"/>
      <protection locked="0"/>
    </xf>
    <xf numFmtId="0" fontId="41" fillId="0" borderId="3" xfId="0" applyFont="1" applyBorder="1" applyAlignment="1" applyProtection="1">
      <alignment horizontal="center" vertical="center"/>
      <protection locked="0"/>
    </xf>
    <xf numFmtId="0" fontId="43" fillId="0" borderId="3" xfId="0" applyFont="1" applyBorder="1" applyAlignment="1" applyProtection="1">
      <alignment horizontal="center" vertical="center"/>
      <protection locked="0"/>
    </xf>
    <xf numFmtId="0" fontId="43" fillId="0" borderId="3" xfId="0" applyFont="1" applyBorder="1" applyAlignment="1" applyProtection="1">
      <alignment horizontal="center" vertical="center" wrapText="1"/>
      <protection locked="0"/>
    </xf>
    <xf numFmtId="0" fontId="42" fillId="5" borderId="3" xfId="0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vertical="center"/>
      <protection locked="0"/>
    </xf>
    <xf numFmtId="0" fontId="41" fillId="0" borderId="3" xfId="0" applyFont="1" applyBorder="1" applyAlignment="1" applyProtection="1">
      <alignment horizontal="center" vertical="center"/>
      <protection hidden="1"/>
    </xf>
    <xf numFmtId="0" fontId="42" fillId="0" borderId="0" xfId="0" applyFont="1" applyAlignment="1" applyProtection="1">
      <alignment horizontal="left" vertical="center"/>
      <protection locked="0"/>
    </xf>
    <xf numFmtId="0" fontId="49" fillId="0" borderId="0" xfId="0" applyFont="1" applyAlignment="1" applyProtection="1">
      <alignment vertical="center"/>
      <protection hidden="1"/>
    </xf>
    <xf numFmtId="0" fontId="49" fillId="0" borderId="0" xfId="0" applyFont="1" applyAlignment="1" applyProtection="1">
      <alignment vertical="center"/>
      <protection locked="0"/>
    </xf>
    <xf numFmtId="0" fontId="41" fillId="0" borderId="3" xfId="0" applyFont="1" applyBorder="1" applyAlignment="1" applyProtection="1">
      <alignment vertical="center" wrapText="1"/>
      <protection hidden="1"/>
    </xf>
    <xf numFmtId="0" fontId="42" fillId="5" borderId="3" xfId="0" applyFont="1" applyFill="1" applyBorder="1" applyAlignment="1" applyProtection="1">
      <alignment vertical="center" wrapText="1"/>
      <protection locked="0"/>
    </xf>
    <xf numFmtId="49" fontId="42" fillId="0" borderId="3" xfId="0" applyNumberFormat="1" applyFont="1" applyBorder="1" applyAlignment="1" applyProtection="1">
      <alignment horizontal="center" vertical="center"/>
      <protection locked="0"/>
    </xf>
    <xf numFmtId="0" fontId="41" fillId="0" borderId="3" xfId="0" applyFont="1" applyBorder="1" applyAlignment="1">
      <alignment vertical="center"/>
    </xf>
    <xf numFmtId="0" fontId="42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top" wrapText="1"/>
    </xf>
    <xf numFmtId="165" fontId="41" fillId="0" borderId="0" xfId="0" applyNumberFormat="1" applyFont="1" applyAlignment="1">
      <alignment horizontal="right" vertical="top" wrapText="1"/>
    </xf>
    <xf numFmtId="0" fontId="50" fillId="0" borderId="0" xfId="0" applyFont="1" applyAlignment="1" applyProtection="1">
      <alignment horizontal="left" vertical="center"/>
      <protection hidden="1"/>
    </xf>
    <xf numFmtId="0" fontId="41" fillId="0" borderId="0" xfId="0" applyFont="1" applyAlignment="1" applyProtection="1">
      <alignment horizontal="center" vertical="center"/>
      <protection hidden="1"/>
    </xf>
    <xf numFmtId="49" fontId="41" fillId="0" borderId="0" xfId="0" applyNumberFormat="1" applyFont="1" applyAlignment="1" applyProtection="1">
      <alignment horizontal="center" vertical="center"/>
      <protection hidden="1"/>
    </xf>
    <xf numFmtId="165" fontId="41" fillId="0" borderId="0" xfId="0" applyNumberFormat="1" applyFont="1" applyAlignment="1" applyProtection="1">
      <alignment horizontal="center" vertical="center" wrapText="1"/>
      <protection hidden="1"/>
    </xf>
    <xf numFmtId="165" fontId="41" fillId="0" borderId="0" xfId="0" applyNumberFormat="1" applyFont="1" applyAlignment="1" applyProtection="1">
      <alignment horizontal="right" vertical="center" wrapText="1"/>
      <protection hidden="1"/>
    </xf>
    <xf numFmtId="49" fontId="42" fillId="0" borderId="0" xfId="0" applyNumberFormat="1" applyFont="1" applyAlignment="1" applyProtection="1">
      <alignment horizontal="left" vertical="center"/>
      <protection locked="0"/>
    </xf>
    <xf numFmtId="165" fontId="42" fillId="0" borderId="0" xfId="0" applyNumberFormat="1" applyFont="1" applyAlignment="1" applyProtection="1">
      <alignment horizontal="center" vertical="center" wrapText="1"/>
      <protection locked="0"/>
    </xf>
    <xf numFmtId="0" fontId="42" fillId="0" borderId="0" xfId="0" applyFont="1" applyAlignment="1">
      <alignment vertical="center"/>
    </xf>
    <xf numFmtId="0" fontId="41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1" fillId="0" borderId="0" xfId="0" applyFont="1" applyAlignment="1">
      <alignment horizontal="left" vertical="center"/>
    </xf>
    <xf numFmtId="0" fontId="41" fillId="0" borderId="8" xfId="0" applyFont="1" applyBorder="1" applyAlignment="1">
      <alignment horizontal="center" vertical="center"/>
    </xf>
    <xf numFmtId="0" fontId="41" fillId="5" borderId="3" xfId="0" applyFont="1" applyFill="1" applyBorder="1" applyAlignment="1" applyProtection="1">
      <alignment horizontal="center" vertical="center" wrapText="1"/>
      <protection locked="0"/>
    </xf>
    <xf numFmtId="0" fontId="51" fillId="0" borderId="0" xfId="0" applyFont="1" applyAlignment="1" applyProtection="1">
      <alignment vertical="center" wrapText="1"/>
      <protection hidden="1"/>
    </xf>
    <xf numFmtId="167" fontId="41" fillId="6" borderId="13" xfId="0" applyNumberFormat="1" applyFont="1" applyFill="1" applyBorder="1" applyAlignment="1" applyProtection="1">
      <alignment horizontal="center" vertical="center" wrapText="1"/>
      <protection hidden="1"/>
    </xf>
    <xf numFmtId="167" fontId="39" fillId="6" borderId="3" xfId="0" applyNumberFormat="1" applyFont="1" applyFill="1" applyBorder="1" applyAlignment="1" applyProtection="1">
      <alignment horizontal="center" vertical="center" wrapText="1"/>
      <protection hidden="1"/>
    </xf>
    <xf numFmtId="167" fontId="39" fillId="0" borderId="3" xfId="0" applyNumberFormat="1" applyFont="1" applyBorder="1" applyAlignment="1" applyProtection="1">
      <alignment horizontal="center" vertical="center" wrapText="1"/>
      <protection hidden="1"/>
    </xf>
    <xf numFmtId="0" fontId="38" fillId="6" borderId="0" xfId="0" applyFont="1" applyFill="1" applyAlignment="1" applyProtection="1">
      <alignment horizontal="left" vertical="center"/>
      <protection hidden="1"/>
    </xf>
    <xf numFmtId="167" fontId="41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39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 wrapText="1"/>
      <protection hidden="1"/>
    </xf>
    <xf numFmtId="0" fontId="52" fillId="0" borderId="0" xfId="0" applyFont="1" applyAlignment="1" applyProtection="1">
      <alignment vertical="center" wrapText="1"/>
      <protection hidden="1"/>
    </xf>
    <xf numFmtId="0" fontId="52" fillId="0" borderId="0" xfId="0" applyFont="1" applyAlignment="1" applyProtection="1">
      <alignment horizontal="center" vertical="center" wrapText="1"/>
      <protection hidden="1"/>
    </xf>
    <xf numFmtId="0" fontId="52" fillId="0" borderId="3" xfId="0" applyFont="1" applyBorder="1" applyAlignment="1" applyProtection="1">
      <alignment horizontal="center" vertical="center" wrapText="1"/>
      <protection hidden="1"/>
    </xf>
    <xf numFmtId="0" fontId="13" fillId="6" borderId="3" xfId="0" applyFont="1" applyFill="1" applyBorder="1" applyAlignment="1" applyProtection="1">
      <alignment vertical="center" wrapText="1"/>
      <protection hidden="1"/>
    </xf>
    <xf numFmtId="0" fontId="13" fillId="5" borderId="3" xfId="0" applyFont="1" applyFill="1" applyBorder="1" applyAlignment="1" applyProtection="1">
      <alignment horizontal="center" vertical="center" wrapText="1"/>
      <protection locked="0"/>
    </xf>
    <xf numFmtId="3" fontId="12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53" fillId="0" borderId="0" xfId="0" applyFont="1" applyAlignment="1" applyProtection="1">
      <alignment vertical="center"/>
      <protection hidden="1"/>
    </xf>
    <xf numFmtId="49" fontId="13" fillId="0" borderId="0" xfId="0" applyNumberFormat="1" applyFont="1" applyAlignment="1" applyProtection="1">
      <alignment vertical="center"/>
      <protection hidden="1"/>
    </xf>
    <xf numFmtId="0" fontId="53" fillId="0" borderId="0" xfId="0" applyFont="1" applyAlignment="1" applyProtection="1">
      <alignment horizontal="right" vertical="center"/>
      <protection hidden="1"/>
    </xf>
    <xf numFmtId="0" fontId="31" fillId="0" borderId="17" xfId="0" applyFont="1" applyBorder="1" applyAlignment="1" applyProtection="1">
      <alignment vertical="center"/>
      <protection hidden="1"/>
    </xf>
    <xf numFmtId="49" fontId="12" fillId="0" borderId="0" xfId="0" applyNumberFormat="1" applyFont="1" applyAlignment="1" applyProtection="1">
      <alignment vertical="center"/>
      <protection hidden="1"/>
    </xf>
    <xf numFmtId="0" fontId="31" fillId="0" borderId="18" xfId="0" applyFont="1" applyBorder="1" applyAlignment="1" applyProtection="1">
      <alignment vertical="center"/>
      <protection hidden="1"/>
    </xf>
    <xf numFmtId="0" fontId="12" fillId="0" borderId="5" xfId="0" applyFont="1" applyBorder="1" applyAlignment="1" applyProtection="1">
      <alignment horizontal="center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31" fillId="0" borderId="0" xfId="0" applyFont="1" applyAlignment="1" applyProtection="1">
      <alignment vertical="center"/>
      <protection locked="0"/>
    </xf>
    <xf numFmtId="0" fontId="13" fillId="6" borderId="3" xfId="0" applyFont="1" applyFill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right" vertical="center"/>
      <protection hidden="1"/>
    </xf>
    <xf numFmtId="0" fontId="13" fillId="0" borderId="0" xfId="0" applyFont="1" applyAlignment="1" applyProtection="1">
      <alignment horizontal="right" vertical="center"/>
      <protection hidden="1"/>
    </xf>
    <xf numFmtId="0" fontId="12" fillId="5" borderId="3" xfId="0" applyFont="1" applyFill="1" applyBorder="1" applyAlignment="1" applyProtection="1">
      <alignment horizontal="left" vertical="center" wrapText="1"/>
      <protection locked="0"/>
    </xf>
    <xf numFmtId="0" fontId="12" fillId="7" borderId="3" xfId="0" applyFont="1" applyFill="1" applyBorder="1" applyAlignment="1" applyProtection="1">
      <alignment horizontal="center" vertical="center"/>
      <protection locked="0"/>
    </xf>
    <xf numFmtId="0" fontId="12" fillId="7" borderId="3" xfId="0" applyFont="1" applyFill="1" applyBorder="1" applyAlignment="1" applyProtection="1">
      <alignment vertical="center"/>
      <protection hidden="1"/>
    </xf>
    <xf numFmtId="0" fontId="13" fillId="7" borderId="10" xfId="0" applyFont="1" applyFill="1" applyBorder="1" applyAlignment="1" applyProtection="1">
      <alignment vertical="center"/>
      <protection locked="0"/>
    </xf>
    <xf numFmtId="0" fontId="13" fillId="7" borderId="11" xfId="0" applyFont="1" applyFill="1" applyBorder="1" applyAlignment="1" applyProtection="1">
      <alignment vertical="center"/>
      <protection locked="0"/>
    </xf>
    <xf numFmtId="0" fontId="13" fillId="7" borderId="4" xfId="0" applyFont="1" applyFill="1" applyBorder="1" applyAlignment="1" applyProtection="1">
      <alignment vertical="center"/>
      <protection locked="0"/>
    </xf>
    <xf numFmtId="0" fontId="13" fillId="7" borderId="3" xfId="0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31" fillId="6" borderId="0" xfId="0" applyFont="1" applyFill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vertical="center" wrapText="1"/>
      <protection hidden="1"/>
    </xf>
    <xf numFmtId="49" fontId="12" fillId="0" borderId="3" xfId="0" applyNumberFormat="1" applyFont="1" applyBorder="1" applyAlignment="1" applyProtection="1">
      <alignment horizontal="left" vertical="center"/>
      <protection hidden="1"/>
    </xf>
    <xf numFmtId="0" fontId="31" fillId="7" borderId="3" xfId="0" applyFont="1" applyFill="1" applyBorder="1" applyAlignment="1" applyProtection="1">
      <alignment horizontal="center" vertical="center"/>
      <protection locked="0"/>
    </xf>
    <xf numFmtId="49" fontId="12" fillId="0" borderId="3" xfId="0" applyNumberFormat="1" applyFont="1" applyBorder="1" applyAlignment="1" applyProtection="1">
      <alignment horizontal="left" vertical="center" wrapText="1"/>
      <protection hidden="1"/>
    </xf>
    <xf numFmtId="0" fontId="31" fillId="6" borderId="0" xfId="0" applyFont="1" applyFill="1" applyAlignment="1" applyProtection="1">
      <alignment horizontal="left" vertical="center"/>
      <protection locked="0"/>
    </xf>
    <xf numFmtId="49" fontId="12" fillId="6" borderId="3" xfId="0" applyNumberFormat="1" applyFont="1" applyFill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49" fontId="13" fillId="0" borderId="3" xfId="0" applyNumberFormat="1" applyFont="1" applyBorder="1" applyAlignment="1" applyProtection="1">
      <alignment horizontal="left" vertical="center" wrapText="1"/>
      <protection hidden="1"/>
    </xf>
    <xf numFmtId="0" fontId="31" fillId="7" borderId="3" xfId="0" applyFont="1" applyFill="1" applyBorder="1" applyAlignment="1" applyProtection="1">
      <alignment vertical="center"/>
      <protection locked="0" hidden="1"/>
    </xf>
    <xf numFmtId="0" fontId="31" fillId="7" borderId="3" xfId="0" applyFont="1" applyFill="1" applyBorder="1" applyAlignment="1" applyProtection="1">
      <alignment vertical="center"/>
      <protection hidden="1"/>
    </xf>
    <xf numFmtId="0" fontId="55" fillId="0" borderId="0" xfId="0" applyFont="1" applyAlignment="1" applyProtection="1">
      <alignment horizontal="left" vertical="center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31" fillId="0" borderId="10" xfId="0" applyFont="1" applyBorder="1" applyAlignment="1" applyProtection="1">
      <alignment horizontal="left" vertical="center"/>
      <protection hidden="1"/>
    </xf>
    <xf numFmtId="0" fontId="31" fillId="0" borderId="10" xfId="0" applyFont="1" applyBorder="1" applyAlignment="1" applyProtection="1">
      <alignment vertical="center"/>
      <protection hidden="1"/>
    </xf>
    <xf numFmtId="3" fontId="31" fillId="5" borderId="3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10" xfId="0" applyNumberFormat="1" applyFont="1" applyBorder="1" applyAlignment="1" applyProtection="1">
      <alignment horizontal="center" vertical="center"/>
      <protection hidden="1"/>
    </xf>
    <xf numFmtId="0" fontId="53" fillId="0" borderId="3" xfId="0" applyFont="1" applyBorder="1" applyAlignment="1" applyProtection="1">
      <alignment horizontal="center" vertical="center"/>
      <protection hidden="1"/>
    </xf>
    <xf numFmtId="0" fontId="53" fillId="0" borderId="3" xfId="0" applyFont="1" applyBorder="1" applyAlignment="1" applyProtection="1">
      <alignment horizontal="center" vertical="center" wrapText="1"/>
      <protection hidden="1"/>
    </xf>
    <xf numFmtId="0" fontId="52" fillId="0" borderId="0" xfId="0" applyFont="1" applyAlignment="1" applyProtection="1">
      <alignment vertical="center"/>
      <protection hidden="1"/>
    </xf>
    <xf numFmtId="0" fontId="25" fillId="0" borderId="0" xfId="0" applyFont="1" applyAlignment="1" applyProtection="1">
      <alignment horizontal="center" vertical="top" wrapText="1"/>
      <protection hidden="1"/>
    </xf>
    <xf numFmtId="0" fontId="23" fillId="0" borderId="0" xfId="0" applyFont="1" applyAlignment="1" applyProtection="1">
      <alignment vertical="center"/>
      <protection hidden="1"/>
    </xf>
    <xf numFmtId="0" fontId="25" fillId="0" borderId="19" xfId="0" applyFont="1" applyBorder="1" applyAlignment="1" applyProtection="1">
      <alignment horizontal="center" vertical="center" wrapText="1"/>
      <protection hidden="1"/>
    </xf>
    <xf numFmtId="49" fontId="25" fillId="0" borderId="13" xfId="0" applyNumberFormat="1" applyFont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vertical="center"/>
      <protection locked="0"/>
    </xf>
    <xf numFmtId="0" fontId="23" fillId="5" borderId="3" xfId="0" applyFont="1" applyFill="1" applyBorder="1" applyAlignment="1" applyProtection="1">
      <alignment horizontal="center" vertical="center" wrapText="1"/>
      <protection locked="0"/>
    </xf>
    <xf numFmtId="0" fontId="56" fillId="0" borderId="0" xfId="0" applyFont="1" applyAlignment="1" applyProtection="1">
      <alignment vertical="center"/>
      <protection hidden="1"/>
    </xf>
  </cellXfs>
  <cellStyles count="1">
    <cellStyle name="Normal" xfId="0" builtinId="0"/>
  </cellStyles>
  <dxfs count="6">
    <dxf>
      <font>
        <b/>
        <color rgb="FFFF0000"/>
      </font>
    </dxf>
    <dxf>
      <font>
        <b/>
        <color rgb="FF00B05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1371240</xdr:colOff>
      <xdr:row>25</xdr:row>
      <xdr:rowOff>0</xdr:rowOff>
    </xdr:from>
    <xdr:to>
      <xdr:col>11</xdr:col>
      <xdr:colOff>1366920</xdr:colOff>
      <xdr:row>29</xdr:row>
      <xdr:rowOff>174240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37"/>
  <sheetViews>
    <sheetView workbookViewId="0" zoomScale="100" zoomScaleNormal="100" view="pageBreakPreview">
      <selection activeCell="G1" sqref="G1"/>
    </sheetView>
  </sheetViews>
  <sheetFormatPr defaultRowHeight="12.75" outlineLevelRow="0" outlineLevelCol="0" x14ac:dyDescent="0" defaultColWidth="11" customHeight="1"/>
  <cols>
    <col min="1" max="1" width="9.7265625" style="1" customWidth="1"/>
    <col min="2" max="2" width="52.7265625" style="1" customWidth="1"/>
    <col min="3" max="3" width="2" style="1" customWidth="1"/>
    <col min="4" max="4" width="1.36328125" style="1" customWidth="1"/>
    <col min="5" max="5" width="0.54296875" style="1" customWidth="1"/>
    <col min="6" max="6" width="3.1796875" style="1" customWidth="1"/>
    <col min="7" max="7" width="1.81640625" style="1" customWidth="1"/>
    <col min="8" max="8" width="1.7265625" style="1" customWidth="1"/>
    <col min="9" max="9" width="0.36328125" style="2" customWidth="1"/>
    <col min="10" max="10" width="2.36328125" style="2" customWidth="1"/>
    <col min="11" max="11" width="31.7265625" style="2" customWidth="1"/>
    <col min="12" max="12" width="58.81640625" style="2" customWidth="1"/>
    <col min="13" max="256" width="11" style="3" customWidth="1"/>
    <col min="257" max="257" width="9.7265625" style="3" customWidth="1"/>
    <col min="258" max="258" width="52.7265625" style="3" customWidth="1"/>
    <col min="259" max="259" width="2" style="3" customWidth="1"/>
    <col min="260" max="260" width="1.36328125" style="3" customWidth="1"/>
    <col min="261" max="261" width="0.54296875" style="3" customWidth="1"/>
    <col min="262" max="262" width="3.1796875" style="3" customWidth="1"/>
    <col min="263" max="263" width="1.81640625" style="3" customWidth="1"/>
    <col min="264" max="264" width="1.7265625" style="3" customWidth="1"/>
    <col min="265" max="265" width="0.36328125" style="3" customWidth="1"/>
    <col min="266" max="266" width="2.36328125" style="3" customWidth="1"/>
    <col min="267" max="267" width="31.7265625" style="3" customWidth="1"/>
    <col min="268" max="268" width="58.81640625" style="3" customWidth="1"/>
    <col min="269" max="512" width="11" style="3" customWidth="1"/>
    <col min="513" max="513" width="9.7265625" style="3" customWidth="1"/>
    <col min="514" max="514" width="52.7265625" style="3" customWidth="1"/>
    <col min="515" max="515" width="2" style="3" customWidth="1"/>
    <col min="516" max="516" width="1.36328125" style="3" customWidth="1"/>
    <col min="517" max="517" width="0.54296875" style="3" customWidth="1"/>
    <col min="518" max="518" width="3.1796875" style="3" customWidth="1"/>
    <col min="519" max="519" width="1.81640625" style="3" customWidth="1"/>
    <col min="520" max="520" width="1.7265625" style="3" customWidth="1"/>
    <col min="521" max="521" width="0.36328125" style="3" customWidth="1"/>
    <col min="522" max="522" width="2.36328125" style="3" customWidth="1"/>
    <col min="523" max="523" width="31.7265625" style="3" customWidth="1"/>
    <col min="524" max="524" width="58.81640625" style="3" customWidth="1"/>
    <col min="525" max="768" width="11" style="3" customWidth="1"/>
    <col min="769" max="769" width="9.7265625" style="3" customWidth="1"/>
    <col min="770" max="770" width="52.7265625" style="3" customWidth="1"/>
    <col min="771" max="771" width="2" style="3" customWidth="1"/>
    <col min="772" max="772" width="1.36328125" style="3" customWidth="1"/>
    <col min="773" max="773" width="0.54296875" style="3" customWidth="1"/>
    <col min="774" max="774" width="3.1796875" style="3" customWidth="1"/>
    <col min="775" max="775" width="1.81640625" style="3" customWidth="1"/>
    <col min="776" max="776" width="1.7265625" style="3" customWidth="1"/>
    <col min="777" max="777" width="0.36328125" style="3" customWidth="1"/>
    <col min="778" max="778" width="2.36328125" style="3" customWidth="1"/>
    <col min="779" max="779" width="31.7265625" style="3" customWidth="1"/>
    <col min="780" max="780" width="58.81640625" style="3" customWidth="1"/>
    <col min="781" max="1024" width="11" style="3" customWidth="1"/>
    <col min="1025" max="1025" width="9.7265625" style="3" customWidth="1"/>
    <col min="1026" max="1026" width="52.7265625" style="3" customWidth="1"/>
    <col min="1027" max="1027" width="2" style="3" customWidth="1"/>
    <col min="1028" max="1028" width="1.36328125" style="3" customWidth="1"/>
    <col min="1029" max="1029" width="0.54296875" style="3" customWidth="1"/>
    <col min="1030" max="1030" width="3.1796875" style="3" customWidth="1"/>
    <col min="1031" max="1031" width="1.81640625" style="3" customWidth="1"/>
    <col min="1032" max="1032" width="1.7265625" style="3" customWidth="1"/>
    <col min="1033" max="1033" width="0.36328125" style="3" customWidth="1"/>
    <col min="1034" max="1034" width="2.36328125" style="3" customWidth="1"/>
    <col min="1035" max="1035" width="31.7265625" style="3" customWidth="1"/>
    <col min="1036" max="1036" width="58.81640625" style="3" customWidth="1"/>
    <col min="1037" max="1280" width="11" style="3" customWidth="1"/>
    <col min="1281" max="1281" width="9.7265625" style="3" customWidth="1"/>
    <col min="1282" max="1282" width="52.7265625" style="3" customWidth="1"/>
    <col min="1283" max="1283" width="2" style="3" customWidth="1"/>
    <col min="1284" max="1284" width="1.36328125" style="3" customWidth="1"/>
    <col min="1285" max="1285" width="0.54296875" style="3" customWidth="1"/>
    <col min="1286" max="1286" width="3.1796875" style="3" customWidth="1"/>
    <col min="1287" max="1287" width="1.81640625" style="3" customWidth="1"/>
    <col min="1288" max="1288" width="1.7265625" style="3" customWidth="1"/>
    <col min="1289" max="1289" width="0.36328125" style="3" customWidth="1"/>
    <col min="1290" max="1290" width="2.36328125" style="3" customWidth="1"/>
    <col min="1291" max="1291" width="31.7265625" style="3" customWidth="1"/>
    <col min="1292" max="1292" width="58.81640625" style="3" customWidth="1"/>
    <col min="1293" max="1536" width="11" style="3" customWidth="1"/>
    <col min="1537" max="1537" width="9.7265625" style="3" customWidth="1"/>
    <col min="1538" max="1538" width="52.7265625" style="3" customWidth="1"/>
    <col min="1539" max="1539" width="2" style="3" customWidth="1"/>
    <col min="1540" max="1540" width="1.36328125" style="3" customWidth="1"/>
    <col min="1541" max="1541" width="0.54296875" style="3" customWidth="1"/>
    <col min="1542" max="1542" width="3.1796875" style="3" customWidth="1"/>
    <col min="1543" max="1543" width="1.81640625" style="3" customWidth="1"/>
    <col min="1544" max="1544" width="1.7265625" style="3" customWidth="1"/>
    <col min="1545" max="1545" width="0.36328125" style="3" customWidth="1"/>
    <col min="1546" max="1546" width="2.36328125" style="3" customWidth="1"/>
    <col min="1547" max="1547" width="31.7265625" style="3" customWidth="1"/>
    <col min="1548" max="1548" width="58.81640625" style="3" customWidth="1"/>
    <col min="1549" max="1792" width="11" style="3" customWidth="1"/>
    <col min="1793" max="1793" width="9.7265625" style="3" customWidth="1"/>
    <col min="1794" max="1794" width="52.7265625" style="3" customWidth="1"/>
    <col min="1795" max="1795" width="2" style="3" customWidth="1"/>
    <col min="1796" max="1796" width="1.36328125" style="3" customWidth="1"/>
    <col min="1797" max="1797" width="0.54296875" style="3" customWidth="1"/>
    <col min="1798" max="1798" width="3.1796875" style="3" customWidth="1"/>
    <col min="1799" max="1799" width="1.81640625" style="3" customWidth="1"/>
    <col min="1800" max="1800" width="1.7265625" style="3" customWidth="1"/>
    <col min="1801" max="1801" width="0.36328125" style="3" customWidth="1"/>
    <col min="1802" max="1802" width="2.36328125" style="3" customWidth="1"/>
    <col min="1803" max="1803" width="31.7265625" style="3" customWidth="1"/>
    <col min="1804" max="1804" width="58.81640625" style="3" customWidth="1"/>
    <col min="1805" max="2048" width="11" style="3" customWidth="1"/>
    <col min="2049" max="2049" width="9.7265625" style="3" customWidth="1"/>
    <col min="2050" max="2050" width="52.7265625" style="3" customWidth="1"/>
    <col min="2051" max="2051" width="2" style="3" customWidth="1"/>
    <col min="2052" max="2052" width="1.36328125" style="3" customWidth="1"/>
    <col min="2053" max="2053" width="0.54296875" style="3" customWidth="1"/>
    <col min="2054" max="2054" width="3.1796875" style="3" customWidth="1"/>
    <col min="2055" max="2055" width="1.81640625" style="3" customWidth="1"/>
    <col min="2056" max="2056" width="1.7265625" style="3" customWidth="1"/>
    <col min="2057" max="2057" width="0.36328125" style="3" customWidth="1"/>
    <col min="2058" max="2058" width="2.36328125" style="3" customWidth="1"/>
    <col min="2059" max="2059" width="31.7265625" style="3" customWidth="1"/>
    <col min="2060" max="2060" width="58.81640625" style="3" customWidth="1"/>
    <col min="2061" max="2304" width="11" style="3" customWidth="1"/>
    <col min="2305" max="2305" width="9.7265625" style="3" customWidth="1"/>
    <col min="2306" max="2306" width="52.7265625" style="3" customWidth="1"/>
    <col min="2307" max="2307" width="2" style="3" customWidth="1"/>
    <col min="2308" max="2308" width="1.36328125" style="3" customWidth="1"/>
    <col min="2309" max="2309" width="0.54296875" style="3" customWidth="1"/>
    <col min="2310" max="2310" width="3.1796875" style="3" customWidth="1"/>
    <col min="2311" max="2311" width="1.81640625" style="3" customWidth="1"/>
    <col min="2312" max="2312" width="1.7265625" style="3" customWidth="1"/>
    <col min="2313" max="2313" width="0.36328125" style="3" customWidth="1"/>
    <col min="2314" max="2314" width="2.36328125" style="3" customWidth="1"/>
    <col min="2315" max="2315" width="31.7265625" style="3" customWidth="1"/>
    <col min="2316" max="2316" width="58.81640625" style="3" customWidth="1"/>
    <col min="2317" max="2560" width="11" style="3" customWidth="1"/>
    <col min="2561" max="2561" width="9.7265625" style="3" customWidth="1"/>
    <col min="2562" max="2562" width="52.7265625" style="3" customWidth="1"/>
    <col min="2563" max="2563" width="2" style="3" customWidth="1"/>
    <col min="2564" max="2564" width="1.36328125" style="3" customWidth="1"/>
    <col min="2565" max="2565" width="0.54296875" style="3" customWidth="1"/>
    <col min="2566" max="2566" width="3.1796875" style="3" customWidth="1"/>
    <col min="2567" max="2567" width="1.81640625" style="3" customWidth="1"/>
    <col min="2568" max="2568" width="1.7265625" style="3" customWidth="1"/>
    <col min="2569" max="2569" width="0.36328125" style="3" customWidth="1"/>
    <col min="2570" max="2570" width="2.36328125" style="3" customWidth="1"/>
    <col min="2571" max="2571" width="31.7265625" style="3" customWidth="1"/>
    <col min="2572" max="2572" width="58.81640625" style="3" customWidth="1"/>
    <col min="2573" max="2816" width="11" style="3" customWidth="1"/>
    <col min="2817" max="2817" width="9.7265625" style="3" customWidth="1"/>
    <col min="2818" max="2818" width="52.7265625" style="3" customWidth="1"/>
    <col min="2819" max="2819" width="2" style="3" customWidth="1"/>
    <col min="2820" max="2820" width="1.36328125" style="3" customWidth="1"/>
    <col min="2821" max="2821" width="0.54296875" style="3" customWidth="1"/>
    <col min="2822" max="2822" width="3.1796875" style="3" customWidth="1"/>
    <col min="2823" max="2823" width="1.81640625" style="3" customWidth="1"/>
    <col min="2824" max="2824" width="1.7265625" style="3" customWidth="1"/>
    <col min="2825" max="2825" width="0.36328125" style="3" customWidth="1"/>
    <col min="2826" max="2826" width="2.36328125" style="3" customWidth="1"/>
    <col min="2827" max="2827" width="31.7265625" style="3" customWidth="1"/>
    <col min="2828" max="2828" width="58.81640625" style="3" customWidth="1"/>
    <col min="2829" max="3072" width="11" style="3" customWidth="1"/>
    <col min="3073" max="3073" width="9.7265625" style="3" customWidth="1"/>
    <col min="3074" max="3074" width="52.7265625" style="3" customWidth="1"/>
    <col min="3075" max="3075" width="2" style="3" customWidth="1"/>
    <col min="3076" max="3076" width="1.36328125" style="3" customWidth="1"/>
    <col min="3077" max="3077" width="0.54296875" style="3" customWidth="1"/>
    <col min="3078" max="3078" width="3.1796875" style="3" customWidth="1"/>
    <col min="3079" max="3079" width="1.81640625" style="3" customWidth="1"/>
    <col min="3080" max="3080" width="1.7265625" style="3" customWidth="1"/>
    <col min="3081" max="3081" width="0.36328125" style="3" customWidth="1"/>
    <col min="3082" max="3082" width="2.36328125" style="3" customWidth="1"/>
    <col min="3083" max="3083" width="31.7265625" style="3" customWidth="1"/>
    <col min="3084" max="3084" width="58.81640625" style="3" customWidth="1"/>
    <col min="3085" max="3328" width="11" style="3" customWidth="1"/>
    <col min="3329" max="3329" width="9.7265625" style="3" customWidth="1"/>
    <col min="3330" max="3330" width="52.7265625" style="3" customWidth="1"/>
    <col min="3331" max="3331" width="2" style="3" customWidth="1"/>
    <col min="3332" max="3332" width="1.36328125" style="3" customWidth="1"/>
    <col min="3333" max="3333" width="0.54296875" style="3" customWidth="1"/>
    <col min="3334" max="3334" width="3.1796875" style="3" customWidth="1"/>
    <col min="3335" max="3335" width="1.81640625" style="3" customWidth="1"/>
    <col min="3336" max="3336" width="1.7265625" style="3" customWidth="1"/>
    <col min="3337" max="3337" width="0.36328125" style="3" customWidth="1"/>
    <col min="3338" max="3338" width="2.36328125" style="3" customWidth="1"/>
    <col min="3339" max="3339" width="31.7265625" style="3" customWidth="1"/>
    <col min="3340" max="3340" width="58.81640625" style="3" customWidth="1"/>
    <col min="3341" max="3584" width="11" style="3" customWidth="1"/>
    <col min="3585" max="3585" width="9.7265625" style="3" customWidth="1"/>
    <col min="3586" max="3586" width="52.7265625" style="3" customWidth="1"/>
    <col min="3587" max="3587" width="2" style="3" customWidth="1"/>
    <col min="3588" max="3588" width="1.36328125" style="3" customWidth="1"/>
    <col min="3589" max="3589" width="0.54296875" style="3" customWidth="1"/>
    <col min="3590" max="3590" width="3.1796875" style="3" customWidth="1"/>
    <col min="3591" max="3591" width="1.81640625" style="3" customWidth="1"/>
    <col min="3592" max="3592" width="1.7265625" style="3" customWidth="1"/>
    <col min="3593" max="3593" width="0.36328125" style="3" customWidth="1"/>
    <col min="3594" max="3594" width="2.36328125" style="3" customWidth="1"/>
    <col min="3595" max="3595" width="31.7265625" style="3" customWidth="1"/>
    <col min="3596" max="3596" width="58.81640625" style="3" customWidth="1"/>
    <col min="3597" max="3840" width="11" style="3" customWidth="1"/>
    <col min="3841" max="3841" width="9.7265625" style="3" customWidth="1"/>
    <col min="3842" max="3842" width="52.7265625" style="3" customWidth="1"/>
    <col min="3843" max="3843" width="2" style="3" customWidth="1"/>
    <col min="3844" max="3844" width="1.36328125" style="3" customWidth="1"/>
    <col min="3845" max="3845" width="0.54296875" style="3" customWidth="1"/>
    <col min="3846" max="3846" width="3.1796875" style="3" customWidth="1"/>
    <col min="3847" max="3847" width="1.81640625" style="3" customWidth="1"/>
    <col min="3848" max="3848" width="1.7265625" style="3" customWidth="1"/>
    <col min="3849" max="3849" width="0.36328125" style="3" customWidth="1"/>
    <col min="3850" max="3850" width="2.36328125" style="3" customWidth="1"/>
    <col min="3851" max="3851" width="31.7265625" style="3" customWidth="1"/>
    <col min="3852" max="3852" width="58.81640625" style="3" customWidth="1"/>
    <col min="3853" max="4096" width="11" style="3" customWidth="1"/>
    <col min="4097" max="4097" width="9.7265625" style="3" customWidth="1"/>
    <col min="4098" max="4098" width="52.7265625" style="3" customWidth="1"/>
    <col min="4099" max="4099" width="2" style="3" customWidth="1"/>
    <col min="4100" max="4100" width="1.36328125" style="3" customWidth="1"/>
    <col min="4101" max="4101" width="0.54296875" style="3" customWidth="1"/>
    <col min="4102" max="4102" width="3.1796875" style="3" customWidth="1"/>
    <col min="4103" max="4103" width="1.81640625" style="3" customWidth="1"/>
    <col min="4104" max="4104" width="1.7265625" style="3" customWidth="1"/>
    <col min="4105" max="4105" width="0.36328125" style="3" customWidth="1"/>
    <col min="4106" max="4106" width="2.36328125" style="3" customWidth="1"/>
    <col min="4107" max="4107" width="31.7265625" style="3" customWidth="1"/>
    <col min="4108" max="4108" width="58.81640625" style="3" customWidth="1"/>
    <col min="4109" max="4352" width="11" style="3" customWidth="1"/>
    <col min="4353" max="4353" width="9.7265625" style="3" customWidth="1"/>
    <col min="4354" max="4354" width="52.7265625" style="3" customWidth="1"/>
    <col min="4355" max="4355" width="2" style="3" customWidth="1"/>
    <col min="4356" max="4356" width="1.36328125" style="3" customWidth="1"/>
    <col min="4357" max="4357" width="0.54296875" style="3" customWidth="1"/>
    <col min="4358" max="4358" width="3.1796875" style="3" customWidth="1"/>
    <col min="4359" max="4359" width="1.81640625" style="3" customWidth="1"/>
    <col min="4360" max="4360" width="1.7265625" style="3" customWidth="1"/>
    <col min="4361" max="4361" width="0.36328125" style="3" customWidth="1"/>
    <col min="4362" max="4362" width="2.36328125" style="3" customWidth="1"/>
    <col min="4363" max="4363" width="31.7265625" style="3" customWidth="1"/>
    <col min="4364" max="4364" width="58.81640625" style="3" customWidth="1"/>
    <col min="4365" max="4608" width="11" style="3" customWidth="1"/>
    <col min="4609" max="4609" width="9.7265625" style="3" customWidth="1"/>
    <col min="4610" max="4610" width="52.7265625" style="3" customWidth="1"/>
    <col min="4611" max="4611" width="2" style="3" customWidth="1"/>
    <col min="4612" max="4612" width="1.36328125" style="3" customWidth="1"/>
    <col min="4613" max="4613" width="0.54296875" style="3" customWidth="1"/>
    <col min="4614" max="4614" width="3.1796875" style="3" customWidth="1"/>
    <col min="4615" max="4615" width="1.81640625" style="3" customWidth="1"/>
    <col min="4616" max="4616" width="1.7265625" style="3" customWidth="1"/>
    <col min="4617" max="4617" width="0.36328125" style="3" customWidth="1"/>
    <col min="4618" max="4618" width="2.36328125" style="3" customWidth="1"/>
    <col min="4619" max="4619" width="31.7265625" style="3" customWidth="1"/>
    <col min="4620" max="4620" width="58.81640625" style="3" customWidth="1"/>
    <col min="4621" max="4864" width="11" style="3" customWidth="1"/>
    <col min="4865" max="4865" width="9.7265625" style="3" customWidth="1"/>
    <col min="4866" max="4866" width="52.7265625" style="3" customWidth="1"/>
    <col min="4867" max="4867" width="2" style="3" customWidth="1"/>
    <col min="4868" max="4868" width="1.36328125" style="3" customWidth="1"/>
    <col min="4869" max="4869" width="0.54296875" style="3" customWidth="1"/>
    <col min="4870" max="4870" width="3.1796875" style="3" customWidth="1"/>
    <col min="4871" max="4871" width="1.81640625" style="3" customWidth="1"/>
    <col min="4872" max="4872" width="1.7265625" style="3" customWidth="1"/>
    <col min="4873" max="4873" width="0.36328125" style="3" customWidth="1"/>
    <col min="4874" max="4874" width="2.36328125" style="3" customWidth="1"/>
    <col min="4875" max="4875" width="31.7265625" style="3" customWidth="1"/>
    <col min="4876" max="4876" width="58.81640625" style="3" customWidth="1"/>
    <col min="4877" max="5120" width="11" style="3" customWidth="1"/>
    <col min="5121" max="5121" width="9.7265625" style="3" customWidth="1"/>
    <col min="5122" max="5122" width="52.7265625" style="3" customWidth="1"/>
    <col min="5123" max="5123" width="2" style="3" customWidth="1"/>
    <col min="5124" max="5124" width="1.36328125" style="3" customWidth="1"/>
    <col min="5125" max="5125" width="0.54296875" style="3" customWidth="1"/>
    <col min="5126" max="5126" width="3.1796875" style="3" customWidth="1"/>
    <col min="5127" max="5127" width="1.81640625" style="3" customWidth="1"/>
    <col min="5128" max="5128" width="1.7265625" style="3" customWidth="1"/>
    <col min="5129" max="5129" width="0.36328125" style="3" customWidth="1"/>
    <col min="5130" max="5130" width="2.36328125" style="3" customWidth="1"/>
    <col min="5131" max="5131" width="31.7265625" style="3" customWidth="1"/>
    <col min="5132" max="5132" width="58.81640625" style="3" customWidth="1"/>
    <col min="5133" max="5376" width="11" style="3" customWidth="1"/>
    <col min="5377" max="5377" width="9.7265625" style="3" customWidth="1"/>
    <col min="5378" max="5378" width="52.7265625" style="3" customWidth="1"/>
    <col min="5379" max="5379" width="2" style="3" customWidth="1"/>
    <col min="5380" max="5380" width="1.36328125" style="3" customWidth="1"/>
    <col min="5381" max="5381" width="0.54296875" style="3" customWidth="1"/>
    <col min="5382" max="5382" width="3.1796875" style="3" customWidth="1"/>
    <col min="5383" max="5383" width="1.81640625" style="3" customWidth="1"/>
    <col min="5384" max="5384" width="1.7265625" style="3" customWidth="1"/>
    <col min="5385" max="5385" width="0.36328125" style="3" customWidth="1"/>
    <col min="5386" max="5386" width="2.36328125" style="3" customWidth="1"/>
    <col min="5387" max="5387" width="31.7265625" style="3" customWidth="1"/>
    <col min="5388" max="5388" width="58.81640625" style="3" customWidth="1"/>
    <col min="5389" max="5632" width="11" style="3" customWidth="1"/>
    <col min="5633" max="5633" width="9.7265625" style="3" customWidth="1"/>
    <col min="5634" max="5634" width="52.7265625" style="3" customWidth="1"/>
    <col min="5635" max="5635" width="2" style="3" customWidth="1"/>
    <col min="5636" max="5636" width="1.36328125" style="3" customWidth="1"/>
    <col min="5637" max="5637" width="0.54296875" style="3" customWidth="1"/>
    <col min="5638" max="5638" width="3.1796875" style="3" customWidth="1"/>
    <col min="5639" max="5639" width="1.81640625" style="3" customWidth="1"/>
    <col min="5640" max="5640" width="1.7265625" style="3" customWidth="1"/>
    <col min="5641" max="5641" width="0.36328125" style="3" customWidth="1"/>
    <col min="5642" max="5642" width="2.36328125" style="3" customWidth="1"/>
    <col min="5643" max="5643" width="31.7265625" style="3" customWidth="1"/>
    <col min="5644" max="5644" width="58.81640625" style="3" customWidth="1"/>
    <col min="5645" max="5888" width="11" style="3" customWidth="1"/>
    <col min="5889" max="5889" width="9.7265625" style="3" customWidth="1"/>
    <col min="5890" max="5890" width="52.7265625" style="3" customWidth="1"/>
    <col min="5891" max="5891" width="2" style="3" customWidth="1"/>
    <col min="5892" max="5892" width="1.36328125" style="3" customWidth="1"/>
    <col min="5893" max="5893" width="0.54296875" style="3" customWidth="1"/>
    <col min="5894" max="5894" width="3.1796875" style="3" customWidth="1"/>
    <col min="5895" max="5895" width="1.81640625" style="3" customWidth="1"/>
    <col min="5896" max="5896" width="1.7265625" style="3" customWidth="1"/>
    <col min="5897" max="5897" width="0.36328125" style="3" customWidth="1"/>
    <col min="5898" max="5898" width="2.36328125" style="3" customWidth="1"/>
    <col min="5899" max="5899" width="31.7265625" style="3" customWidth="1"/>
    <col min="5900" max="5900" width="58.81640625" style="3" customWidth="1"/>
    <col min="5901" max="6144" width="11" style="3" customWidth="1"/>
    <col min="6145" max="6145" width="9.7265625" style="3" customWidth="1"/>
    <col min="6146" max="6146" width="52.7265625" style="3" customWidth="1"/>
    <col min="6147" max="6147" width="2" style="3" customWidth="1"/>
    <col min="6148" max="6148" width="1.36328125" style="3" customWidth="1"/>
    <col min="6149" max="6149" width="0.54296875" style="3" customWidth="1"/>
    <col min="6150" max="6150" width="3.1796875" style="3" customWidth="1"/>
    <col min="6151" max="6151" width="1.81640625" style="3" customWidth="1"/>
    <col min="6152" max="6152" width="1.7265625" style="3" customWidth="1"/>
    <col min="6153" max="6153" width="0.36328125" style="3" customWidth="1"/>
    <col min="6154" max="6154" width="2.36328125" style="3" customWidth="1"/>
    <col min="6155" max="6155" width="31.7265625" style="3" customWidth="1"/>
    <col min="6156" max="6156" width="58.81640625" style="3" customWidth="1"/>
    <col min="6157" max="6400" width="11" style="3" customWidth="1"/>
    <col min="6401" max="6401" width="9.7265625" style="3" customWidth="1"/>
    <col min="6402" max="6402" width="52.7265625" style="3" customWidth="1"/>
    <col min="6403" max="6403" width="2" style="3" customWidth="1"/>
    <col min="6404" max="6404" width="1.36328125" style="3" customWidth="1"/>
    <col min="6405" max="6405" width="0.54296875" style="3" customWidth="1"/>
    <col min="6406" max="6406" width="3.1796875" style="3" customWidth="1"/>
    <col min="6407" max="6407" width="1.81640625" style="3" customWidth="1"/>
    <col min="6408" max="6408" width="1.7265625" style="3" customWidth="1"/>
    <col min="6409" max="6409" width="0.36328125" style="3" customWidth="1"/>
    <col min="6410" max="6410" width="2.36328125" style="3" customWidth="1"/>
    <col min="6411" max="6411" width="31.7265625" style="3" customWidth="1"/>
    <col min="6412" max="6412" width="58.81640625" style="3" customWidth="1"/>
    <col min="6413" max="6656" width="11" style="3" customWidth="1"/>
    <col min="6657" max="6657" width="9.7265625" style="3" customWidth="1"/>
    <col min="6658" max="6658" width="52.7265625" style="3" customWidth="1"/>
    <col min="6659" max="6659" width="2" style="3" customWidth="1"/>
    <col min="6660" max="6660" width="1.36328125" style="3" customWidth="1"/>
    <col min="6661" max="6661" width="0.54296875" style="3" customWidth="1"/>
    <col min="6662" max="6662" width="3.1796875" style="3" customWidth="1"/>
    <col min="6663" max="6663" width="1.81640625" style="3" customWidth="1"/>
    <col min="6664" max="6664" width="1.7265625" style="3" customWidth="1"/>
    <col min="6665" max="6665" width="0.36328125" style="3" customWidth="1"/>
    <col min="6666" max="6666" width="2.36328125" style="3" customWidth="1"/>
    <col min="6667" max="6667" width="31.7265625" style="3" customWidth="1"/>
    <col min="6668" max="6668" width="58.81640625" style="3" customWidth="1"/>
    <col min="6669" max="6912" width="11" style="3" customWidth="1"/>
    <col min="6913" max="6913" width="9.7265625" style="3" customWidth="1"/>
    <col min="6914" max="6914" width="52.7265625" style="3" customWidth="1"/>
    <col min="6915" max="6915" width="2" style="3" customWidth="1"/>
    <col min="6916" max="6916" width="1.36328125" style="3" customWidth="1"/>
    <col min="6917" max="6917" width="0.54296875" style="3" customWidth="1"/>
    <col min="6918" max="6918" width="3.1796875" style="3" customWidth="1"/>
    <col min="6919" max="6919" width="1.81640625" style="3" customWidth="1"/>
    <col min="6920" max="6920" width="1.7265625" style="3" customWidth="1"/>
    <col min="6921" max="6921" width="0.36328125" style="3" customWidth="1"/>
    <col min="6922" max="6922" width="2.36328125" style="3" customWidth="1"/>
    <col min="6923" max="6923" width="31.7265625" style="3" customWidth="1"/>
    <col min="6924" max="6924" width="58.81640625" style="3" customWidth="1"/>
    <col min="6925" max="7168" width="11" style="3" customWidth="1"/>
    <col min="7169" max="7169" width="9.7265625" style="3" customWidth="1"/>
    <col min="7170" max="7170" width="52.7265625" style="3" customWidth="1"/>
    <col min="7171" max="7171" width="2" style="3" customWidth="1"/>
    <col min="7172" max="7172" width="1.36328125" style="3" customWidth="1"/>
    <col min="7173" max="7173" width="0.54296875" style="3" customWidth="1"/>
    <col min="7174" max="7174" width="3.1796875" style="3" customWidth="1"/>
    <col min="7175" max="7175" width="1.81640625" style="3" customWidth="1"/>
    <col min="7176" max="7176" width="1.7265625" style="3" customWidth="1"/>
    <col min="7177" max="7177" width="0.36328125" style="3" customWidth="1"/>
    <col min="7178" max="7178" width="2.36328125" style="3" customWidth="1"/>
    <col min="7179" max="7179" width="31.7265625" style="3" customWidth="1"/>
    <col min="7180" max="7180" width="58.81640625" style="3" customWidth="1"/>
    <col min="7181" max="7424" width="11" style="3" customWidth="1"/>
    <col min="7425" max="7425" width="9.7265625" style="3" customWidth="1"/>
    <col min="7426" max="7426" width="52.7265625" style="3" customWidth="1"/>
    <col min="7427" max="7427" width="2" style="3" customWidth="1"/>
    <col min="7428" max="7428" width="1.36328125" style="3" customWidth="1"/>
    <col min="7429" max="7429" width="0.54296875" style="3" customWidth="1"/>
    <col min="7430" max="7430" width="3.1796875" style="3" customWidth="1"/>
    <col min="7431" max="7431" width="1.81640625" style="3" customWidth="1"/>
    <col min="7432" max="7432" width="1.7265625" style="3" customWidth="1"/>
    <col min="7433" max="7433" width="0.36328125" style="3" customWidth="1"/>
    <col min="7434" max="7434" width="2.36328125" style="3" customWidth="1"/>
    <col min="7435" max="7435" width="31.7265625" style="3" customWidth="1"/>
    <col min="7436" max="7436" width="58.81640625" style="3" customWidth="1"/>
    <col min="7437" max="7680" width="11" style="3" customWidth="1"/>
    <col min="7681" max="7681" width="9.7265625" style="3" customWidth="1"/>
    <col min="7682" max="7682" width="52.7265625" style="3" customWidth="1"/>
    <col min="7683" max="7683" width="2" style="3" customWidth="1"/>
    <col min="7684" max="7684" width="1.36328125" style="3" customWidth="1"/>
    <col min="7685" max="7685" width="0.54296875" style="3" customWidth="1"/>
    <col min="7686" max="7686" width="3.1796875" style="3" customWidth="1"/>
    <col min="7687" max="7687" width="1.81640625" style="3" customWidth="1"/>
    <col min="7688" max="7688" width="1.7265625" style="3" customWidth="1"/>
    <col min="7689" max="7689" width="0.36328125" style="3" customWidth="1"/>
    <col min="7690" max="7690" width="2.36328125" style="3" customWidth="1"/>
    <col min="7691" max="7691" width="31.7265625" style="3" customWidth="1"/>
    <col min="7692" max="7692" width="58.81640625" style="3" customWidth="1"/>
    <col min="7693" max="7936" width="11" style="3" customWidth="1"/>
    <col min="7937" max="7937" width="9.7265625" style="3" customWidth="1"/>
    <col min="7938" max="7938" width="52.7265625" style="3" customWidth="1"/>
    <col min="7939" max="7939" width="2" style="3" customWidth="1"/>
    <col min="7940" max="7940" width="1.36328125" style="3" customWidth="1"/>
    <col min="7941" max="7941" width="0.54296875" style="3" customWidth="1"/>
    <col min="7942" max="7942" width="3.1796875" style="3" customWidth="1"/>
    <col min="7943" max="7943" width="1.81640625" style="3" customWidth="1"/>
    <col min="7944" max="7944" width="1.7265625" style="3" customWidth="1"/>
    <col min="7945" max="7945" width="0.36328125" style="3" customWidth="1"/>
    <col min="7946" max="7946" width="2.36328125" style="3" customWidth="1"/>
    <col min="7947" max="7947" width="31.7265625" style="3" customWidth="1"/>
    <col min="7948" max="7948" width="58.81640625" style="3" customWidth="1"/>
    <col min="7949" max="8192" width="11" style="3" customWidth="1"/>
    <col min="8193" max="8193" width="9.7265625" style="3" customWidth="1"/>
    <col min="8194" max="8194" width="52.7265625" style="3" customWidth="1"/>
    <col min="8195" max="8195" width="2" style="3" customWidth="1"/>
    <col min="8196" max="8196" width="1.36328125" style="3" customWidth="1"/>
    <col min="8197" max="8197" width="0.54296875" style="3" customWidth="1"/>
    <col min="8198" max="8198" width="3.1796875" style="3" customWidth="1"/>
    <col min="8199" max="8199" width="1.81640625" style="3" customWidth="1"/>
    <col min="8200" max="8200" width="1.7265625" style="3" customWidth="1"/>
    <col min="8201" max="8201" width="0.36328125" style="3" customWidth="1"/>
    <col min="8202" max="8202" width="2.36328125" style="3" customWidth="1"/>
    <col min="8203" max="8203" width="31.7265625" style="3" customWidth="1"/>
    <col min="8204" max="8204" width="58.81640625" style="3" customWidth="1"/>
    <col min="8205" max="8448" width="11" style="3" customWidth="1"/>
    <col min="8449" max="8449" width="9.7265625" style="3" customWidth="1"/>
    <col min="8450" max="8450" width="52.7265625" style="3" customWidth="1"/>
    <col min="8451" max="8451" width="2" style="3" customWidth="1"/>
    <col min="8452" max="8452" width="1.36328125" style="3" customWidth="1"/>
    <col min="8453" max="8453" width="0.54296875" style="3" customWidth="1"/>
    <col min="8454" max="8454" width="3.1796875" style="3" customWidth="1"/>
    <col min="8455" max="8455" width="1.81640625" style="3" customWidth="1"/>
    <col min="8456" max="8456" width="1.7265625" style="3" customWidth="1"/>
    <col min="8457" max="8457" width="0.36328125" style="3" customWidth="1"/>
    <col min="8458" max="8458" width="2.36328125" style="3" customWidth="1"/>
    <col min="8459" max="8459" width="31.7265625" style="3" customWidth="1"/>
    <col min="8460" max="8460" width="58.81640625" style="3" customWidth="1"/>
    <col min="8461" max="8704" width="11" style="3" customWidth="1"/>
    <col min="8705" max="8705" width="9.7265625" style="3" customWidth="1"/>
    <col min="8706" max="8706" width="52.7265625" style="3" customWidth="1"/>
    <col min="8707" max="8707" width="2" style="3" customWidth="1"/>
    <col min="8708" max="8708" width="1.36328125" style="3" customWidth="1"/>
    <col min="8709" max="8709" width="0.54296875" style="3" customWidth="1"/>
    <col min="8710" max="8710" width="3.1796875" style="3" customWidth="1"/>
    <col min="8711" max="8711" width="1.81640625" style="3" customWidth="1"/>
    <col min="8712" max="8712" width="1.7265625" style="3" customWidth="1"/>
    <col min="8713" max="8713" width="0.36328125" style="3" customWidth="1"/>
    <col min="8714" max="8714" width="2.36328125" style="3" customWidth="1"/>
    <col min="8715" max="8715" width="31.7265625" style="3" customWidth="1"/>
    <col min="8716" max="8716" width="58.81640625" style="3" customWidth="1"/>
    <col min="8717" max="8960" width="11" style="3" customWidth="1"/>
    <col min="8961" max="8961" width="9.7265625" style="3" customWidth="1"/>
    <col min="8962" max="8962" width="52.7265625" style="3" customWidth="1"/>
    <col min="8963" max="8963" width="2" style="3" customWidth="1"/>
    <col min="8964" max="8964" width="1.36328125" style="3" customWidth="1"/>
    <col min="8965" max="8965" width="0.54296875" style="3" customWidth="1"/>
    <col min="8966" max="8966" width="3.1796875" style="3" customWidth="1"/>
    <col min="8967" max="8967" width="1.81640625" style="3" customWidth="1"/>
    <col min="8968" max="8968" width="1.7265625" style="3" customWidth="1"/>
    <col min="8969" max="8969" width="0.36328125" style="3" customWidth="1"/>
    <col min="8970" max="8970" width="2.36328125" style="3" customWidth="1"/>
    <col min="8971" max="8971" width="31.7265625" style="3" customWidth="1"/>
    <col min="8972" max="8972" width="58.81640625" style="3" customWidth="1"/>
    <col min="8973" max="9216" width="11" style="3" customWidth="1"/>
    <col min="9217" max="9217" width="9.7265625" style="3" customWidth="1"/>
    <col min="9218" max="9218" width="52.7265625" style="3" customWidth="1"/>
    <col min="9219" max="9219" width="2" style="3" customWidth="1"/>
    <col min="9220" max="9220" width="1.36328125" style="3" customWidth="1"/>
    <col min="9221" max="9221" width="0.54296875" style="3" customWidth="1"/>
    <col min="9222" max="9222" width="3.1796875" style="3" customWidth="1"/>
    <col min="9223" max="9223" width="1.81640625" style="3" customWidth="1"/>
    <col min="9224" max="9224" width="1.7265625" style="3" customWidth="1"/>
    <col min="9225" max="9225" width="0.36328125" style="3" customWidth="1"/>
    <col min="9226" max="9226" width="2.36328125" style="3" customWidth="1"/>
    <col min="9227" max="9227" width="31.7265625" style="3" customWidth="1"/>
    <col min="9228" max="9228" width="58.81640625" style="3" customWidth="1"/>
    <col min="9229" max="9472" width="11" style="3" customWidth="1"/>
    <col min="9473" max="9473" width="9.7265625" style="3" customWidth="1"/>
    <col min="9474" max="9474" width="52.7265625" style="3" customWidth="1"/>
    <col min="9475" max="9475" width="2" style="3" customWidth="1"/>
    <col min="9476" max="9476" width="1.36328125" style="3" customWidth="1"/>
    <col min="9477" max="9477" width="0.54296875" style="3" customWidth="1"/>
    <col min="9478" max="9478" width="3.1796875" style="3" customWidth="1"/>
    <col min="9479" max="9479" width="1.81640625" style="3" customWidth="1"/>
    <col min="9480" max="9480" width="1.7265625" style="3" customWidth="1"/>
    <col min="9481" max="9481" width="0.36328125" style="3" customWidth="1"/>
    <col min="9482" max="9482" width="2.36328125" style="3" customWidth="1"/>
    <col min="9483" max="9483" width="31.7265625" style="3" customWidth="1"/>
    <col min="9484" max="9484" width="58.81640625" style="3" customWidth="1"/>
    <col min="9485" max="9728" width="11" style="3" customWidth="1"/>
    <col min="9729" max="9729" width="9.7265625" style="3" customWidth="1"/>
    <col min="9730" max="9730" width="52.7265625" style="3" customWidth="1"/>
    <col min="9731" max="9731" width="2" style="3" customWidth="1"/>
    <col min="9732" max="9732" width="1.36328125" style="3" customWidth="1"/>
    <col min="9733" max="9733" width="0.54296875" style="3" customWidth="1"/>
    <col min="9734" max="9734" width="3.1796875" style="3" customWidth="1"/>
    <col min="9735" max="9735" width="1.81640625" style="3" customWidth="1"/>
    <col min="9736" max="9736" width="1.7265625" style="3" customWidth="1"/>
    <col min="9737" max="9737" width="0.36328125" style="3" customWidth="1"/>
    <col min="9738" max="9738" width="2.36328125" style="3" customWidth="1"/>
    <col min="9739" max="9739" width="31.7265625" style="3" customWidth="1"/>
    <col min="9740" max="9740" width="58.81640625" style="3" customWidth="1"/>
    <col min="9741" max="9984" width="11" style="3" customWidth="1"/>
    <col min="9985" max="9985" width="9.7265625" style="3" customWidth="1"/>
    <col min="9986" max="9986" width="52.7265625" style="3" customWidth="1"/>
    <col min="9987" max="9987" width="2" style="3" customWidth="1"/>
    <col min="9988" max="9988" width="1.36328125" style="3" customWidth="1"/>
    <col min="9989" max="9989" width="0.54296875" style="3" customWidth="1"/>
    <col min="9990" max="9990" width="3.1796875" style="3" customWidth="1"/>
    <col min="9991" max="9991" width="1.81640625" style="3" customWidth="1"/>
    <col min="9992" max="9992" width="1.7265625" style="3" customWidth="1"/>
    <col min="9993" max="9993" width="0.36328125" style="3" customWidth="1"/>
    <col min="9994" max="9994" width="2.36328125" style="3" customWidth="1"/>
    <col min="9995" max="9995" width="31.7265625" style="3" customWidth="1"/>
    <col min="9996" max="9996" width="58.81640625" style="3" customWidth="1"/>
    <col min="9997" max="10240" width="11" style="3" customWidth="1"/>
    <col min="10241" max="10241" width="9.7265625" style="3" customWidth="1"/>
    <col min="10242" max="10242" width="52.7265625" style="3" customWidth="1"/>
    <col min="10243" max="10243" width="2" style="3" customWidth="1"/>
    <col min="10244" max="10244" width="1.36328125" style="3" customWidth="1"/>
    <col min="10245" max="10245" width="0.54296875" style="3" customWidth="1"/>
    <col min="10246" max="10246" width="3.1796875" style="3" customWidth="1"/>
    <col min="10247" max="10247" width="1.81640625" style="3" customWidth="1"/>
    <col min="10248" max="10248" width="1.7265625" style="3" customWidth="1"/>
    <col min="10249" max="10249" width="0.36328125" style="3" customWidth="1"/>
    <col min="10250" max="10250" width="2.36328125" style="3" customWidth="1"/>
    <col min="10251" max="10251" width="31.7265625" style="3" customWidth="1"/>
    <col min="10252" max="10252" width="58.81640625" style="3" customWidth="1"/>
    <col min="10253" max="10496" width="11" style="3" customWidth="1"/>
    <col min="10497" max="10497" width="9.7265625" style="3" customWidth="1"/>
    <col min="10498" max="10498" width="52.7265625" style="3" customWidth="1"/>
    <col min="10499" max="10499" width="2" style="3" customWidth="1"/>
    <col min="10500" max="10500" width="1.36328125" style="3" customWidth="1"/>
    <col min="10501" max="10501" width="0.54296875" style="3" customWidth="1"/>
    <col min="10502" max="10502" width="3.1796875" style="3" customWidth="1"/>
    <col min="10503" max="10503" width="1.81640625" style="3" customWidth="1"/>
    <col min="10504" max="10504" width="1.7265625" style="3" customWidth="1"/>
    <col min="10505" max="10505" width="0.36328125" style="3" customWidth="1"/>
    <col min="10506" max="10506" width="2.36328125" style="3" customWidth="1"/>
    <col min="10507" max="10507" width="31.7265625" style="3" customWidth="1"/>
    <col min="10508" max="10508" width="58.81640625" style="3" customWidth="1"/>
    <col min="10509" max="10752" width="11" style="3" customWidth="1"/>
    <col min="10753" max="10753" width="9.7265625" style="3" customWidth="1"/>
    <col min="10754" max="10754" width="52.7265625" style="3" customWidth="1"/>
    <col min="10755" max="10755" width="2" style="3" customWidth="1"/>
    <col min="10756" max="10756" width="1.36328125" style="3" customWidth="1"/>
    <col min="10757" max="10757" width="0.54296875" style="3" customWidth="1"/>
    <col min="10758" max="10758" width="3.1796875" style="3" customWidth="1"/>
    <col min="10759" max="10759" width="1.81640625" style="3" customWidth="1"/>
    <col min="10760" max="10760" width="1.7265625" style="3" customWidth="1"/>
    <col min="10761" max="10761" width="0.36328125" style="3" customWidth="1"/>
    <col min="10762" max="10762" width="2.36328125" style="3" customWidth="1"/>
    <col min="10763" max="10763" width="31.7265625" style="3" customWidth="1"/>
    <col min="10764" max="10764" width="58.81640625" style="3" customWidth="1"/>
    <col min="10765" max="11008" width="11" style="3" customWidth="1"/>
    <col min="11009" max="11009" width="9.7265625" style="3" customWidth="1"/>
    <col min="11010" max="11010" width="52.7265625" style="3" customWidth="1"/>
    <col min="11011" max="11011" width="2" style="3" customWidth="1"/>
    <col min="11012" max="11012" width="1.36328125" style="3" customWidth="1"/>
    <col min="11013" max="11013" width="0.54296875" style="3" customWidth="1"/>
    <col min="11014" max="11014" width="3.1796875" style="3" customWidth="1"/>
    <col min="11015" max="11015" width="1.81640625" style="3" customWidth="1"/>
    <col min="11016" max="11016" width="1.7265625" style="3" customWidth="1"/>
    <col min="11017" max="11017" width="0.36328125" style="3" customWidth="1"/>
    <col min="11018" max="11018" width="2.36328125" style="3" customWidth="1"/>
    <col min="11019" max="11019" width="31.7265625" style="3" customWidth="1"/>
    <col min="11020" max="11020" width="58.81640625" style="3" customWidth="1"/>
    <col min="11021" max="11264" width="11" style="3" customWidth="1"/>
    <col min="11265" max="11265" width="9.7265625" style="3" customWidth="1"/>
    <col min="11266" max="11266" width="52.7265625" style="3" customWidth="1"/>
    <col min="11267" max="11267" width="2" style="3" customWidth="1"/>
    <col min="11268" max="11268" width="1.36328125" style="3" customWidth="1"/>
    <col min="11269" max="11269" width="0.54296875" style="3" customWidth="1"/>
    <col min="11270" max="11270" width="3.1796875" style="3" customWidth="1"/>
    <col min="11271" max="11271" width="1.81640625" style="3" customWidth="1"/>
    <col min="11272" max="11272" width="1.7265625" style="3" customWidth="1"/>
    <col min="11273" max="11273" width="0.36328125" style="3" customWidth="1"/>
    <col min="11274" max="11274" width="2.36328125" style="3" customWidth="1"/>
    <col min="11275" max="11275" width="31.7265625" style="3" customWidth="1"/>
    <col min="11276" max="11276" width="58.81640625" style="3" customWidth="1"/>
    <col min="11277" max="11520" width="11" style="3" customWidth="1"/>
    <col min="11521" max="11521" width="9.7265625" style="3" customWidth="1"/>
    <col min="11522" max="11522" width="52.7265625" style="3" customWidth="1"/>
    <col min="11523" max="11523" width="2" style="3" customWidth="1"/>
    <col min="11524" max="11524" width="1.36328125" style="3" customWidth="1"/>
    <col min="11525" max="11525" width="0.54296875" style="3" customWidth="1"/>
    <col min="11526" max="11526" width="3.1796875" style="3" customWidth="1"/>
    <col min="11527" max="11527" width="1.81640625" style="3" customWidth="1"/>
    <col min="11528" max="11528" width="1.7265625" style="3" customWidth="1"/>
    <col min="11529" max="11529" width="0.36328125" style="3" customWidth="1"/>
    <col min="11530" max="11530" width="2.36328125" style="3" customWidth="1"/>
    <col min="11531" max="11531" width="31.7265625" style="3" customWidth="1"/>
    <col min="11532" max="11532" width="58.81640625" style="3" customWidth="1"/>
    <col min="11533" max="11776" width="11" style="3" customWidth="1"/>
    <col min="11777" max="11777" width="9.7265625" style="3" customWidth="1"/>
    <col min="11778" max="11778" width="52.7265625" style="3" customWidth="1"/>
    <col min="11779" max="11779" width="2" style="3" customWidth="1"/>
    <col min="11780" max="11780" width="1.36328125" style="3" customWidth="1"/>
    <col min="11781" max="11781" width="0.54296875" style="3" customWidth="1"/>
    <col min="11782" max="11782" width="3.1796875" style="3" customWidth="1"/>
    <col min="11783" max="11783" width="1.81640625" style="3" customWidth="1"/>
    <col min="11784" max="11784" width="1.7265625" style="3" customWidth="1"/>
    <col min="11785" max="11785" width="0.36328125" style="3" customWidth="1"/>
    <col min="11786" max="11786" width="2.36328125" style="3" customWidth="1"/>
    <col min="11787" max="11787" width="31.7265625" style="3" customWidth="1"/>
    <col min="11788" max="11788" width="58.81640625" style="3" customWidth="1"/>
    <col min="11789" max="12032" width="11" style="3" customWidth="1"/>
    <col min="12033" max="12033" width="9.7265625" style="3" customWidth="1"/>
    <col min="12034" max="12034" width="52.7265625" style="3" customWidth="1"/>
    <col min="12035" max="12035" width="2" style="3" customWidth="1"/>
    <col min="12036" max="12036" width="1.36328125" style="3" customWidth="1"/>
    <col min="12037" max="12037" width="0.54296875" style="3" customWidth="1"/>
    <col min="12038" max="12038" width="3.1796875" style="3" customWidth="1"/>
    <col min="12039" max="12039" width="1.81640625" style="3" customWidth="1"/>
    <col min="12040" max="12040" width="1.7265625" style="3" customWidth="1"/>
    <col min="12041" max="12041" width="0.36328125" style="3" customWidth="1"/>
    <col min="12042" max="12042" width="2.36328125" style="3" customWidth="1"/>
    <col min="12043" max="12043" width="31.7265625" style="3" customWidth="1"/>
    <col min="12044" max="12044" width="58.81640625" style="3" customWidth="1"/>
    <col min="12045" max="12288" width="11" style="3" customWidth="1"/>
    <col min="12289" max="12289" width="9.7265625" style="3" customWidth="1"/>
    <col min="12290" max="12290" width="52.7265625" style="3" customWidth="1"/>
    <col min="12291" max="12291" width="2" style="3" customWidth="1"/>
    <col min="12292" max="12292" width="1.36328125" style="3" customWidth="1"/>
    <col min="12293" max="12293" width="0.54296875" style="3" customWidth="1"/>
    <col min="12294" max="12294" width="3.1796875" style="3" customWidth="1"/>
    <col min="12295" max="12295" width="1.81640625" style="3" customWidth="1"/>
    <col min="12296" max="12296" width="1.7265625" style="3" customWidth="1"/>
    <col min="12297" max="12297" width="0.36328125" style="3" customWidth="1"/>
    <col min="12298" max="12298" width="2.36328125" style="3" customWidth="1"/>
    <col min="12299" max="12299" width="31.7265625" style="3" customWidth="1"/>
    <col min="12300" max="12300" width="58.81640625" style="3" customWidth="1"/>
    <col min="12301" max="12544" width="11" style="3" customWidth="1"/>
    <col min="12545" max="12545" width="9.7265625" style="3" customWidth="1"/>
    <col min="12546" max="12546" width="52.7265625" style="3" customWidth="1"/>
    <col min="12547" max="12547" width="2" style="3" customWidth="1"/>
    <col min="12548" max="12548" width="1.36328125" style="3" customWidth="1"/>
    <col min="12549" max="12549" width="0.54296875" style="3" customWidth="1"/>
    <col min="12550" max="12550" width="3.1796875" style="3" customWidth="1"/>
    <col min="12551" max="12551" width="1.81640625" style="3" customWidth="1"/>
    <col min="12552" max="12552" width="1.7265625" style="3" customWidth="1"/>
    <col min="12553" max="12553" width="0.36328125" style="3" customWidth="1"/>
    <col min="12554" max="12554" width="2.36328125" style="3" customWidth="1"/>
    <col min="12555" max="12555" width="31.7265625" style="3" customWidth="1"/>
    <col min="12556" max="12556" width="58.81640625" style="3" customWidth="1"/>
    <col min="12557" max="12800" width="11" style="3" customWidth="1"/>
    <col min="12801" max="12801" width="9.7265625" style="3" customWidth="1"/>
    <col min="12802" max="12802" width="52.7265625" style="3" customWidth="1"/>
    <col min="12803" max="12803" width="2" style="3" customWidth="1"/>
    <col min="12804" max="12804" width="1.36328125" style="3" customWidth="1"/>
    <col min="12805" max="12805" width="0.54296875" style="3" customWidth="1"/>
    <col min="12806" max="12806" width="3.1796875" style="3" customWidth="1"/>
    <col min="12807" max="12807" width="1.81640625" style="3" customWidth="1"/>
    <col min="12808" max="12808" width="1.7265625" style="3" customWidth="1"/>
    <col min="12809" max="12809" width="0.36328125" style="3" customWidth="1"/>
    <col min="12810" max="12810" width="2.36328125" style="3" customWidth="1"/>
    <col min="12811" max="12811" width="31.7265625" style="3" customWidth="1"/>
    <col min="12812" max="12812" width="58.81640625" style="3" customWidth="1"/>
    <col min="12813" max="13056" width="11" style="3" customWidth="1"/>
    <col min="13057" max="13057" width="9.7265625" style="3" customWidth="1"/>
    <col min="13058" max="13058" width="52.7265625" style="3" customWidth="1"/>
    <col min="13059" max="13059" width="2" style="3" customWidth="1"/>
    <col min="13060" max="13060" width="1.36328125" style="3" customWidth="1"/>
    <col min="13061" max="13061" width="0.54296875" style="3" customWidth="1"/>
    <col min="13062" max="13062" width="3.1796875" style="3" customWidth="1"/>
    <col min="13063" max="13063" width="1.81640625" style="3" customWidth="1"/>
    <col min="13064" max="13064" width="1.7265625" style="3" customWidth="1"/>
    <col min="13065" max="13065" width="0.36328125" style="3" customWidth="1"/>
    <col min="13066" max="13066" width="2.36328125" style="3" customWidth="1"/>
    <col min="13067" max="13067" width="31.7265625" style="3" customWidth="1"/>
    <col min="13068" max="13068" width="58.81640625" style="3" customWidth="1"/>
    <col min="13069" max="13312" width="11" style="3" customWidth="1"/>
    <col min="13313" max="13313" width="9.7265625" style="3" customWidth="1"/>
    <col min="13314" max="13314" width="52.7265625" style="3" customWidth="1"/>
    <col min="13315" max="13315" width="2" style="3" customWidth="1"/>
    <col min="13316" max="13316" width="1.36328125" style="3" customWidth="1"/>
    <col min="13317" max="13317" width="0.54296875" style="3" customWidth="1"/>
    <col min="13318" max="13318" width="3.1796875" style="3" customWidth="1"/>
    <col min="13319" max="13319" width="1.81640625" style="3" customWidth="1"/>
    <col min="13320" max="13320" width="1.7265625" style="3" customWidth="1"/>
    <col min="13321" max="13321" width="0.36328125" style="3" customWidth="1"/>
    <col min="13322" max="13322" width="2.36328125" style="3" customWidth="1"/>
    <col min="13323" max="13323" width="31.7265625" style="3" customWidth="1"/>
    <col min="13324" max="13324" width="58.81640625" style="3" customWidth="1"/>
    <col min="13325" max="13568" width="11" style="3" customWidth="1"/>
    <col min="13569" max="13569" width="9.7265625" style="3" customWidth="1"/>
    <col min="13570" max="13570" width="52.7265625" style="3" customWidth="1"/>
    <col min="13571" max="13571" width="2" style="3" customWidth="1"/>
    <col min="13572" max="13572" width="1.36328125" style="3" customWidth="1"/>
    <col min="13573" max="13573" width="0.54296875" style="3" customWidth="1"/>
    <col min="13574" max="13574" width="3.1796875" style="3" customWidth="1"/>
    <col min="13575" max="13575" width="1.81640625" style="3" customWidth="1"/>
    <col min="13576" max="13576" width="1.7265625" style="3" customWidth="1"/>
    <col min="13577" max="13577" width="0.36328125" style="3" customWidth="1"/>
    <col min="13578" max="13578" width="2.36328125" style="3" customWidth="1"/>
    <col min="13579" max="13579" width="31.7265625" style="3" customWidth="1"/>
    <col min="13580" max="13580" width="58.81640625" style="3" customWidth="1"/>
    <col min="13581" max="13824" width="11" style="3" customWidth="1"/>
    <col min="13825" max="13825" width="9.7265625" style="3" customWidth="1"/>
    <col min="13826" max="13826" width="52.7265625" style="3" customWidth="1"/>
    <col min="13827" max="13827" width="2" style="3" customWidth="1"/>
    <col min="13828" max="13828" width="1.36328125" style="3" customWidth="1"/>
    <col min="13829" max="13829" width="0.54296875" style="3" customWidth="1"/>
    <col min="13830" max="13830" width="3.1796875" style="3" customWidth="1"/>
    <col min="13831" max="13831" width="1.81640625" style="3" customWidth="1"/>
    <col min="13832" max="13832" width="1.7265625" style="3" customWidth="1"/>
    <col min="13833" max="13833" width="0.36328125" style="3" customWidth="1"/>
    <col min="13834" max="13834" width="2.36328125" style="3" customWidth="1"/>
    <col min="13835" max="13835" width="31.7265625" style="3" customWidth="1"/>
    <col min="13836" max="13836" width="58.81640625" style="3" customWidth="1"/>
    <col min="13837" max="14080" width="11" style="3" customWidth="1"/>
    <col min="14081" max="14081" width="9.7265625" style="3" customWidth="1"/>
    <col min="14082" max="14082" width="52.7265625" style="3" customWidth="1"/>
    <col min="14083" max="14083" width="2" style="3" customWidth="1"/>
    <col min="14084" max="14084" width="1.36328125" style="3" customWidth="1"/>
    <col min="14085" max="14085" width="0.54296875" style="3" customWidth="1"/>
    <col min="14086" max="14086" width="3.1796875" style="3" customWidth="1"/>
    <col min="14087" max="14087" width="1.81640625" style="3" customWidth="1"/>
    <col min="14088" max="14088" width="1.7265625" style="3" customWidth="1"/>
    <col min="14089" max="14089" width="0.36328125" style="3" customWidth="1"/>
    <col min="14090" max="14090" width="2.36328125" style="3" customWidth="1"/>
    <col min="14091" max="14091" width="31.7265625" style="3" customWidth="1"/>
    <col min="14092" max="14092" width="58.81640625" style="3" customWidth="1"/>
    <col min="14093" max="14336" width="11" style="3" customWidth="1"/>
    <col min="14337" max="14337" width="9.7265625" style="3" customWidth="1"/>
    <col min="14338" max="14338" width="52.7265625" style="3" customWidth="1"/>
    <col min="14339" max="14339" width="2" style="3" customWidth="1"/>
    <col min="14340" max="14340" width="1.36328125" style="3" customWidth="1"/>
    <col min="14341" max="14341" width="0.54296875" style="3" customWidth="1"/>
    <col min="14342" max="14342" width="3.1796875" style="3" customWidth="1"/>
    <col min="14343" max="14343" width="1.81640625" style="3" customWidth="1"/>
    <col min="14344" max="14344" width="1.7265625" style="3" customWidth="1"/>
    <col min="14345" max="14345" width="0.36328125" style="3" customWidth="1"/>
    <col min="14346" max="14346" width="2.36328125" style="3" customWidth="1"/>
    <col min="14347" max="14347" width="31.7265625" style="3" customWidth="1"/>
    <col min="14348" max="14348" width="58.81640625" style="3" customWidth="1"/>
    <col min="14349" max="14592" width="11" style="3" customWidth="1"/>
    <col min="14593" max="14593" width="9.7265625" style="3" customWidth="1"/>
    <col min="14594" max="14594" width="52.7265625" style="3" customWidth="1"/>
    <col min="14595" max="14595" width="2" style="3" customWidth="1"/>
    <col min="14596" max="14596" width="1.36328125" style="3" customWidth="1"/>
    <col min="14597" max="14597" width="0.54296875" style="3" customWidth="1"/>
    <col min="14598" max="14598" width="3.1796875" style="3" customWidth="1"/>
    <col min="14599" max="14599" width="1.81640625" style="3" customWidth="1"/>
    <col min="14600" max="14600" width="1.7265625" style="3" customWidth="1"/>
    <col min="14601" max="14601" width="0.36328125" style="3" customWidth="1"/>
    <col min="14602" max="14602" width="2.36328125" style="3" customWidth="1"/>
    <col min="14603" max="14603" width="31.7265625" style="3" customWidth="1"/>
    <col min="14604" max="14604" width="58.81640625" style="3" customWidth="1"/>
    <col min="14605" max="14848" width="11" style="3" customWidth="1"/>
    <col min="14849" max="14849" width="9.7265625" style="3" customWidth="1"/>
    <col min="14850" max="14850" width="52.7265625" style="3" customWidth="1"/>
    <col min="14851" max="14851" width="2" style="3" customWidth="1"/>
    <col min="14852" max="14852" width="1.36328125" style="3" customWidth="1"/>
    <col min="14853" max="14853" width="0.54296875" style="3" customWidth="1"/>
    <col min="14854" max="14854" width="3.1796875" style="3" customWidth="1"/>
    <col min="14855" max="14855" width="1.81640625" style="3" customWidth="1"/>
    <col min="14856" max="14856" width="1.7265625" style="3" customWidth="1"/>
    <col min="14857" max="14857" width="0.36328125" style="3" customWidth="1"/>
    <col min="14858" max="14858" width="2.36328125" style="3" customWidth="1"/>
    <col min="14859" max="14859" width="31.7265625" style="3" customWidth="1"/>
    <col min="14860" max="14860" width="58.81640625" style="3" customWidth="1"/>
    <col min="14861" max="15104" width="11" style="3" customWidth="1"/>
    <col min="15105" max="15105" width="9.7265625" style="3" customWidth="1"/>
    <col min="15106" max="15106" width="52.7265625" style="3" customWidth="1"/>
    <col min="15107" max="15107" width="2" style="3" customWidth="1"/>
    <col min="15108" max="15108" width="1.36328125" style="3" customWidth="1"/>
    <col min="15109" max="15109" width="0.54296875" style="3" customWidth="1"/>
    <col min="15110" max="15110" width="3.1796875" style="3" customWidth="1"/>
    <col min="15111" max="15111" width="1.81640625" style="3" customWidth="1"/>
    <col min="15112" max="15112" width="1.7265625" style="3" customWidth="1"/>
    <col min="15113" max="15113" width="0.36328125" style="3" customWidth="1"/>
    <col min="15114" max="15114" width="2.36328125" style="3" customWidth="1"/>
    <col min="15115" max="15115" width="31.7265625" style="3" customWidth="1"/>
    <col min="15116" max="15116" width="58.81640625" style="3" customWidth="1"/>
    <col min="15117" max="15360" width="11" style="3" customWidth="1"/>
    <col min="15361" max="15361" width="9.7265625" style="3" customWidth="1"/>
    <col min="15362" max="15362" width="52.7265625" style="3" customWidth="1"/>
    <col min="15363" max="15363" width="2" style="3" customWidth="1"/>
    <col min="15364" max="15364" width="1.36328125" style="3" customWidth="1"/>
    <col min="15365" max="15365" width="0.54296875" style="3" customWidth="1"/>
    <col min="15366" max="15366" width="3.1796875" style="3" customWidth="1"/>
    <col min="15367" max="15367" width="1.81640625" style="3" customWidth="1"/>
    <col min="15368" max="15368" width="1.7265625" style="3" customWidth="1"/>
    <col min="15369" max="15369" width="0.36328125" style="3" customWidth="1"/>
    <col min="15370" max="15370" width="2.36328125" style="3" customWidth="1"/>
    <col min="15371" max="15371" width="31.7265625" style="3" customWidth="1"/>
    <col min="15372" max="15372" width="58.81640625" style="3" customWidth="1"/>
    <col min="15373" max="15616" width="11" style="3" customWidth="1"/>
    <col min="15617" max="15617" width="9.7265625" style="3" customWidth="1"/>
    <col min="15618" max="15618" width="52.7265625" style="3" customWidth="1"/>
    <col min="15619" max="15619" width="2" style="3" customWidth="1"/>
    <col min="15620" max="15620" width="1.36328125" style="3" customWidth="1"/>
    <col min="15621" max="15621" width="0.54296875" style="3" customWidth="1"/>
    <col min="15622" max="15622" width="3.1796875" style="3" customWidth="1"/>
    <col min="15623" max="15623" width="1.81640625" style="3" customWidth="1"/>
    <col min="15624" max="15624" width="1.7265625" style="3" customWidth="1"/>
    <col min="15625" max="15625" width="0.36328125" style="3" customWidth="1"/>
    <col min="15626" max="15626" width="2.36328125" style="3" customWidth="1"/>
    <col min="15627" max="15627" width="31.7265625" style="3" customWidth="1"/>
    <col min="15628" max="15628" width="58.81640625" style="3" customWidth="1"/>
    <col min="15629" max="15872" width="11" style="3" customWidth="1"/>
    <col min="15873" max="15873" width="9.7265625" style="3" customWidth="1"/>
    <col min="15874" max="15874" width="52.7265625" style="3" customWidth="1"/>
    <col min="15875" max="15875" width="2" style="3" customWidth="1"/>
    <col min="15876" max="15876" width="1.36328125" style="3" customWidth="1"/>
    <col min="15877" max="15877" width="0.54296875" style="3" customWidth="1"/>
    <col min="15878" max="15878" width="3.1796875" style="3" customWidth="1"/>
    <col min="15879" max="15879" width="1.81640625" style="3" customWidth="1"/>
    <col min="15880" max="15880" width="1.7265625" style="3" customWidth="1"/>
    <col min="15881" max="15881" width="0.36328125" style="3" customWidth="1"/>
    <col min="15882" max="15882" width="2.36328125" style="3" customWidth="1"/>
    <col min="15883" max="15883" width="31.7265625" style="3" customWidth="1"/>
    <col min="15884" max="15884" width="58.81640625" style="3" customWidth="1"/>
    <col min="15885" max="16128" width="11" style="3" customWidth="1"/>
    <col min="16129" max="16129" width="9.7265625" style="3" customWidth="1"/>
    <col min="16130" max="16130" width="52.7265625" style="3" customWidth="1"/>
    <col min="16131" max="16131" width="2" style="3" customWidth="1"/>
    <col min="16132" max="16132" width="1.36328125" style="3" customWidth="1"/>
    <col min="16133" max="16133" width="0.54296875" style="3" customWidth="1"/>
    <col min="16134" max="16134" width="3.1796875" style="3" customWidth="1"/>
    <col min="16135" max="16135" width="1.81640625" style="3" customWidth="1"/>
    <col min="16136" max="16136" width="1.7265625" style="3" customWidth="1"/>
    <col min="16137" max="16137" width="0.36328125" style="3" customWidth="1"/>
    <col min="16138" max="16138" width="2.36328125" style="3" customWidth="1"/>
    <col min="16139" max="16139" width="31.7265625" style="3" customWidth="1"/>
    <col min="16140" max="16140" width="58.81640625" style="3" customWidth="1"/>
    <col min="16141" max="16384" width="11" style="3" customWidth="1"/>
  </cols>
  <sheetData>
    <row r="1" ht="30" customHeight="1" spans="1:12" x14ac:dyDescent="0.25">
      <c r="A1" s="4"/>
      <c r="B1" s="4"/>
      <c r="C1" s="5"/>
      <c r="D1" s="6"/>
      <c r="E1" s="5"/>
      <c r="F1" s="6"/>
      <c r="G1" s="5"/>
      <c r="H1" s="7"/>
      <c r="I1" s="5"/>
      <c r="J1" s="7"/>
      <c r="K1" s="8"/>
      <c r="L1" s="8"/>
    </row>
    <row r="2" ht="30" customHeight="1" spans="1:12" x14ac:dyDescent="0.25">
      <c r="A2" s="9"/>
      <c r="B2" s="9"/>
      <c r="C2" s="5"/>
      <c r="D2" s="6"/>
      <c r="E2" s="5"/>
      <c r="F2" s="6"/>
      <c r="G2" s="5"/>
      <c r="H2" s="7"/>
      <c r="I2" s="5"/>
      <c r="J2" s="7"/>
      <c r="K2" s="8"/>
      <c r="L2" s="8"/>
    </row>
    <row r="3" ht="30" customHeight="1" spans="1:12" x14ac:dyDescent="0.25">
      <c r="A3" s="10"/>
      <c r="B3" s="10"/>
      <c r="C3" s="5"/>
      <c r="D3" s="6"/>
      <c r="E3" s="5"/>
      <c r="F3" s="6"/>
      <c r="G3" s="5"/>
      <c r="H3" s="7"/>
      <c r="I3" s="5"/>
      <c r="J3" s="7"/>
      <c r="K3" s="8"/>
      <c r="L3" s="8"/>
    </row>
    <row r="4" ht="30" customHeight="1" spans="1:12" x14ac:dyDescent="0.25">
      <c r="A4" s="10"/>
      <c r="B4" s="10"/>
      <c r="C4" s="5"/>
      <c r="D4" s="6"/>
      <c r="E4" s="5"/>
      <c r="F4" s="6"/>
      <c r="G4" s="5"/>
      <c r="H4" s="7"/>
      <c r="I4" s="5"/>
      <c r="J4" s="7"/>
      <c r="K4" s="8"/>
      <c r="L4" s="8"/>
    </row>
    <row r="5" ht="30" customHeight="1" spans="1:12" x14ac:dyDescent="0.25">
      <c r="A5" s="4"/>
      <c r="B5" s="4"/>
      <c r="C5" s="5"/>
      <c r="D5" s="6"/>
      <c r="E5" s="5"/>
      <c r="F5" s="6"/>
      <c r="G5" s="5"/>
      <c r="H5" s="7"/>
      <c r="I5" s="5"/>
      <c r="J5" s="7"/>
      <c r="K5" s="8"/>
      <c r="L5" s="8"/>
    </row>
    <row r="6" ht="30" customHeight="1" spans="1:12" x14ac:dyDescent="0.25">
      <c r="A6" s="4"/>
      <c r="B6" s="4"/>
      <c r="C6" s="5"/>
      <c r="D6" s="6"/>
      <c r="E6" s="5"/>
      <c r="F6" s="6"/>
      <c r="G6" s="5"/>
      <c r="H6" s="7"/>
      <c r="I6" s="5"/>
      <c r="J6" s="7"/>
      <c r="K6" s="8"/>
      <c r="L6" s="8"/>
    </row>
    <row r="7" ht="30" customHeight="1" spans="1:12" x14ac:dyDescent="0.25">
      <c r="A7" s="4"/>
      <c r="B7" s="4"/>
      <c r="C7" s="5"/>
      <c r="D7" s="6"/>
      <c r="E7" s="5"/>
      <c r="F7" s="6"/>
      <c r="G7" s="5"/>
      <c r="H7" s="7"/>
      <c r="I7" s="5"/>
      <c r="J7" s="7"/>
      <c r="K7" s="8"/>
      <c r="L7" s="8"/>
    </row>
    <row r="8" ht="30" customHeight="1" spans="1:12" x14ac:dyDescent="0.25">
      <c r="A8" s="4"/>
      <c r="B8" s="4"/>
      <c r="C8" s="5"/>
      <c r="D8" s="6"/>
      <c r="E8" s="5"/>
      <c r="F8" s="6"/>
      <c r="G8" s="5"/>
      <c r="H8" s="7"/>
      <c r="I8" s="5"/>
      <c r="J8" s="7"/>
      <c r="K8" s="8"/>
      <c r="L8" s="8"/>
    </row>
    <row r="9" ht="30" customHeight="1" spans="1:12" x14ac:dyDescent="0.25">
      <c r="A9" s="4"/>
      <c r="B9" s="4"/>
      <c r="C9" s="5"/>
      <c r="D9" s="6"/>
      <c r="E9" s="5"/>
      <c r="F9" s="6"/>
      <c r="G9" s="5"/>
      <c r="H9" s="7"/>
      <c r="I9" s="5"/>
      <c r="J9" s="7"/>
      <c r="K9" s="8"/>
      <c r="L9" s="8"/>
    </row>
    <row r="10" ht="30" customHeight="1" spans="1:12" x14ac:dyDescent="0.25">
      <c r="A10" s="4"/>
      <c r="B10" s="4"/>
      <c r="C10" s="5"/>
      <c r="D10" s="6"/>
      <c r="E10" s="5"/>
      <c r="F10" s="6"/>
      <c r="G10" s="5"/>
      <c r="H10" s="7"/>
      <c r="I10" s="5"/>
      <c r="J10" s="7"/>
      <c r="K10" s="8"/>
      <c r="L10" s="8"/>
    </row>
    <row r="11" ht="30" customHeight="1" spans="1:12" x14ac:dyDescent="0.25">
      <c r="A11" s="4"/>
      <c r="B11" s="4"/>
      <c r="C11" s="5"/>
      <c r="D11" s="6"/>
      <c r="E11" s="5"/>
      <c r="F11" s="6"/>
      <c r="G11" s="5"/>
      <c r="H11" s="7"/>
      <c r="I11" s="5"/>
      <c r="J11" s="7"/>
      <c r="K11" s="8"/>
      <c r="L11" s="8"/>
    </row>
    <row r="12" ht="30" customHeight="1" spans="1:12" x14ac:dyDescent="0.25">
      <c r="A12" s="11"/>
      <c r="B12" s="11"/>
      <c r="C12" s="5"/>
      <c r="D12" s="6"/>
      <c r="E12" s="5"/>
      <c r="F12" s="6"/>
      <c r="G12" s="5"/>
      <c r="H12" s="7"/>
      <c r="I12" s="5"/>
      <c r="J12" s="7"/>
      <c r="K12" s="12"/>
      <c r="L12" s="12"/>
    </row>
    <row r="13" ht="30" customHeight="1" spans="1:12" x14ac:dyDescent="0.25">
      <c r="A13" s="12"/>
      <c r="B13" s="12"/>
      <c r="C13" s="5"/>
      <c r="D13" s="6"/>
      <c r="E13" s="5"/>
      <c r="F13" s="6"/>
      <c r="G13" s="5"/>
      <c r="H13" s="7"/>
      <c r="I13" s="5"/>
      <c r="J13" s="7"/>
      <c r="K13" s="12"/>
      <c r="L13" s="13"/>
    </row>
    <row r="14" ht="30" customHeight="1" spans="1:12" x14ac:dyDescent="0.25">
      <c r="A14" s="4"/>
      <c r="B14" s="4"/>
      <c r="C14" s="5"/>
      <c r="D14" s="6"/>
      <c r="E14" s="5"/>
      <c r="F14" s="6"/>
      <c r="G14" s="5"/>
      <c r="H14" s="7"/>
      <c r="I14" s="5"/>
      <c r="J14" s="7"/>
      <c r="K14" s="8"/>
      <c r="L14" s="8"/>
    </row>
    <row r="15" ht="30" customHeight="1" spans="1:12" x14ac:dyDescent="0.25">
      <c r="A15" s="14"/>
      <c r="B15" s="14"/>
      <c r="C15" s="5"/>
      <c r="D15" s="6"/>
      <c r="E15" s="5"/>
      <c r="F15" s="6"/>
      <c r="G15" s="5"/>
      <c r="H15" s="7"/>
      <c r="I15" s="5"/>
      <c r="J15" s="7"/>
      <c r="K15" s="8"/>
      <c r="L15" s="8"/>
    </row>
    <row r="16" ht="30" customHeight="1" spans="1:12" x14ac:dyDescent="0.25">
      <c r="A16" s="4"/>
      <c r="B16" s="4"/>
      <c r="C16" s="5"/>
      <c r="D16" s="6"/>
      <c r="E16" s="5"/>
      <c r="F16" s="6"/>
      <c r="G16" s="5"/>
      <c r="H16" s="7"/>
      <c r="I16" s="5"/>
      <c r="J16" s="7"/>
      <c r="K16" s="8"/>
      <c r="L16" s="8"/>
    </row>
    <row r="17" ht="30" customHeight="1" spans="1:12" x14ac:dyDescent="0.25">
      <c r="A17" s="4"/>
      <c r="B17" s="4"/>
      <c r="C17" s="5"/>
      <c r="D17" s="6"/>
      <c r="E17" s="5"/>
      <c r="F17" s="6"/>
      <c r="G17" s="5"/>
      <c r="H17" s="7"/>
      <c r="I17" s="5"/>
      <c r="J17" s="7"/>
      <c r="K17" s="8"/>
      <c r="L17" s="8"/>
    </row>
    <row r="18" ht="30" customHeight="1" spans="1:12" x14ac:dyDescent="0.25">
      <c r="A18" s="4"/>
      <c r="B18" s="4"/>
      <c r="C18" s="5"/>
      <c r="D18" s="6"/>
      <c r="E18" s="5"/>
      <c r="F18" s="6"/>
      <c r="G18" s="5"/>
      <c r="H18" s="7"/>
      <c r="I18" s="5"/>
      <c r="J18" s="7"/>
      <c r="K18" s="8"/>
      <c r="L18" s="8"/>
    </row>
    <row r="19" ht="30" customHeight="1" spans="1:12" x14ac:dyDescent="0.25">
      <c r="A19" s="4"/>
      <c r="B19" s="4"/>
      <c r="C19" s="5"/>
      <c r="D19" s="6"/>
      <c r="E19" s="5"/>
      <c r="F19" s="6"/>
      <c r="G19" s="5"/>
      <c r="H19" s="7"/>
      <c r="I19" s="5"/>
      <c r="J19" s="7"/>
      <c r="K19" s="8"/>
      <c r="L19" s="8"/>
    </row>
    <row r="20" ht="30" customHeight="1" spans="1:12" x14ac:dyDescent="0.25">
      <c r="A20" s="4"/>
      <c r="B20" s="4"/>
      <c r="C20" s="5"/>
      <c r="D20" s="6"/>
      <c r="E20" s="5"/>
      <c r="F20" s="6"/>
      <c r="G20" s="5"/>
      <c r="H20" s="7"/>
      <c r="I20" s="5"/>
      <c r="J20" s="7"/>
      <c r="K20" s="8"/>
      <c r="L20" s="8"/>
    </row>
    <row r="21" ht="30" customHeight="1" spans="1:12" x14ac:dyDescent="0.25">
      <c r="A21" s="4"/>
      <c r="B21" s="4"/>
      <c r="C21" s="5"/>
      <c r="D21" s="6"/>
      <c r="E21" s="5"/>
      <c r="F21" s="6"/>
      <c r="G21" s="5"/>
      <c r="H21" s="7"/>
      <c r="I21" s="5"/>
      <c r="J21" s="7"/>
      <c r="K21" s="8"/>
      <c r="L21" s="8"/>
    </row>
    <row r="22" ht="30" customHeight="1" spans="1:12" x14ac:dyDescent="0.25">
      <c r="A22" s="4"/>
      <c r="B22" s="4"/>
      <c r="C22" s="5"/>
      <c r="D22" s="6"/>
      <c r="E22" s="5"/>
      <c r="F22" s="6"/>
      <c r="G22" s="5"/>
      <c r="H22" s="7"/>
      <c r="I22" s="5"/>
      <c r="J22" s="7"/>
      <c r="K22" s="8"/>
      <c r="L22" s="8"/>
    </row>
    <row r="23" ht="30" customHeight="1" spans="3:12" x14ac:dyDescent="0.25">
      <c r="C23" s="7"/>
      <c r="D23" s="3"/>
      <c r="E23" s="7"/>
      <c r="F23" s="3"/>
      <c r="G23" s="7"/>
      <c r="H23" s="6"/>
      <c r="I23" s="7"/>
      <c r="J23" s="6"/>
      <c r="K23" s="15"/>
      <c r="L23" s="15"/>
    </row>
    <row r="24" ht="30" customHeight="1" spans="3:11" x14ac:dyDescent="0.25">
      <c r="C24" s="7"/>
      <c r="D24" s="3"/>
      <c r="E24" s="7"/>
      <c r="F24" s="3"/>
      <c r="G24" s="7"/>
      <c r="H24" s="6"/>
      <c r="I24" s="7"/>
      <c r="J24" s="6"/>
      <c r="K24" s="15"/>
    </row>
    <row r="25" ht="30" customHeight="1" x14ac:dyDescent="0.25"/>
    <row r="26" ht="59.25" customHeight="1" x14ac:dyDescent="0.25"/>
    <row r="27" ht="59.25" customHeight="1" x14ac:dyDescent="0.25"/>
    <row r="28" ht="59.25" customHeight="1" x14ac:dyDescent="0.25"/>
    <row r="29" ht="93" customHeight="1" x14ac:dyDescent="0.25"/>
    <row r="30" ht="93" customHeight="1" x14ac:dyDescent="0.25"/>
    <row r="31" ht="133.5" customHeight="1" spans="3:12" x14ac:dyDescent="0.25">
      <c r="C31" s="16" t="s">
        <v>0</v>
      </c>
      <c r="D31" s="16"/>
      <c r="E31" s="16"/>
      <c r="F31" s="16"/>
      <c r="G31" s="16"/>
      <c r="H31" s="16"/>
      <c r="I31" s="16"/>
      <c r="J31" s="16"/>
      <c r="K31" s="16"/>
      <c r="L31" s="16"/>
    </row>
    <row r="32" ht="59.25" customHeight="1" x14ac:dyDescent="0.25"/>
    <row r="33" ht="59.25" customHeight="1" x14ac:dyDescent="0.25"/>
    <row r="34" ht="59.25" customHeight="1" spans="3:3" x14ac:dyDescent="0.25">
      <c r="C34" s="17"/>
    </row>
    <row r="35" ht="59.25" customHeight="1" spans="3:3" x14ac:dyDescent="0.25">
      <c r="C35" s="17"/>
    </row>
    <row r="36" ht="59.25" customHeight="1" spans="3:3" x14ac:dyDescent="0.25">
      <c r="C36" s="3"/>
    </row>
    <row r="37" ht="59.25" customHeight="1" spans="3:3" x14ac:dyDescent="0.25">
      <c r="C37" s="17"/>
    </row>
  </sheetData>
  <sheetProtection sheet="1" algorithmName="SHA-512" hashValue="mfbgwCllST1b9NEMgchcv3FCDhpX0UlJiMY6CX4pqIYsKHHCjxSyJ7uuTAQ8cLGaROC4HxplFidftGE5d8Rjqw==" saltValue="8WMMNktrsndItSu3GxxwJg==" spinCount="100000" objects="1" scenarios="1"/>
  <mergeCells count="17">
    <mergeCell ref="C1:C22"/>
    <mergeCell ref="D1:D22"/>
    <mergeCell ref="E1:E22"/>
    <mergeCell ref="F1:F22"/>
    <mergeCell ref="G1:G22"/>
    <mergeCell ref="H1:H22"/>
    <mergeCell ref="I1:I22"/>
    <mergeCell ref="J1:J22"/>
    <mergeCell ref="C23:C24"/>
    <mergeCell ref="D23:D24"/>
    <mergeCell ref="E23:E24"/>
    <mergeCell ref="F23:F24"/>
    <mergeCell ref="G23:G24"/>
    <mergeCell ref="H23:H24"/>
    <mergeCell ref="I23:I24"/>
    <mergeCell ref="J23:J24"/>
    <mergeCell ref="C31:L31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 scale="46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B52"/>
  <sheetViews>
    <sheetView workbookViewId="0" showGridLines="0" zoomScale="90" zoomScaleNormal="70" view="pageBreakPreview">
      <selection activeCell="A24" sqref="A24"/>
    </sheetView>
  </sheetViews>
  <sheetFormatPr defaultRowHeight="12.75" outlineLevelRow="0" outlineLevelCol="0" x14ac:dyDescent="0" defaultColWidth="10" customHeight="1"/>
  <cols>
    <col min="1" max="1" width="4.453125" style="18" customWidth="1"/>
    <col min="2" max="2" width="2.26953125" style="18" customWidth="1"/>
    <col min="3" max="3" width="3.90625" style="18" customWidth="1"/>
    <col min="4" max="12" width="1.7265625" style="18" customWidth="1"/>
    <col min="13" max="13" width="2.6328125" style="18" customWidth="1"/>
    <col min="14" max="18" width="1.7265625" style="18" customWidth="1"/>
    <col min="19" max="19" width="8.6328125" style="18" customWidth="1"/>
    <col min="20" max="20" width="1.7265625" style="18" customWidth="1"/>
    <col min="21" max="21" width="7" style="18" customWidth="1"/>
    <col min="22" max="24" width="1.7265625" style="18" customWidth="1"/>
    <col min="25" max="25" width="4.26953125" style="18" customWidth="1"/>
    <col min="26" max="26" width="1.7265625" style="18" customWidth="1"/>
    <col min="27" max="27" width="2.90625" style="18" customWidth="1"/>
    <col min="28" max="28" width="3" style="18" customWidth="1"/>
    <col min="29" max="30" width="1.7265625" style="18" customWidth="1"/>
    <col min="31" max="31" width="6.6328125" style="18" customWidth="1"/>
    <col min="32" max="32" width="5.36328125" style="18" customWidth="1"/>
    <col min="33" max="16384" width="10" style="18" customWidth="1"/>
  </cols>
  <sheetData>
    <row r="1" ht="13" customHeight="1" spans="1:32" x14ac:dyDescent="0.25">
      <c r="A1" s="19" t="s">
        <v>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20"/>
    </row>
    <row r="2" ht="13" customHeight="1" spans="1:3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0"/>
      <c r="M2" s="21"/>
      <c r="N2" s="21"/>
      <c r="O2" s="21"/>
      <c r="P2" s="21"/>
      <c r="Q2" s="21"/>
      <c r="R2" s="21"/>
      <c r="S2" s="21"/>
      <c r="T2" s="21"/>
      <c r="U2" s="21"/>
      <c r="V2" s="21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ht="12.5" customHeight="1" spans="1:32" x14ac:dyDescent="0.25">
      <c r="A3" s="21"/>
      <c r="B3" s="21"/>
      <c r="C3" s="21"/>
      <c r="D3" s="21"/>
      <c r="E3" s="21"/>
      <c r="F3" s="21"/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ht="12.5" customHeight="1" spans="1:32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</row>
    <row r="5" ht="12.5" customHeight="1" spans="1:32" x14ac:dyDescent="0.25">
      <c r="A5" s="21" t="s">
        <v>2</v>
      </c>
      <c r="B5" s="21"/>
      <c r="C5" s="23"/>
      <c r="D5" s="23"/>
      <c r="E5" s="23"/>
      <c r="F5" s="23"/>
      <c r="G5" s="23"/>
      <c r="H5" s="23"/>
      <c r="I5" s="23"/>
      <c r="J5" s="23"/>
      <c r="K5" s="23"/>
      <c r="L5" s="21"/>
      <c r="M5" s="21"/>
      <c r="N5" s="21" t="s">
        <v>3</v>
      </c>
      <c r="O5" s="21"/>
      <c r="P5" s="21"/>
      <c r="Q5" s="21"/>
      <c r="R5" s="21"/>
      <c r="S5" s="21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1"/>
    </row>
    <row r="6" ht="12.5" customHeight="1" spans="1:32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</row>
    <row r="7" ht="12.5" customHeight="1" spans="1:32" x14ac:dyDescent="0.25">
      <c r="A7" s="21"/>
      <c r="B7" s="21"/>
      <c r="C7" s="21"/>
      <c r="D7" s="24" t="s">
        <v>4</v>
      </c>
      <c r="E7" s="24" t="s">
        <v>4</v>
      </c>
      <c r="F7" s="24" t="s">
        <v>4</v>
      </c>
      <c r="G7" s="24" t="s">
        <v>4</v>
      </c>
      <c r="H7" s="24" t="s">
        <v>5</v>
      </c>
      <c r="I7" s="24" t="s">
        <v>5</v>
      </c>
      <c r="J7" s="21"/>
      <c r="K7" s="24" t="s">
        <v>6</v>
      </c>
      <c r="L7" s="24" t="s">
        <v>6</v>
      </c>
      <c r="M7" s="21"/>
      <c r="N7" s="24"/>
      <c r="O7" s="24"/>
      <c r="P7" s="24"/>
      <c r="Q7" s="24"/>
      <c r="R7" s="24"/>
      <c r="S7" s="21"/>
      <c r="T7" s="24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ht="12.5" customHeight="1" spans="1:3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ht="12.5" customHeight="1" spans="1:32" x14ac:dyDescent="0.25">
      <c r="A9" s="21"/>
      <c r="B9" s="21"/>
      <c r="C9" s="21"/>
      <c r="D9" s="21"/>
      <c r="E9" s="21" t="s">
        <v>7</v>
      </c>
      <c r="F9" s="21"/>
      <c r="G9" s="21"/>
      <c r="H9" s="21"/>
      <c r="I9" s="21"/>
      <c r="J9" s="21"/>
      <c r="K9" s="21"/>
      <c r="L9" s="21"/>
      <c r="M9" s="21"/>
      <c r="N9" s="21"/>
      <c r="O9" s="21" t="s">
        <v>8</v>
      </c>
      <c r="P9" s="21" t="s">
        <v>9</v>
      </c>
      <c r="Q9" s="21" t="s">
        <v>10</v>
      </c>
      <c r="R9" s="21"/>
      <c r="S9" s="21"/>
      <c r="T9" s="21" t="s">
        <v>11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ht="12.5" customHeight="1" spans="1:3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ht="9.75" customHeight="1" spans="3:6" x14ac:dyDescent="0.25">
      <c r="C11" s="21"/>
      <c r="D11" s="21"/>
      <c r="E11" s="21"/>
      <c r="F11" s="21"/>
    </row>
    <row r="12" ht="12.75" customHeight="1" spans="1:33" s="26" customFormat="1" x14ac:dyDescent="0.25">
      <c r="A12" s="27" t="s">
        <v>12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G12" s="18"/>
    </row>
    <row r="13" ht="6" customHeight="1" spans="1:33" s="26" customForma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AG13" s="18"/>
    </row>
    <row r="14" ht="1.5" customHeight="1" spans="1:33" s="26" customForma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AG14" s="18"/>
    </row>
    <row r="15" ht="12.5" customHeight="1" spans="1:33" s="26" customForma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AG15" s="18"/>
    </row>
    <row r="16" ht="12.5" customHeight="1" spans="1:33" s="26" customFormat="1" x14ac:dyDescent="0.25">
      <c r="A16" s="28"/>
      <c r="B16" s="28"/>
      <c r="C16" s="28"/>
      <c r="D16" s="28" t="s">
        <v>13</v>
      </c>
      <c r="E16" s="28"/>
      <c r="F16" s="28"/>
      <c r="G16" s="28"/>
      <c r="H16" s="28"/>
      <c r="I16" s="28"/>
      <c r="J16" s="28"/>
      <c r="K16" s="28"/>
      <c r="L16" s="28"/>
      <c r="M16" s="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G16" s="18"/>
    </row>
    <row r="17" ht="12.5" customHeight="1" spans="1:33" s="26" customForma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30"/>
      <c r="M17" s="30"/>
      <c r="AG17" s="18"/>
    </row>
    <row r="18" ht="12.5" customHeight="1" spans="1:31" s="26" customFormat="1" x14ac:dyDescent="0.25">
      <c r="A18" s="28"/>
      <c r="B18" s="28"/>
      <c r="C18" s="28"/>
      <c r="D18" s="28" t="s">
        <v>14</v>
      </c>
      <c r="E18" s="28"/>
      <c r="F18" s="28"/>
      <c r="G18" s="28"/>
      <c r="H18" s="28"/>
      <c r="I18" s="28"/>
      <c r="J18" s="28"/>
      <c r="K18" s="28"/>
      <c r="L18" s="28"/>
      <c r="M18" s="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</row>
    <row r="19" ht="12.5" customHeight="1" spans="1:13" s="26" customForma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30"/>
      <c r="M19" s="30"/>
    </row>
    <row r="20" ht="12.5" customHeight="1" spans="1:31" s="26" customFormat="1" x14ac:dyDescent="0.25">
      <c r="A20" s="28"/>
      <c r="B20" s="28"/>
      <c r="C20" s="28"/>
      <c r="D20" s="28" t="s">
        <v>15</v>
      </c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29"/>
      <c r="P20" s="29"/>
      <c r="Q20" s="29"/>
      <c r="R20" s="29"/>
      <c r="S20" s="29"/>
      <c r="T20" s="29"/>
      <c r="U20" s="29"/>
      <c r="Y20" s="26" t="s">
        <v>16</v>
      </c>
      <c r="Z20" s="26"/>
      <c r="AA20" s="26"/>
      <c r="AB20" s="31"/>
      <c r="AC20" s="31"/>
      <c r="AD20" s="31"/>
      <c r="AE20" s="31"/>
    </row>
    <row r="21" ht="12.5" customHeight="1" spans="1:13" s="26" customForma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30"/>
      <c r="M21" s="30"/>
    </row>
    <row r="22" ht="12.5" customHeight="1" spans="1:31" s="26" customFormat="1" x14ac:dyDescent="0.25">
      <c r="A22" s="28"/>
      <c r="B22" s="28"/>
      <c r="C22" s="28"/>
      <c r="D22" s="28" t="s">
        <v>17</v>
      </c>
      <c r="E22" s="28"/>
      <c r="F22" s="28"/>
      <c r="G22" s="28"/>
      <c r="H22" s="28"/>
      <c r="I22" s="28"/>
      <c r="J22" s="28"/>
      <c r="K22" s="28"/>
      <c r="L22" s="28"/>
      <c r="M22" s="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 ht="21.75" customHeight="1" spans="1:11" s="26" customForma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ht="15.75" customHeight="1" spans="1:31" s="26" customFormat="1" x14ac:dyDescent="0.25">
      <c r="A24" s="32" t="s">
        <v>18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ht="6" customHeight="1" spans="1:1016" s="26" customForma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  <c r="PU25" s="26"/>
      <c r="PV25" s="26"/>
      <c r="PW25" s="26"/>
      <c r="PX25" s="26"/>
      <c r="PY25" s="26"/>
      <c r="PZ25" s="26"/>
      <c r="QA25" s="26"/>
      <c r="QB25" s="26"/>
      <c r="QC25" s="26"/>
      <c r="QD25" s="26"/>
      <c r="QE25" s="26"/>
      <c r="QF25" s="26"/>
      <c r="QG25" s="26"/>
      <c r="QH25" s="26"/>
      <c r="QI25" s="26"/>
      <c r="QJ25" s="26"/>
      <c r="QK25" s="26"/>
      <c r="QL25" s="26"/>
      <c r="QM25" s="26"/>
      <c r="QN25" s="26"/>
      <c r="QO25" s="26"/>
      <c r="QP25" s="26"/>
      <c r="QQ25" s="26"/>
      <c r="QR25" s="26"/>
      <c r="QS25" s="26"/>
      <c r="QT25" s="26"/>
      <c r="QU25" s="26"/>
      <c r="QV25" s="26"/>
      <c r="QW25" s="26"/>
      <c r="QX25" s="26"/>
      <c r="QY25" s="26"/>
      <c r="QZ25" s="26"/>
      <c r="RA25" s="26"/>
      <c r="RB25" s="26"/>
      <c r="RC25" s="26"/>
      <c r="RD25" s="26"/>
      <c r="RE25" s="26"/>
      <c r="RF25" s="26"/>
      <c r="RG25" s="26"/>
      <c r="RH25" s="26"/>
      <c r="RI25" s="26"/>
      <c r="RJ25" s="26"/>
      <c r="RK25" s="26"/>
      <c r="RL25" s="26"/>
      <c r="RM25" s="26"/>
      <c r="RN25" s="26"/>
      <c r="RO25" s="26"/>
      <c r="RP25" s="26"/>
      <c r="RQ25" s="26"/>
      <c r="RR25" s="26"/>
      <c r="RS25" s="26"/>
      <c r="RT25" s="26"/>
      <c r="RU25" s="26"/>
      <c r="RV25" s="26"/>
      <c r="RW25" s="26"/>
      <c r="RX25" s="26"/>
      <c r="RY25" s="26"/>
      <c r="RZ25" s="26"/>
      <c r="SA25" s="26"/>
      <c r="SB25" s="26"/>
      <c r="SC25" s="26"/>
      <c r="SD25" s="26"/>
      <c r="SE25" s="26"/>
      <c r="SF25" s="26"/>
      <c r="SG25" s="26"/>
      <c r="SH25" s="26"/>
      <c r="SI25" s="26"/>
      <c r="SJ25" s="26"/>
      <c r="SK25" s="26"/>
      <c r="SL25" s="26"/>
      <c r="SM25" s="26"/>
      <c r="SN25" s="26"/>
      <c r="SO25" s="26"/>
      <c r="SP25" s="26"/>
      <c r="SQ25" s="26"/>
      <c r="SR25" s="26"/>
      <c r="SS25" s="26"/>
      <c r="ST25" s="26"/>
      <c r="SU25" s="26"/>
      <c r="SV25" s="26"/>
      <c r="SW25" s="26"/>
      <c r="SX25" s="26"/>
      <c r="SY25" s="26"/>
      <c r="SZ25" s="26"/>
      <c r="TA25" s="26"/>
      <c r="TB25" s="26"/>
      <c r="TC25" s="26"/>
      <c r="TD25" s="26"/>
      <c r="TE25" s="26"/>
      <c r="TF25" s="26"/>
      <c r="TG25" s="26"/>
      <c r="TH25" s="26"/>
      <c r="TI25" s="26"/>
      <c r="TJ25" s="26"/>
      <c r="TK25" s="26"/>
      <c r="TL25" s="26"/>
      <c r="TM25" s="26"/>
      <c r="TN25" s="26"/>
      <c r="TO25" s="26"/>
      <c r="TP25" s="26"/>
      <c r="TQ25" s="26"/>
      <c r="TR25" s="26"/>
      <c r="TS25" s="26"/>
      <c r="TT25" s="26"/>
      <c r="TU25" s="26"/>
      <c r="TV25" s="26"/>
      <c r="TW25" s="26"/>
      <c r="TX25" s="26"/>
      <c r="TY25" s="26"/>
      <c r="TZ25" s="26"/>
      <c r="UA25" s="26"/>
      <c r="UB25" s="26"/>
      <c r="UC25" s="26"/>
      <c r="UD25" s="26"/>
      <c r="UE25" s="26"/>
      <c r="UF25" s="26"/>
      <c r="UG25" s="26"/>
      <c r="UH25" s="26"/>
      <c r="UI25" s="26"/>
      <c r="UJ25" s="26"/>
      <c r="UK25" s="26"/>
      <c r="UL25" s="26"/>
      <c r="UM25" s="26"/>
      <c r="UN25" s="26"/>
      <c r="UO25" s="26"/>
      <c r="UP25" s="26"/>
      <c r="UQ25" s="26"/>
      <c r="UR25" s="26"/>
      <c r="US25" s="26"/>
      <c r="UT25" s="26"/>
      <c r="UU25" s="26"/>
      <c r="UV25" s="26"/>
      <c r="UW25" s="26"/>
      <c r="UX25" s="26"/>
      <c r="UY25" s="26"/>
      <c r="UZ25" s="26"/>
      <c r="VA25" s="26"/>
      <c r="VB25" s="26"/>
      <c r="VC25" s="26"/>
      <c r="VD25" s="26"/>
      <c r="VE25" s="26"/>
      <c r="VF25" s="26"/>
      <c r="VG25" s="26"/>
      <c r="VH25" s="26"/>
      <c r="VI25" s="26"/>
      <c r="VJ25" s="26"/>
      <c r="VK25" s="26"/>
      <c r="VL25" s="26"/>
      <c r="VM25" s="26"/>
      <c r="VN25" s="26"/>
      <c r="VO25" s="26"/>
      <c r="VP25" s="26"/>
      <c r="VQ25" s="26"/>
      <c r="VR25" s="26"/>
      <c r="VS25" s="26"/>
      <c r="VT25" s="26"/>
      <c r="VU25" s="26"/>
      <c r="VV25" s="26"/>
      <c r="VW25" s="26"/>
      <c r="VX25" s="26"/>
      <c r="VY25" s="26"/>
      <c r="VZ25" s="26"/>
      <c r="WA25" s="26"/>
      <c r="WB25" s="26"/>
      <c r="WC25" s="26"/>
      <c r="WD25" s="26"/>
      <c r="WE25" s="26"/>
      <c r="WF25" s="26"/>
      <c r="WG25" s="26"/>
      <c r="WH25" s="26"/>
      <c r="WI25" s="26"/>
      <c r="WJ25" s="26"/>
      <c r="WK25" s="26"/>
      <c r="WL25" s="26"/>
      <c r="WM25" s="26"/>
      <c r="WN25" s="26"/>
      <c r="WO25" s="26"/>
      <c r="WP25" s="26"/>
      <c r="WQ25" s="26"/>
      <c r="WR25" s="26"/>
      <c r="WS25" s="26"/>
      <c r="WT25" s="26"/>
      <c r="WU25" s="26"/>
      <c r="WV25" s="26"/>
      <c r="WW25" s="26"/>
      <c r="WX25" s="26"/>
      <c r="WY25" s="26"/>
      <c r="WZ25" s="26"/>
      <c r="XA25" s="26"/>
      <c r="XB25" s="26"/>
      <c r="XC25" s="26"/>
      <c r="XD25" s="26"/>
      <c r="XE25" s="26"/>
      <c r="XF25" s="26"/>
      <c r="XG25" s="26"/>
      <c r="XH25" s="26"/>
      <c r="XI25" s="26"/>
      <c r="XJ25" s="26"/>
      <c r="XK25" s="26"/>
      <c r="XL25" s="26"/>
      <c r="XM25" s="26"/>
      <c r="XN25" s="26"/>
      <c r="XO25" s="26"/>
      <c r="XP25" s="26"/>
      <c r="XQ25" s="26"/>
      <c r="XR25" s="26"/>
      <c r="XS25" s="26"/>
      <c r="XT25" s="26"/>
      <c r="XU25" s="26"/>
      <c r="XV25" s="26"/>
      <c r="XW25" s="26"/>
      <c r="XX25" s="26"/>
      <c r="XY25" s="26"/>
      <c r="XZ25" s="26"/>
      <c r="YA25" s="26"/>
      <c r="YB25" s="26"/>
      <c r="YC25" s="26"/>
      <c r="YD25" s="26"/>
      <c r="YE25" s="26"/>
      <c r="YF25" s="26"/>
      <c r="YG25" s="26"/>
      <c r="YH25" s="26"/>
      <c r="YI25" s="26"/>
      <c r="YJ25" s="26"/>
      <c r="YK25" s="26"/>
      <c r="YL25" s="26"/>
      <c r="YM25" s="26"/>
      <c r="YN25" s="26"/>
      <c r="YO25" s="26"/>
      <c r="YP25" s="26"/>
      <c r="YQ25" s="26"/>
      <c r="YR25" s="26"/>
      <c r="YS25" s="26"/>
      <c r="YT25" s="26"/>
      <c r="YU25" s="26"/>
      <c r="YV25" s="26"/>
      <c r="YW25" s="26"/>
      <c r="YX25" s="26"/>
      <c r="YY25" s="26"/>
      <c r="YZ25" s="26"/>
      <c r="ZA25" s="26"/>
      <c r="ZB25" s="26"/>
      <c r="ZC25" s="26"/>
      <c r="ZD25" s="26"/>
      <c r="ZE25" s="26"/>
      <c r="ZF25" s="26"/>
      <c r="ZG25" s="26"/>
      <c r="ZH25" s="26"/>
      <c r="ZI25" s="26"/>
      <c r="ZJ25" s="26"/>
      <c r="ZK25" s="26"/>
      <c r="ZL25" s="26"/>
      <c r="ZM25" s="26"/>
      <c r="ZN25" s="26"/>
      <c r="ZO25" s="26"/>
      <c r="ZP25" s="26"/>
      <c r="ZQ25" s="26"/>
      <c r="ZR25" s="26"/>
      <c r="ZS25" s="26"/>
      <c r="ZT25" s="26"/>
      <c r="ZU25" s="26"/>
      <c r="ZV25" s="26"/>
      <c r="ZW25" s="26"/>
      <c r="ZX25" s="26"/>
      <c r="ZY25" s="26"/>
      <c r="ZZ25" s="26"/>
      <c r="AAA25" s="26"/>
      <c r="AAB25" s="26"/>
      <c r="AAC25" s="26"/>
      <c r="AAD25" s="26"/>
      <c r="AAE25" s="26"/>
      <c r="AAF25" s="26"/>
      <c r="AAG25" s="26"/>
      <c r="AAH25" s="26"/>
      <c r="AAI25" s="26"/>
      <c r="AAJ25" s="26"/>
      <c r="AAK25" s="26"/>
      <c r="AAL25" s="26"/>
      <c r="AAM25" s="26"/>
      <c r="AAN25" s="26"/>
      <c r="AAO25" s="26"/>
      <c r="AAP25" s="26"/>
      <c r="AAQ25" s="26"/>
      <c r="AAR25" s="26"/>
      <c r="AAS25" s="26"/>
      <c r="AAT25" s="26"/>
      <c r="AAU25" s="26"/>
      <c r="AAV25" s="26"/>
      <c r="AAW25" s="26"/>
      <c r="AAX25" s="26"/>
      <c r="AAY25" s="26"/>
      <c r="AAZ25" s="26"/>
      <c r="ABA25" s="26"/>
      <c r="ABB25" s="26"/>
      <c r="ABC25" s="26"/>
      <c r="ABD25" s="26"/>
      <c r="ABE25" s="26"/>
      <c r="ABF25" s="26"/>
      <c r="ABG25" s="26"/>
      <c r="ABH25" s="26"/>
      <c r="ABI25" s="26"/>
      <c r="ABJ25" s="26"/>
      <c r="ABK25" s="26"/>
      <c r="ABL25" s="26"/>
      <c r="ABM25" s="26"/>
      <c r="ABN25" s="26"/>
      <c r="ABO25" s="26"/>
      <c r="ABP25" s="26"/>
      <c r="ABQ25" s="26"/>
      <c r="ABR25" s="26"/>
      <c r="ABS25" s="26"/>
      <c r="ABT25" s="26"/>
      <c r="ABU25" s="26"/>
      <c r="ABV25" s="26"/>
      <c r="ABW25" s="26"/>
      <c r="ABX25" s="26"/>
      <c r="ABY25" s="26"/>
      <c r="ABZ25" s="26"/>
      <c r="ACA25" s="26"/>
      <c r="ACB25" s="26"/>
      <c r="ACC25" s="26"/>
      <c r="ACD25" s="26"/>
      <c r="ACE25" s="26"/>
      <c r="ACF25" s="26"/>
      <c r="ACG25" s="26"/>
      <c r="ACH25" s="26"/>
      <c r="ACI25" s="26"/>
      <c r="ACJ25" s="26"/>
      <c r="ACK25" s="26"/>
      <c r="ACL25" s="26"/>
      <c r="ACM25" s="26"/>
      <c r="ACN25" s="26"/>
      <c r="ACO25" s="26"/>
      <c r="ACP25" s="26"/>
      <c r="ACQ25" s="26"/>
      <c r="ACR25" s="26"/>
      <c r="ACS25" s="26"/>
      <c r="ACT25" s="26"/>
      <c r="ACU25" s="26"/>
      <c r="ACV25" s="26"/>
      <c r="ACW25" s="26"/>
      <c r="ACX25" s="26"/>
      <c r="ACY25" s="26"/>
      <c r="ACZ25" s="26"/>
      <c r="ADA25" s="26"/>
      <c r="ADB25" s="26"/>
      <c r="ADC25" s="26"/>
      <c r="ADD25" s="26"/>
      <c r="ADE25" s="26"/>
      <c r="ADF25" s="26"/>
      <c r="ADG25" s="26"/>
      <c r="ADH25" s="26"/>
      <c r="ADI25" s="26"/>
      <c r="ADJ25" s="26"/>
      <c r="ADK25" s="26"/>
      <c r="ADL25" s="26"/>
      <c r="ADM25" s="26"/>
      <c r="ADN25" s="26"/>
      <c r="ADO25" s="26"/>
      <c r="ADP25" s="26"/>
      <c r="ADQ25" s="26"/>
      <c r="ADR25" s="26"/>
      <c r="ADS25" s="26"/>
      <c r="ADT25" s="26"/>
      <c r="ADU25" s="26"/>
      <c r="ADV25" s="26"/>
      <c r="ADW25" s="26"/>
      <c r="ADX25" s="26"/>
      <c r="ADY25" s="26"/>
      <c r="ADZ25" s="26"/>
      <c r="AEA25" s="26"/>
      <c r="AEB25" s="26"/>
      <c r="AEC25" s="26"/>
      <c r="AED25" s="26"/>
      <c r="AEE25" s="26"/>
      <c r="AEF25" s="26"/>
      <c r="AEG25" s="26"/>
      <c r="AEH25" s="26"/>
      <c r="AEI25" s="26"/>
      <c r="AEJ25" s="26"/>
      <c r="AEK25" s="26"/>
      <c r="AEL25" s="26"/>
      <c r="AEM25" s="26"/>
      <c r="AEN25" s="26"/>
      <c r="AEO25" s="26"/>
      <c r="AEP25" s="26"/>
      <c r="AEQ25" s="26"/>
      <c r="AER25" s="26"/>
      <c r="AES25" s="26"/>
      <c r="AET25" s="26"/>
      <c r="AEU25" s="26"/>
      <c r="AEV25" s="26"/>
      <c r="AEW25" s="26"/>
      <c r="AEX25" s="26"/>
      <c r="AEY25" s="26"/>
      <c r="AEZ25" s="26"/>
      <c r="AFA25" s="26"/>
      <c r="AFB25" s="26"/>
      <c r="AFC25" s="26"/>
      <c r="AFD25" s="26"/>
      <c r="AFE25" s="26"/>
      <c r="AFF25" s="26"/>
      <c r="AFG25" s="26"/>
      <c r="AFH25" s="26"/>
      <c r="AFI25" s="26"/>
      <c r="AFJ25" s="26"/>
      <c r="AFK25" s="26"/>
      <c r="AFL25" s="26"/>
      <c r="AFM25" s="26"/>
      <c r="AFN25" s="26"/>
      <c r="AFO25" s="26"/>
      <c r="AFP25" s="26"/>
      <c r="AFQ25" s="26"/>
      <c r="AFR25" s="26"/>
      <c r="AFS25" s="26"/>
      <c r="AFT25" s="26"/>
      <c r="AFU25" s="26"/>
      <c r="AFV25" s="26"/>
      <c r="AFW25" s="26"/>
      <c r="AFX25" s="26"/>
      <c r="AFY25" s="26"/>
      <c r="AFZ25" s="26"/>
      <c r="AGA25" s="26"/>
      <c r="AGB25" s="26"/>
      <c r="AGC25" s="26"/>
      <c r="AGD25" s="26"/>
      <c r="AGE25" s="26"/>
      <c r="AGF25" s="26"/>
      <c r="AGG25" s="26"/>
      <c r="AGH25" s="26"/>
      <c r="AGI25" s="26"/>
      <c r="AGJ25" s="26"/>
      <c r="AGK25" s="26"/>
      <c r="AGL25" s="26"/>
      <c r="AGM25" s="26"/>
      <c r="AGN25" s="26"/>
      <c r="AGO25" s="26"/>
      <c r="AGP25" s="26"/>
      <c r="AGQ25" s="26"/>
      <c r="AGR25" s="26"/>
      <c r="AGS25" s="26"/>
      <c r="AGT25" s="26"/>
      <c r="AGU25" s="26"/>
      <c r="AGV25" s="26"/>
      <c r="AGW25" s="26"/>
      <c r="AGX25" s="26"/>
      <c r="AGY25" s="26"/>
      <c r="AGZ25" s="26"/>
      <c r="AHA25" s="26"/>
      <c r="AHB25" s="26"/>
      <c r="AHC25" s="26"/>
      <c r="AHD25" s="26"/>
      <c r="AHE25" s="26"/>
      <c r="AHF25" s="26"/>
      <c r="AHG25" s="26"/>
      <c r="AHH25" s="26"/>
      <c r="AHI25" s="26"/>
      <c r="AHJ25" s="26"/>
      <c r="AHK25" s="26"/>
      <c r="AHL25" s="26"/>
      <c r="AHM25" s="26"/>
      <c r="AHN25" s="26"/>
      <c r="AHO25" s="26"/>
      <c r="AHP25" s="26"/>
      <c r="AHQ25" s="26"/>
      <c r="AHR25" s="26"/>
      <c r="AHS25" s="26"/>
      <c r="AHT25" s="26"/>
      <c r="AHU25" s="26"/>
      <c r="AHV25" s="26"/>
      <c r="AHW25" s="26"/>
      <c r="AHX25" s="26"/>
      <c r="AHY25" s="26"/>
      <c r="AHZ25" s="26"/>
      <c r="AIA25" s="26"/>
      <c r="AIB25" s="26"/>
      <c r="AIC25" s="26"/>
      <c r="AID25" s="26"/>
      <c r="AIE25" s="26"/>
      <c r="AIF25" s="26"/>
      <c r="AIG25" s="26"/>
      <c r="AIH25" s="26"/>
      <c r="AII25" s="26"/>
      <c r="AIJ25" s="26"/>
      <c r="AIK25" s="26"/>
      <c r="AIL25" s="26"/>
      <c r="AIM25" s="26"/>
      <c r="AIN25" s="26"/>
      <c r="AIO25" s="26"/>
      <c r="AIP25" s="26"/>
      <c r="AIQ25" s="26"/>
      <c r="AIR25" s="26"/>
      <c r="AIS25" s="26"/>
      <c r="AIT25" s="26"/>
      <c r="AIU25" s="26"/>
      <c r="AIV25" s="26"/>
      <c r="AIW25" s="26"/>
      <c r="AIX25" s="26"/>
      <c r="AIY25" s="26"/>
      <c r="AIZ25" s="26"/>
      <c r="AJA25" s="26"/>
      <c r="AJB25" s="26"/>
      <c r="AJC25" s="26"/>
      <c r="AJD25" s="26"/>
      <c r="AJE25" s="26"/>
      <c r="AJF25" s="26"/>
      <c r="AJG25" s="26"/>
      <c r="AJH25" s="26"/>
      <c r="AJI25" s="26"/>
      <c r="AJJ25" s="26"/>
      <c r="AJK25" s="26"/>
      <c r="AJL25" s="26"/>
      <c r="AJM25" s="26"/>
      <c r="AJN25" s="26"/>
      <c r="AJO25" s="26"/>
      <c r="AJP25" s="26"/>
      <c r="AJQ25" s="26"/>
      <c r="AJR25" s="26"/>
      <c r="AJS25" s="26"/>
      <c r="AJT25" s="26"/>
      <c r="AJU25" s="26"/>
      <c r="AJV25" s="26"/>
      <c r="AJW25" s="26"/>
      <c r="AJX25" s="26"/>
      <c r="AJY25" s="26"/>
      <c r="AJZ25" s="26"/>
      <c r="AKA25" s="26"/>
      <c r="AKB25" s="26"/>
      <c r="AKC25" s="26"/>
      <c r="AKD25" s="26"/>
      <c r="AKE25" s="26"/>
      <c r="AKF25" s="26"/>
      <c r="AKG25" s="26"/>
      <c r="AKH25" s="26"/>
      <c r="AKI25" s="26"/>
      <c r="AKJ25" s="26"/>
      <c r="AKK25" s="26"/>
      <c r="AKL25" s="26"/>
      <c r="AKM25" s="26"/>
      <c r="AKN25" s="26"/>
      <c r="AKO25" s="26"/>
      <c r="AKP25" s="26"/>
      <c r="AKQ25" s="26"/>
      <c r="AKR25" s="26"/>
      <c r="AKS25" s="26"/>
      <c r="AKT25" s="26"/>
      <c r="AKU25" s="26"/>
      <c r="AKV25" s="26"/>
      <c r="AKW25" s="26"/>
      <c r="AKX25" s="26"/>
      <c r="AKY25" s="26"/>
      <c r="AKZ25" s="26"/>
      <c r="ALA25" s="26"/>
      <c r="ALB25" s="26"/>
      <c r="ALC25" s="26"/>
      <c r="ALD25" s="26"/>
      <c r="ALE25" s="26"/>
      <c r="ALF25" s="26"/>
      <c r="ALG25" s="26"/>
      <c r="ALH25" s="26"/>
      <c r="ALI25" s="26"/>
      <c r="ALJ25" s="26"/>
      <c r="ALK25" s="26"/>
      <c r="ALL25" s="26"/>
      <c r="ALM25" s="26"/>
      <c r="ALN25" s="26"/>
      <c r="ALO25" s="26"/>
      <c r="ALP25" s="26"/>
      <c r="ALQ25" s="26"/>
      <c r="ALR25" s="26"/>
      <c r="ALS25" s="26"/>
      <c r="ALT25" s="26"/>
      <c r="ALU25" s="26"/>
      <c r="ALV25" s="26"/>
      <c r="ALW25" s="26"/>
      <c r="ALX25" s="26"/>
      <c r="ALY25" s="26"/>
      <c r="ALZ25" s="26"/>
      <c r="AMA25" s="26"/>
      <c r="AMB25" s="26"/>
    </row>
    <row r="26" ht="12.5" customHeight="1" spans="1:33" s="26" customFormat="1" x14ac:dyDescent="0.25">
      <c r="A26" s="28"/>
      <c r="B26" s="28"/>
      <c r="C26" s="28"/>
      <c r="D26" s="28" t="s">
        <v>13</v>
      </c>
      <c r="E26" s="28"/>
      <c r="F26" s="28"/>
      <c r="G26" s="28"/>
      <c r="H26" s="28"/>
      <c r="I26" s="28"/>
      <c r="J26" s="28"/>
      <c r="K26" s="28"/>
      <c r="L26" s="28"/>
      <c r="M26" s="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G26" s="18"/>
    </row>
    <row r="27" ht="12.5" customHeight="1" spans="1:33" s="26" customForma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30"/>
      <c r="M27" s="30"/>
      <c r="AG27" s="18"/>
    </row>
    <row r="28" ht="12.5" customHeight="1" spans="1:31" s="26" customFormat="1" x14ac:dyDescent="0.25">
      <c r="A28" s="28"/>
      <c r="B28" s="28"/>
      <c r="C28" s="28"/>
      <c r="D28" s="28" t="s">
        <v>14</v>
      </c>
      <c r="E28" s="28"/>
      <c r="F28" s="28"/>
      <c r="G28" s="28"/>
      <c r="H28" s="28"/>
      <c r="I28" s="28"/>
      <c r="J28" s="28"/>
      <c r="K28" s="28"/>
      <c r="L28" s="28"/>
      <c r="M28" s="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ht="12.5" customHeight="1" spans="1:13" s="26" customForma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30"/>
      <c r="M29" s="30"/>
    </row>
    <row r="30" ht="12.5" customHeight="1" spans="1:31" s="26" customFormat="1" x14ac:dyDescent="0.25">
      <c r="A30" s="28"/>
      <c r="B30" s="28"/>
      <c r="C30" s="28"/>
      <c r="D30" s="28" t="s">
        <v>15</v>
      </c>
      <c r="E30" s="28"/>
      <c r="F30" s="28"/>
      <c r="G30" s="28"/>
      <c r="H30" s="28"/>
      <c r="I30" s="28"/>
      <c r="J30" s="28"/>
      <c r="K30" s="28"/>
      <c r="L30" s="28"/>
      <c r="M30" s="28"/>
      <c r="N30" s="29"/>
      <c r="O30" s="29"/>
      <c r="P30" s="29"/>
      <c r="Q30" s="29"/>
      <c r="R30" s="29"/>
      <c r="S30" s="29"/>
      <c r="T30" s="29"/>
      <c r="U30" s="29"/>
      <c r="Y30" s="26" t="s">
        <v>16</v>
      </c>
      <c r="Z30" s="26"/>
      <c r="AA30" s="26"/>
      <c r="AB30" s="29"/>
      <c r="AC30" s="29"/>
      <c r="AD30" s="29"/>
      <c r="AE30" s="29"/>
    </row>
    <row r="31" ht="12.5" customHeight="1" spans="1:13" s="26" customForma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30"/>
      <c r="M31" s="30"/>
    </row>
    <row r="32" ht="12.5" customHeight="1" spans="1:31" s="26" customFormat="1" x14ac:dyDescent="0.25">
      <c r="A32" s="28"/>
      <c r="B32" s="28"/>
      <c r="C32" s="28"/>
      <c r="D32" s="28" t="s">
        <v>17</v>
      </c>
      <c r="E32" s="28"/>
      <c r="F32" s="28"/>
      <c r="G32" s="28"/>
      <c r="H32" s="28"/>
      <c r="I32" s="28"/>
      <c r="J32" s="28"/>
      <c r="K32" s="28"/>
      <c r="L32" s="28"/>
      <c r="M32" s="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.75" customHeight="1" spans="1:11" s="26" customForma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ht="12.75" customHeight="1" spans="1:31" s="26" customFormat="1" x14ac:dyDescent="0.25">
      <c r="A34" s="35" t="s">
        <v>19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</row>
    <row r="35" ht="12.75" customHeight="1" spans="1:31" s="26" customForma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</row>
    <row r="36" ht="12.5" customHeight="1" spans="1:11" s="36" customForma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ht="27" customHeight="1" spans="1:31" s="36" customFormat="1" x14ac:dyDescent="0.25">
      <c r="A37" s="38" t="s">
        <v>20</v>
      </c>
      <c r="B37" s="39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40" t="s">
        <v>21</v>
      </c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ht="15" customHeight="1" spans="1:11" s="36" customFormat="1" x14ac:dyDescent="0.25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ht="33" customHeight="1" spans="1:31" s="36" customFormat="1" x14ac:dyDescent="0.25">
      <c r="A39" s="43" t="s">
        <v>22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</row>
    <row r="40" ht="57" customHeight="1" spans="1:31" s="36" customFormat="1" x14ac:dyDescent="0.25">
      <c r="A40" s="43" t="s">
        <v>23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ht="15" customHeight="1" spans="1:11" s="36" customFormat="1" x14ac:dyDescent="0.25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42"/>
    </row>
    <row r="42" ht="15" customHeight="1" spans="1:11" s="36" customFormat="1" x14ac:dyDescent="0.25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</row>
    <row r="43" ht="12.5" customHeight="1" spans="1:11" s="36" customFormat="1" x14ac:dyDescent="0.25">
      <c r="A43" s="38" t="s">
        <v>24</v>
      </c>
      <c r="B43" s="38"/>
      <c r="C43" s="38"/>
      <c r="D43" s="38"/>
      <c r="E43" s="38"/>
      <c r="F43" s="38"/>
      <c r="G43" s="44"/>
      <c r="H43" s="44"/>
      <c r="I43" s="44"/>
      <c r="J43" s="44"/>
      <c r="K43" s="44"/>
    </row>
    <row r="44" ht="12.5" customHeight="1" spans="1:11" s="36" customFormat="1" x14ac:dyDescent="0.25">
      <c r="A44" s="38"/>
      <c r="B44" s="45"/>
      <c r="C44" s="45"/>
      <c r="D44" s="46"/>
      <c r="E44" s="46"/>
      <c r="F44" s="46"/>
      <c r="G44" s="47"/>
      <c r="H44" s="47"/>
      <c r="I44" s="47"/>
      <c r="J44" s="47"/>
      <c r="K44" s="47"/>
    </row>
    <row r="45" ht="12.5" customHeight="1" spans="1:31" s="36" customFormat="1" x14ac:dyDescent="0.25">
      <c r="A45" s="38"/>
      <c r="B45" s="38" t="s">
        <v>14</v>
      </c>
      <c r="C45" s="38"/>
      <c r="D45" s="38"/>
      <c r="E45" s="38"/>
      <c r="F45" s="3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U45" s="38" t="s">
        <v>25</v>
      </c>
      <c r="V45" s="38"/>
      <c r="W45" s="38"/>
      <c r="X45" s="29"/>
      <c r="Y45" s="29"/>
      <c r="Z45" s="29"/>
      <c r="AA45" s="29"/>
      <c r="AB45" s="29"/>
      <c r="AC45" s="29"/>
      <c r="AD45" s="29"/>
      <c r="AE45" s="29"/>
    </row>
    <row r="46" ht="12.5" customHeight="1" spans="1:31" s="36" customFormat="1" x14ac:dyDescent="0.25">
      <c r="A46" s="48"/>
      <c r="B46" s="36"/>
      <c r="C46" s="36"/>
      <c r="D46" s="36"/>
      <c r="E46" s="36"/>
      <c r="F46" s="36"/>
      <c r="G46" s="36"/>
      <c r="H46" s="36"/>
      <c r="X46" s="40" t="s">
        <v>26</v>
      </c>
      <c r="Y46" s="40"/>
      <c r="Z46" s="40"/>
      <c r="AA46" s="40"/>
      <c r="AB46" s="40"/>
      <c r="AC46" s="40"/>
      <c r="AD46" s="40"/>
      <c r="AE46" s="40"/>
    </row>
    <row r="47" ht="12.5" customHeight="1" spans="1:31" s="36" customFormat="1" x14ac:dyDescent="0.25">
      <c r="A47" s="48"/>
      <c r="X47" s="48"/>
      <c r="Y47" s="48"/>
      <c r="Z47" s="48"/>
      <c r="AA47" s="48"/>
      <c r="AB47" s="48"/>
      <c r="AC47" s="48"/>
      <c r="AD47" s="48"/>
      <c r="AE47" s="48"/>
    </row>
    <row r="48" ht="12.5" customHeight="1" spans="1:11" s="36" customFormat="1" x14ac:dyDescent="0.2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</row>
    <row r="49" ht="12.5" customHeight="1" spans="1:11" s="36" customFormat="1" x14ac:dyDescent="0.25">
      <c r="A49" s="38" t="s">
        <v>24</v>
      </c>
      <c r="B49" s="38"/>
      <c r="C49" s="38"/>
      <c r="D49" s="38"/>
      <c r="E49" s="38"/>
      <c r="F49" s="38"/>
      <c r="G49" s="44"/>
      <c r="H49" s="44"/>
      <c r="I49" s="44"/>
      <c r="J49" s="44"/>
      <c r="K49" s="44"/>
    </row>
    <row r="50" ht="12.5" customHeight="1" spans="1:11" s="36" customFormat="1" x14ac:dyDescent="0.25">
      <c r="A50" s="38"/>
      <c r="B50" s="45"/>
      <c r="C50" s="45"/>
      <c r="D50" s="46"/>
      <c r="E50" s="46"/>
      <c r="F50" s="46"/>
      <c r="G50" s="47"/>
      <c r="H50" s="47"/>
      <c r="I50" s="47"/>
      <c r="J50" s="47"/>
      <c r="K50" s="47"/>
    </row>
    <row r="51" ht="12.5" customHeight="1" spans="1:31" s="36" customFormat="1" x14ac:dyDescent="0.25">
      <c r="A51" s="38"/>
      <c r="B51" s="38" t="s">
        <v>14</v>
      </c>
      <c r="C51" s="38"/>
      <c r="D51" s="38"/>
      <c r="E51" s="38"/>
      <c r="F51" s="38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U51" s="48" t="s">
        <v>25</v>
      </c>
      <c r="V51" s="48"/>
      <c r="W51" s="48"/>
      <c r="X51" s="29"/>
      <c r="Y51" s="29"/>
      <c r="Z51" s="29"/>
      <c r="AA51" s="29"/>
      <c r="AB51" s="29"/>
      <c r="AC51" s="29"/>
      <c r="AD51" s="29"/>
      <c r="AE51" s="29"/>
    </row>
    <row r="52" ht="12.5" customHeight="1" spans="1:31" s="36" customFormat="1" x14ac:dyDescent="0.25">
      <c r="A52" s="48"/>
      <c r="B52" s="36"/>
      <c r="C52" s="36"/>
      <c r="D52" s="36"/>
      <c r="E52" s="36"/>
      <c r="F52" s="36"/>
      <c r="G52" s="36"/>
      <c r="H52" s="36"/>
      <c r="X52" s="40" t="s">
        <v>26</v>
      </c>
      <c r="Y52" s="40"/>
      <c r="Z52" s="40"/>
      <c r="AA52" s="40"/>
      <c r="AB52" s="40"/>
      <c r="AC52" s="40"/>
      <c r="AD52" s="40"/>
      <c r="AE52" s="40"/>
    </row>
  </sheetData>
  <sheetProtection sheet="1" algorithmName="SHA-512" hashValue="ofVV2OrWsaaO0HaICpVwQ9VWEWnpxNI7xr4uJaGvFp+lV6qjJnzuk5VFaYVqemjDyA6AyBnm+FpMMUqrws38ng==" saltValue="/oXEZM0zz5BNAMlG191mlQ==" spinCount="100000" objects="1" scenarios="1"/>
  <mergeCells count="133">
    <mergeCell ref="A1:AE1"/>
    <mergeCell ref="W2:AF2"/>
    <mergeCell ref="H3:R3"/>
    <mergeCell ref="C5:K5"/>
    <mergeCell ref="T5:AE5"/>
    <mergeCell ref="U10:AF10"/>
    <mergeCell ref="A12:AE12"/>
    <mergeCell ref="A13:K14"/>
    <mergeCell ref="A15:K15"/>
    <mergeCell ref="A16:C16"/>
    <mergeCell ref="D16:M16"/>
    <mergeCell ref="N16:AE16"/>
    <mergeCell ref="A17:K17"/>
    <mergeCell ref="A18:C18"/>
    <mergeCell ref="D18:M18"/>
    <mergeCell ref="N18:AE18"/>
    <mergeCell ref="A19:K19"/>
    <mergeCell ref="A20:C20"/>
    <mergeCell ref="D20:M20"/>
    <mergeCell ref="N20:U20"/>
    <mergeCell ref="Y20:AA20"/>
    <mergeCell ref="AB20:AE20"/>
    <mergeCell ref="A21:K21"/>
    <mergeCell ref="A22:C22"/>
    <mergeCell ref="D22:M22"/>
    <mergeCell ref="N22:AE22"/>
    <mergeCell ref="A23:K23"/>
    <mergeCell ref="A24:AE24"/>
    <mergeCell ref="A25:K25"/>
    <mergeCell ref="L25:Z25"/>
    <mergeCell ref="AP25:BD25"/>
    <mergeCell ref="BE25:BS25"/>
    <mergeCell ref="BT25:CH25"/>
    <mergeCell ref="CI25:CW25"/>
    <mergeCell ref="CX25:DL25"/>
    <mergeCell ref="DM25:EA25"/>
    <mergeCell ref="EB25:EP25"/>
    <mergeCell ref="EQ25:FE25"/>
    <mergeCell ref="FF25:FT25"/>
    <mergeCell ref="FU25:GI25"/>
    <mergeCell ref="GJ25:GX25"/>
    <mergeCell ref="GY25:HM25"/>
    <mergeCell ref="HN25:IB25"/>
    <mergeCell ref="IC25:IQ25"/>
    <mergeCell ref="IR25:JF25"/>
    <mergeCell ref="JG25:JU25"/>
    <mergeCell ref="JV25:KJ25"/>
    <mergeCell ref="KK25:KY25"/>
    <mergeCell ref="KZ25:LN25"/>
    <mergeCell ref="LO25:MC25"/>
    <mergeCell ref="MD25:MR25"/>
    <mergeCell ref="MS25:NG25"/>
    <mergeCell ref="NH25:NV25"/>
    <mergeCell ref="NW25:OK25"/>
    <mergeCell ref="OL25:OZ25"/>
    <mergeCell ref="PA25:PO25"/>
    <mergeCell ref="PP25:QD25"/>
    <mergeCell ref="QE25:QS25"/>
    <mergeCell ref="QT25:RH25"/>
    <mergeCell ref="RI25:RW25"/>
    <mergeCell ref="RX25:SL25"/>
    <mergeCell ref="SM25:TA25"/>
    <mergeCell ref="TB25:TP25"/>
    <mergeCell ref="TQ25:UE25"/>
    <mergeCell ref="UF25:UT25"/>
    <mergeCell ref="UU25:VI25"/>
    <mergeCell ref="VJ25:VX25"/>
    <mergeCell ref="VY25:WM25"/>
    <mergeCell ref="WN25:XB25"/>
    <mergeCell ref="XC25:XQ25"/>
    <mergeCell ref="XR25:YF25"/>
    <mergeCell ref="YG25:YU25"/>
    <mergeCell ref="YV25:ZJ25"/>
    <mergeCell ref="ZK25:ZY25"/>
    <mergeCell ref="ZZ25:AAN25"/>
    <mergeCell ref="AAO25:ABC25"/>
    <mergeCell ref="ABD25:ABR25"/>
    <mergeCell ref="ABS25:ACG25"/>
    <mergeCell ref="ACH25:ACV25"/>
    <mergeCell ref="ACW25:ADK25"/>
    <mergeCell ref="ADL25:ADZ25"/>
    <mergeCell ref="AEA25:AEO25"/>
    <mergeCell ref="AEP25:AFD25"/>
    <mergeCell ref="AFE25:AFS25"/>
    <mergeCell ref="AFT25:AGH25"/>
    <mergeCell ref="AGI25:AGW25"/>
    <mergeCell ref="AGX25:AHL25"/>
    <mergeCell ref="AHM25:AIA25"/>
    <mergeCell ref="AIB25:AIP25"/>
    <mergeCell ref="AIQ25:AJE25"/>
    <mergeCell ref="AJF25:AJT25"/>
    <mergeCell ref="AJU25:AKI25"/>
    <mergeCell ref="AKJ25:AKX25"/>
    <mergeCell ref="AKY25:ALM25"/>
    <mergeCell ref="ALN25:AMB25"/>
    <mergeCell ref="A26:C26"/>
    <mergeCell ref="D26:M26"/>
    <mergeCell ref="N26:AE26"/>
    <mergeCell ref="A27:K27"/>
    <mergeCell ref="A28:C28"/>
    <mergeCell ref="D28:M28"/>
    <mergeCell ref="N28:AE28"/>
    <mergeCell ref="A29:K29"/>
    <mergeCell ref="A30:C30"/>
    <mergeCell ref="D30:M30"/>
    <mergeCell ref="N30:U30"/>
    <mergeCell ref="Y30:AA30"/>
    <mergeCell ref="AB30:AE30"/>
    <mergeCell ref="A31:K31"/>
    <mergeCell ref="A32:C32"/>
    <mergeCell ref="D32:M32"/>
    <mergeCell ref="N32:AE32"/>
    <mergeCell ref="A34:AE35"/>
    <mergeCell ref="C37:R37"/>
    <mergeCell ref="T37:AE37"/>
    <mergeCell ref="A39:AE39"/>
    <mergeCell ref="A40:AE40"/>
    <mergeCell ref="A43:F43"/>
    <mergeCell ref="B44:C44"/>
    <mergeCell ref="B45:F45"/>
    <mergeCell ref="G45:S45"/>
    <mergeCell ref="U45:W45"/>
    <mergeCell ref="X45:AE45"/>
    <mergeCell ref="B46:H46"/>
    <mergeCell ref="X46:AE46"/>
    <mergeCell ref="A49:F49"/>
    <mergeCell ref="B50:C50"/>
    <mergeCell ref="B51:F51"/>
    <mergeCell ref="G51:S51"/>
    <mergeCell ref="U51:W51"/>
    <mergeCell ref="X51:AE51"/>
    <mergeCell ref="B52:H52"/>
    <mergeCell ref="X52:AE52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 scale="92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workbookViewId="0" zoomScale="100" zoomScaleNormal="70" view="pageBreakPreview">
      <selection activeCell="C16" sqref="C16"/>
    </sheetView>
  </sheetViews>
  <sheetFormatPr defaultRowHeight="17.25" outlineLevelRow="0" outlineLevelCol="0" x14ac:dyDescent="0" defaultColWidth="10" customHeight="1"/>
  <cols>
    <col min="1" max="1" width="12.81640625" style="50" customWidth="1"/>
    <col min="2" max="2" width="75.453125" style="50" customWidth="1"/>
    <col min="3" max="5" width="22.6328125" style="51" customWidth="1"/>
    <col min="6" max="16384" width="10" style="50" customWidth="1"/>
  </cols>
  <sheetData>
    <row r="1" ht="19.5" customHeight="1" spans="1:5" x14ac:dyDescent="0.25">
      <c r="A1" s="52" t="s">
        <v>27</v>
      </c>
      <c r="B1" s="52"/>
      <c r="C1" s="52"/>
      <c r="D1" s="52"/>
      <c r="E1" s="52"/>
    </row>
    <row r="2" ht="18" customHeight="1" spans="1:5" x14ac:dyDescent="0.25">
      <c r="A2" s="52"/>
      <c r="B2" s="52"/>
      <c r="C2" s="52"/>
      <c r="D2" s="52"/>
      <c r="E2" s="52"/>
    </row>
    <row r="3" ht="18" customHeight="1" spans="1:5" x14ac:dyDescent="0.25">
      <c r="A3" s="53"/>
      <c r="B3" s="54"/>
      <c r="C3" s="54"/>
      <c r="D3" s="52"/>
      <c r="E3" s="52"/>
    </row>
    <row r="4" ht="9.75" customHeight="1" spans="1:5" x14ac:dyDescent="0.25">
      <c r="A4" s="55"/>
      <c r="B4" s="55"/>
      <c r="C4" s="53"/>
      <c r="D4" s="52"/>
      <c r="E4" s="52"/>
    </row>
    <row r="5" ht="18" customHeight="1" spans="1:5" x14ac:dyDescent="0.25">
      <c r="A5" s="55"/>
      <c r="B5" s="55"/>
      <c r="C5" s="53"/>
      <c r="D5" s="52"/>
      <c r="E5" s="52"/>
    </row>
    <row r="6" ht="18" customHeight="1" spans="1:5" x14ac:dyDescent="0.25">
      <c r="A6" s="53"/>
      <c r="B6" s="55"/>
      <c r="C6" s="53"/>
      <c r="D6" s="52"/>
      <c r="E6" s="52"/>
    </row>
    <row r="7" ht="18" customHeight="1" spans="1:5" x14ac:dyDescent="0.25">
      <c r="A7" s="53"/>
      <c r="B7" s="55"/>
      <c r="C7" s="53"/>
      <c r="D7" s="52"/>
      <c r="E7" s="52"/>
    </row>
    <row r="8" ht="17.25" customHeight="1" spans="1:5" x14ac:dyDescent="0.25">
      <c r="A8" s="56" t="s">
        <v>28</v>
      </c>
      <c r="B8" s="57" t="s">
        <v>29</v>
      </c>
      <c r="C8" s="58" t="s">
        <v>30</v>
      </c>
      <c r="D8" s="58"/>
      <c r="E8" s="58"/>
    </row>
    <row r="9" ht="33" customHeight="1" spans="1:5" x14ac:dyDescent="0.25">
      <c r="A9" s="56"/>
      <c r="B9" s="57"/>
      <c r="C9" s="59" t="s">
        <v>31</v>
      </c>
      <c r="D9" s="59" t="s">
        <v>32</v>
      </c>
      <c r="E9" s="59" t="s">
        <v>33</v>
      </c>
    </row>
    <row r="10" ht="38.25" customHeight="1" spans="1:5" s="60" customFormat="1" x14ac:dyDescent="0.25">
      <c r="A10" s="61" t="s">
        <v>34</v>
      </c>
      <c r="B10" s="62" t="s">
        <v>35</v>
      </c>
      <c r="C10" s="63">
        <v>68</v>
      </c>
      <c r="D10" s="63">
        <v>68</v>
      </c>
      <c r="E10" s="63">
        <v>68</v>
      </c>
    </row>
    <row r="11" ht="38.25" customHeight="1" spans="1:5" s="60" customFormat="1" x14ac:dyDescent="0.25">
      <c r="A11" s="62" t="s">
        <v>36</v>
      </c>
      <c r="B11" s="62" t="s">
        <v>37</v>
      </c>
      <c r="C11" s="63">
        <v>68</v>
      </c>
      <c r="D11" s="63">
        <v>68</v>
      </c>
      <c r="E11" s="63">
        <v>68</v>
      </c>
    </row>
    <row r="12" ht="38.25" customHeight="1" spans="1:5" s="60" customFormat="1" x14ac:dyDescent="0.25">
      <c r="A12" s="62" t="s">
        <v>38</v>
      </c>
      <c r="B12" s="62" t="s">
        <v>39</v>
      </c>
      <c r="C12" s="63">
        <v>68</v>
      </c>
      <c r="D12" s="63">
        <v>32</v>
      </c>
      <c r="E12" s="63">
        <v>32</v>
      </c>
    </row>
    <row r="13" ht="38.25" customHeight="1" spans="1:5" s="60" customFormat="1" x14ac:dyDescent="0.25">
      <c r="A13" s="62" t="s">
        <v>40</v>
      </c>
      <c r="B13" s="62" t="s">
        <v>41</v>
      </c>
      <c r="C13" s="63">
        <v>68</v>
      </c>
      <c r="D13" s="63">
        <v>32</v>
      </c>
      <c r="E13" s="63">
        <v>32</v>
      </c>
    </row>
    <row r="14" ht="38.25" customHeight="1" spans="1:5" s="60" customFormat="1" x14ac:dyDescent="0.25">
      <c r="A14" s="62" t="s">
        <v>42</v>
      </c>
      <c r="B14" s="62" t="s">
        <v>43</v>
      </c>
      <c r="C14" s="63">
        <v>32</v>
      </c>
      <c r="D14" s="63">
        <v>68</v>
      </c>
      <c r="E14" s="63">
        <v>68</v>
      </c>
    </row>
    <row r="15" ht="38.25" customHeight="1" spans="1:5" s="60" customFormat="1" x14ac:dyDescent="0.25">
      <c r="A15" s="62" t="s">
        <v>44</v>
      </c>
      <c r="B15" s="62" t="s">
        <v>45</v>
      </c>
      <c r="C15" s="63">
        <v>32</v>
      </c>
      <c r="D15" s="63">
        <v>68</v>
      </c>
      <c r="E15" s="63">
        <v>68</v>
      </c>
    </row>
    <row r="16" ht="38.25" customHeight="1" spans="1:5" s="60" customFormat="1" x14ac:dyDescent="0.25">
      <c r="A16" s="62" t="s">
        <v>46</v>
      </c>
      <c r="B16" s="62" t="s">
        <v>47</v>
      </c>
      <c r="C16" s="63">
        <v>32</v>
      </c>
      <c r="D16" s="63">
        <v>68</v>
      </c>
      <c r="E16" s="63">
        <v>68</v>
      </c>
    </row>
    <row r="17" ht="38.25" customHeight="1" spans="1:5" s="60" customFormat="1" x14ac:dyDescent="0.25">
      <c r="A17" s="62" t="s">
        <v>48</v>
      </c>
      <c r="B17" s="62" t="s">
        <v>49</v>
      </c>
      <c r="C17" s="63">
        <v>68</v>
      </c>
      <c r="D17" s="63">
        <v>68</v>
      </c>
      <c r="E17" s="63">
        <v>68</v>
      </c>
    </row>
    <row r="18" ht="38.25" customHeight="1" spans="1:5" s="60" customFormat="1" x14ac:dyDescent="0.25">
      <c r="A18" s="62" t="s">
        <v>50</v>
      </c>
      <c r="B18" s="62" t="s">
        <v>51</v>
      </c>
      <c r="C18" s="63">
        <v>68</v>
      </c>
      <c r="D18" s="63">
        <v>68</v>
      </c>
      <c r="E18" s="63">
        <v>68</v>
      </c>
    </row>
    <row r="19" ht="38.25" customHeight="1" spans="1:5" s="60" customFormat="1" x14ac:dyDescent="0.25">
      <c r="A19" s="62" t="s">
        <v>52</v>
      </c>
      <c r="B19" s="62" t="s">
        <v>53</v>
      </c>
      <c r="C19" s="63">
        <v>68</v>
      </c>
      <c r="D19" s="63">
        <v>68</v>
      </c>
      <c r="E19" s="63">
        <v>68</v>
      </c>
    </row>
    <row r="20" ht="38.25" customHeight="1" spans="1:5" s="60" customFormat="1" x14ac:dyDescent="0.25">
      <c r="A20" s="62" t="s">
        <v>54</v>
      </c>
      <c r="B20" s="62" t="s">
        <v>55</v>
      </c>
      <c r="C20" s="63">
        <v>68</v>
      </c>
      <c r="D20" s="63">
        <v>68</v>
      </c>
      <c r="E20" s="63">
        <v>68</v>
      </c>
    </row>
    <row r="21" ht="38.25" customHeight="1" spans="1:5" s="60" customFormat="1" x14ac:dyDescent="0.25">
      <c r="A21" s="62" t="s">
        <v>56</v>
      </c>
      <c r="B21" s="62" t="s">
        <v>57</v>
      </c>
      <c r="C21" s="63">
        <v>68</v>
      </c>
      <c r="D21" s="63">
        <v>68</v>
      </c>
      <c r="E21" s="63">
        <v>68</v>
      </c>
    </row>
    <row r="22" ht="38.25" customHeight="1" spans="1:5" s="60" customFormat="1" x14ac:dyDescent="0.25">
      <c r="A22" s="62" t="s">
        <v>58</v>
      </c>
      <c r="B22" s="62" t="s">
        <v>59</v>
      </c>
      <c r="C22" s="63">
        <v>68</v>
      </c>
      <c r="D22" s="63">
        <v>68</v>
      </c>
      <c r="E22" s="63">
        <v>68</v>
      </c>
    </row>
    <row r="23" ht="38.25" customHeight="1" spans="1:5" s="60" customFormat="1" x14ac:dyDescent="0.25">
      <c r="A23" s="62" t="s">
        <v>60</v>
      </c>
      <c r="B23" s="62" t="s">
        <v>61</v>
      </c>
      <c r="C23" s="63">
        <v>68</v>
      </c>
      <c r="D23" s="63">
        <v>68</v>
      </c>
      <c r="E23" s="63">
        <v>68</v>
      </c>
    </row>
    <row r="24" ht="38.25" customHeight="1" spans="1:5" s="60" customFormat="1" x14ac:dyDescent="0.25">
      <c r="A24" s="62" t="s">
        <v>62</v>
      </c>
      <c r="B24" s="62" t="s">
        <v>63</v>
      </c>
      <c r="C24" s="63">
        <v>68</v>
      </c>
      <c r="D24" s="63">
        <v>68</v>
      </c>
      <c r="E24" s="63">
        <v>68</v>
      </c>
    </row>
    <row r="25" ht="38.25" customHeight="1" spans="1:5" s="60" customFormat="1" x14ac:dyDescent="0.25">
      <c r="A25" s="62" t="s">
        <v>64</v>
      </c>
      <c r="B25" s="62" t="s">
        <v>65</v>
      </c>
      <c r="C25" s="63">
        <v>68</v>
      </c>
      <c r="D25" s="63">
        <v>68</v>
      </c>
      <c r="E25" s="63">
        <v>68</v>
      </c>
    </row>
    <row r="26" ht="38.25" customHeight="1" spans="1:5" s="60" customFormat="1" x14ac:dyDescent="0.25">
      <c r="A26" s="62" t="s">
        <v>66</v>
      </c>
      <c r="B26" s="62" t="s">
        <v>67</v>
      </c>
      <c r="C26" s="63">
        <v>68</v>
      </c>
      <c r="D26" s="63">
        <v>68</v>
      </c>
      <c r="E26" s="63">
        <v>68</v>
      </c>
    </row>
    <row r="27" ht="38.25" customHeight="1" spans="1:5" s="60" customFormat="1" x14ac:dyDescent="0.25">
      <c r="A27" s="62" t="s">
        <v>68</v>
      </c>
      <c r="B27" s="62" t="s">
        <v>69</v>
      </c>
      <c r="C27" s="63">
        <v>68</v>
      </c>
      <c r="D27" s="63">
        <v>68</v>
      </c>
      <c r="E27" s="63">
        <v>68</v>
      </c>
    </row>
    <row r="28" ht="38.25" customHeight="1" spans="1:5" s="60" customFormat="1" x14ac:dyDescent="0.25">
      <c r="A28" s="62" t="s">
        <v>70</v>
      </c>
      <c r="B28" s="62" t="s">
        <v>71</v>
      </c>
      <c r="C28" s="63">
        <v>68</v>
      </c>
      <c r="D28" s="63">
        <v>68</v>
      </c>
      <c r="E28" s="63">
        <v>68</v>
      </c>
    </row>
    <row r="29" ht="38.25" customHeight="1" spans="1:5" s="60" customFormat="1" x14ac:dyDescent="0.25">
      <c r="A29" s="62" t="s">
        <v>72</v>
      </c>
      <c r="B29" s="62" t="s">
        <v>73</v>
      </c>
      <c r="C29" s="63">
        <v>68</v>
      </c>
      <c r="D29" s="63">
        <v>68</v>
      </c>
      <c r="E29" s="63">
        <v>68</v>
      </c>
    </row>
    <row r="30" ht="38.25" customHeight="1" spans="1:5" s="60" customFormat="1" x14ac:dyDescent="0.25">
      <c r="A30" s="62" t="s">
        <v>74</v>
      </c>
      <c r="B30" s="62" t="s">
        <v>75</v>
      </c>
      <c r="C30" s="63">
        <v>68</v>
      </c>
      <c r="D30" s="63">
        <v>68</v>
      </c>
      <c r="E30" s="63">
        <v>68</v>
      </c>
    </row>
    <row r="31" ht="38.25" customHeight="1" spans="1:5" s="60" customFormat="1" x14ac:dyDescent="0.25">
      <c r="A31" s="62" t="s">
        <v>76</v>
      </c>
      <c r="B31" s="62" t="s">
        <v>77</v>
      </c>
      <c r="C31" s="63">
        <v>68</v>
      </c>
      <c r="D31" s="63">
        <v>68</v>
      </c>
      <c r="E31" s="63">
        <v>68</v>
      </c>
    </row>
    <row r="32" ht="38.25" customHeight="1" spans="1:5" s="60" customFormat="1" x14ac:dyDescent="0.25">
      <c r="A32" s="62" t="s">
        <v>78</v>
      </c>
      <c r="B32" s="62" t="s">
        <v>79</v>
      </c>
      <c r="C32" s="63">
        <v>68</v>
      </c>
      <c r="D32" s="63">
        <v>68</v>
      </c>
      <c r="E32" s="63">
        <v>68</v>
      </c>
    </row>
    <row r="33" ht="38.25" customHeight="1" spans="1:5" s="60" customFormat="1" x14ac:dyDescent="0.25">
      <c r="A33" s="62" t="s">
        <v>80</v>
      </c>
      <c r="B33" s="62" t="s">
        <v>81</v>
      </c>
      <c r="C33" s="63">
        <v>68</v>
      </c>
      <c r="D33" s="63">
        <v>68</v>
      </c>
      <c r="E33" s="63">
        <v>68</v>
      </c>
    </row>
    <row r="34" ht="38.25" customHeight="1" spans="1:5" s="60" customFormat="1" x14ac:dyDescent="0.25">
      <c r="A34" s="62" t="s">
        <v>82</v>
      </c>
      <c r="B34" s="62" t="s">
        <v>83</v>
      </c>
      <c r="C34" s="63">
        <v>68</v>
      </c>
      <c r="D34" s="63">
        <v>68</v>
      </c>
      <c r="E34" s="63">
        <v>68</v>
      </c>
    </row>
    <row r="35" ht="38.25" customHeight="1" spans="1:5" s="60" customFormat="1" x14ac:dyDescent="0.25">
      <c r="A35" s="62" t="s">
        <v>84</v>
      </c>
      <c r="B35" s="62" t="s">
        <v>85</v>
      </c>
      <c r="C35" s="63">
        <v>68</v>
      </c>
      <c r="D35" s="63">
        <v>68</v>
      </c>
      <c r="E35" s="63">
        <v>68</v>
      </c>
    </row>
    <row r="36" ht="38.25" customHeight="1" spans="1:5" s="60" customFormat="1" x14ac:dyDescent="0.25">
      <c r="A36" s="62" t="s">
        <v>86</v>
      </c>
      <c r="B36" s="62" t="s">
        <v>87</v>
      </c>
      <c r="C36" s="63">
        <v>68</v>
      </c>
      <c r="D36" s="63">
        <v>68</v>
      </c>
      <c r="E36" s="63">
        <v>68</v>
      </c>
    </row>
    <row r="37" ht="38.25" customHeight="1" spans="1:5" s="60" customFormat="1" x14ac:dyDescent="0.25">
      <c r="A37" s="62" t="s">
        <v>88</v>
      </c>
      <c r="B37" s="62" t="s">
        <v>89</v>
      </c>
      <c r="C37" s="63">
        <v>68</v>
      </c>
      <c r="D37" s="63">
        <v>68</v>
      </c>
      <c r="E37" s="63">
        <v>68</v>
      </c>
    </row>
    <row r="38" ht="38.25" customHeight="1" spans="1:5" s="60" customFormat="1" x14ac:dyDescent="0.25">
      <c r="A38" s="62" t="s">
        <v>90</v>
      </c>
      <c r="B38" s="62" t="s">
        <v>91</v>
      </c>
      <c r="C38" s="63">
        <v>68</v>
      </c>
      <c r="D38" s="63">
        <v>68</v>
      </c>
      <c r="E38" s="63">
        <v>68</v>
      </c>
    </row>
    <row r="39" ht="38.25" customHeight="1" spans="1:5" s="60" customFormat="1" x14ac:dyDescent="0.25">
      <c r="A39" s="62" t="s">
        <v>92</v>
      </c>
      <c r="B39" s="62" t="s">
        <v>93</v>
      </c>
      <c r="C39" s="63">
        <v>68</v>
      </c>
      <c r="D39" s="63">
        <v>68</v>
      </c>
      <c r="E39" s="63">
        <v>68</v>
      </c>
    </row>
    <row r="40" ht="38.25" customHeight="1" spans="1:5" s="60" customFormat="1" x14ac:dyDescent="0.25">
      <c r="A40" s="62" t="s">
        <v>94</v>
      </c>
      <c r="B40" s="62" t="s">
        <v>95</v>
      </c>
      <c r="C40" s="63">
        <v>68</v>
      </c>
      <c r="D40" s="63">
        <v>68</v>
      </c>
      <c r="E40" s="63">
        <v>68</v>
      </c>
    </row>
    <row r="41" ht="38.25" customHeight="1" spans="1:5" s="60" customFormat="1" x14ac:dyDescent="0.25">
      <c r="A41" s="62" t="s">
        <v>96</v>
      </c>
      <c r="B41" s="62" t="s">
        <v>97</v>
      </c>
      <c r="C41" s="63">
        <v>68</v>
      </c>
      <c r="D41" s="63">
        <v>68</v>
      </c>
      <c r="E41" s="63">
        <v>68</v>
      </c>
    </row>
    <row r="42" ht="38.25" customHeight="1" spans="1:5" s="60" customFormat="1" x14ac:dyDescent="0.25">
      <c r="A42" s="62" t="s">
        <v>98</v>
      </c>
      <c r="B42" s="62" t="s">
        <v>99</v>
      </c>
      <c r="C42" s="63">
        <v>68</v>
      </c>
      <c r="D42" s="63">
        <v>68</v>
      </c>
      <c r="E42" s="63">
        <v>68</v>
      </c>
    </row>
    <row r="43" ht="38.25" customHeight="1" spans="1:5" s="60" customFormat="1" x14ac:dyDescent="0.25">
      <c r="A43" s="62" t="s">
        <v>100</v>
      </c>
      <c r="B43" s="62" t="s">
        <v>101</v>
      </c>
      <c r="C43" s="63">
        <v>68</v>
      </c>
      <c r="D43" s="63">
        <v>68</v>
      </c>
      <c r="E43" s="63">
        <v>68</v>
      </c>
    </row>
    <row r="44" ht="38.25" customHeight="1" spans="1:5" s="60" customFormat="1" x14ac:dyDescent="0.25">
      <c r="A44" s="62" t="s">
        <v>102</v>
      </c>
      <c r="B44" s="62" t="s">
        <v>103</v>
      </c>
      <c r="C44" s="63">
        <v>68</v>
      </c>
      <c r="D44" s="63">
        <v>68</v>
      </c>
      <c r="E44" s="63">
        <v>68</v>
      </c>
    </row>
    <row r="45" ht="38.25" customHeight="1" spans="1:5" s="60" customFormat="1" x14ac:dyDescent="0.25">
      <c r="A45" s="62" t="s">
        <v>104</v>
      </c>
      <c r="B45" s="62" t="s">
        <v>105</v>
      </c>
      <c r="C45" s="63">
        <v>68</v>
      </c>
      <c r="D45" s="63">
        <v>68</v>
      </c>
      <c r="E45" s="63">
        <v>68</v>
      </c>
    </row>
    <row r="46" ht="38.25" customHeight="1" spans="1:5" s="60" customFormat="1" x14ac:dyDescent="0.25">
      <c r="A46" s="62" t="s">
        <v>106</v>
      </c>
      <c r="B46" s="62" t="s">
        <v>107</v>
      </c>
      <c r="C46" s="63">
        <v>68</v>
      </c>
      <c r="D46" s="63">
        <v>68</v>
      </c>
      <c r="E46" s="63">
        <v>68</v>
      </c>
    </row>
    <row r="47" ht="38.25" customHeight="1" spans="1:5" s="60" customFormat="1" x14ac:dyDescent="0.25">
      <c r="A47" s="62" t="s">
        <v>108</v>
      </c>
      <c r="B47" s="62" t="s">
        <v>109</v>
      </c>
      <c r="C47" s="63">
        <v>68</v>
      </c>
      <c r="D47" s="63">
        <v>68</v>
      </c>
      <c r="E47" s="63">
        <v>68</v>
      </c>
    </row>
    <row r="48" ht="38.25" customHeight="1" spans="1:5" s="60" customFormat="1" x14ac:dyDescent="0.25">
      <c r="A48" s="62" t="s">
        <v>110</v>
      </c>
      <c r="B48" s="62" t="s">
        <v>111</v>
      </c>
      <c r="C48" s="63">
        <v>68</v>
      </c>
      <c r="D48" s="63">
        <v>68</v>
      </c>
      <c r="E48" s="63">
        <v>68</v>
      </c>
    </row>
    <row r="49" ht="17.5" customHeight="1" spans="3:5" s="60" customFormat="1" x14ac:dyDescent="0.25">
      <c r="C49" s="64"/>
      <c r="D49" s="64"/>
      <c r="E49" s="64"/>
    </row>
    <row r="50" ht="17.5" customHeight="1" spans="3:5" s="60" customFormat="1" x14ac:dyDescent="0.25">
      <c r="C50" s="64"/>
      <c r="D50" s="64"/>
      <c r="E50" s="64"/>
    </row>
    <row r="51" ht="17.5" customHeight="1" spans="3:5" s="60" customFormat="1" x14ac:dyDescent="0.25">
      <c r="C51" s="64"/>
      <c r="D51" s="64"/>
      <c r="E51" s="64"/>
    </row>
    <row r="52" ht="17.5" customHeight="1" spans="3:5" s="60" customFormat="1" x14ac:dyDescent="0.25">
      <c r="C52" s="64"/>
      <c r="D52" s="64"/>
      <c r="E52" s="64"/>
    </row>
    <row r="53" ht="17.5" customHeight="1" spans="3:5" s="60" customFormat="1" x14ac:dyDescent="0.25">
      <c r="C53" s="64"/>
      <c r="D53" s="64"/>
      <c r="E53" s="64"/>
    </row>
    <row r="54" ht="17.5" customHeight="1" spans="3:5" s="60" customFormat="1" x14ac:dyDescent="0.25">
      <c r="C54" s="64"/>
      <c r="D54" s="64"/>
      <c r="E54" s="64"/>
    </row>
    <row r="55" ht="17.5" customHeight="1" spans="3:5" s="60" customFormat="1" x14ac:dyDescent="0.25">
      <c r="C55" s="64"/>
      <c r="D55" s="64"/>
      <c r="E55" s="64"/>
    </row>
    <row r="56" ht="17.5" customHeight="1" spans="3:5" s="60" customFormat="1" x14ac:dyDescent="0.25">
      <c r="C56" s="64"/>
      <c r="D56" s="64"/>
      <c r="E56" s="64"/>
    </row>
    <row r="57" ht="17.5" customHeight="1" spans="3:5" s="60" customFormat="1" x14ac:dyDescent="0.25">
      <c r="C57" s="64"/>
      <c r="D57" s="64"/>
      <c r="E57" s="64"/>
    </row>
    <row r="58" ht="17.5" customHeight="1" spans="3:5" s="60" customFormat="1" x14ac:dyDescent="0.25">
      <c r="C58" s="64"/>
      <c r="D58" s="64"/>
      <c r="E58" s="64"/>
    </row>
    <row r="59" ht="17.5" customHeight="1" spans="3:5" s="60" customFormat="1" x14ac:dyDescent="0.25">
      <c r="C59" s="64"/>
      <c r="D59" s="64"/>
      <c r="E59" s="64"/>
    </row>
    <row r="60" ht="17.5" customHeight="1" spans="3:5" s="60" customFormat="1" x14ac:dyDescent="0.25">
      <c r="C60" s="64"/>
      <c r="D60" s="64"/>
      <c r="E60" s="64"/>
    </row>
    <row r="61" ht="17.5" customHeight="1" spans="3:5" s="60" customFormat="1" x14ac:dyDescent="0.25">
      <c r="C61" s="64"/>
      <c r="D61" s="64"/>
      <c r="E61" s="64"/>
    </row>
    <row r="62" ht="17.5" customHeight="1" spans="3:5" s="60" customFormat="1" x14ac:dyDescent="0.25">
      <c r="C62" s="64"/>
      <c r="D62" s="64"/>
      <c r="E62" s="64"/>
    </row>
    <row r="63" ht="17.5" customHeight="1" spans="3:5" s="60" customFormat="1" x14ac:dyDescent="0.25">
      <c r="C63" s="64"/>
      <c r="D63" s="64"/>
      <c r="E63" s="64"/>
    </row>
    <row r="64" ht="17.5" customHeight="1" spans="3:5" s="60" customFormat="1" x14ac:dyDescent="0.25">
      <c r="C64" s="64"/>
      <c r="D64" s="64"/>
      <c r="E64" s="64"/>
    </row>
    <row r="65" ht="17.5" customHeight="1" spans="3:5" s="60" customFormat="1" x14ac:dyDescent="0.25">
      <c r="C65" s="64"/>
      <c r="D65" s="64"/>
      <c r="E65" s="64"/>
    </row>
    <row r="66" ht="17.5" customHeight="1" spans="3:5" s="60" customFormat="1" x14ac:dyDescent="0.25">
      <c r="C66" s="64"/>
      <c r="D66" s="64"/>
      <c r="E66" s="64"/>
    </row>
    <row r="67" ht="17.5" customHeight="1" spans="3:5" s="60" customFormat="1" x14ac:dyDescent="0.25">
      <c r="C67" s="64"/>
      <c r="D67" s="64"/>
      <c r="E67" s="64"/>
    </row>
    <row r="68" ht="17.5" customHeight="1" spans="3:5" s="60" customFormat="1" x14ac:dyDescent="0.25">
      <c r="C68" s="64"/>
      <c r="D68" s="64"/>
      <c r="E68" s="64"/>
    </row>
    <row r="69" ht="17.5" customHeight="1" spans="3:5" s="60" customFormat="1" x14ac:dyDescent="0.25">
      <c r="C69" s="64"/>
      <c r="D69" s="64"/>
      <c r="E69" s="64"/>
    </row>
    <row r="70" ht="17.5" customHeight="1" spans="3:5" s="60" customFormat="1" x14ac:dyDescent="0.25">
      <c r="C70" s="64"/>
      <c r="D70" s="64"/>
      <c r="E70" s="64"/>
    </row>
    <row r="71" ht="17.5" customHeight="1" spans="3:5" s="60" customFormat="1" x14ac:dyDescent="0.25">
      <c r="C71" s="64"/>
      <c r="D71" s="64"/>
      <c r="E71" s="64"/>
    </row>
    <row r="72" ht="17.5" customHeight="1" spans="3:5" s="60" customFormat="1" x14ac:dyDescent="0.25">
      <c r="C72" s="64"/>
      <c r="D72" s="64"/>
      <c r="E72" s="64"/>
    </row>
    <row r="73" ht="17.5" customHeight="1" spans="3:5" s="60" customFormat="1" x14ac:dyDescent="0.25">
      <c r="C73" s="64"/>
      <c r="D73" s="64"/>
      <c r="E73" s="64"/>
    </row>
    <row r="74" ht="17.5" customHeight="1" spans="3:5" s="60" customFormat="1" x14ac:dyDescent="0.25">
      <c r="C74" s="64"/>
      <c r="D74" s="64"/>
      <c r="E74" s="64"/>
    </row>
    <row r="75" ht="17.5" customHeight="1" spans="3:5" s="60" customFormat="1" x14ac:dyDescent="0.25">
      <c r="C75" s="64"/>
      <c r="D75" s="64"/>
      <c r="E75" s="64"/>
    </row>
    <row r="76" ht="17.5" customHeight="1" spans="3:5" s="60" customFormat="1" x14ac:dyDescent="0.25">
      <c r="C76" s="64"/>
      <c r="D76" s="64"/>
      <c r="E76" s="64"/>
    </row>
    <row r="77" ht="17.5" customHeight="1" spans="3:5" s="60" customFormat="1" x14ac:dyDescent="0.25">
      <c r="C77" s="64"/>
      <c r="D77" s="64"/>
      <c r="E77" s="64"/>
    </row>
    <row r="78" ht="17.5" customHeight="1" spans="3:5" s="60" customFormat="1" x14ac:dyDescent="0.25">
      <c r="C78" s="64"/>
      <c r="D78" s="64"/>
      <c r="E78" s="64"/>
    </row>
    <row r="79" ht="17.5" customHeight="1" spans="3:5" s="60" customFormat="1" x14ac:dyDescent="0.25">
      <c r="C79" s="64"/>
      <c r="D79" s="64"/>
      <c r="E79" s="64"/>
    </row>
    <row r="80" ht="17.5" customHeight="1" spans="3:5" s="60" customFormat="1" x14ac:dyDescent="0.25">
      <c r="C80" s="64"/>
      <c r="D80" s="64"/>
      <c r="E80" s="64"/>
    </row>
    <row r="81" ht="17.5" customHeight="1" spans="3:5" s="60" customFormat="1" x14ac:dyDescent="0.25">
      <c r="C81" s="64"/>
      <c r="D81" s="64"/>
      <c r="E81" s="64"/>
    </row>
    <row r="82" ht="17.5" customHeight="1" spans="3:5" s="60" customFormat="1" x14ac:dyDescent="0.25">
      <c r="C82" s="64"/>
      <c r="D82" s="64"/>
      <c r="E82" s="64"/>
    </row>
    <row r="83" ht="17.5" customHeight="1" spans="3:5" s="60" customFormat="1" x14ac:dyDescent="0.25">
      <c r="C83" s="64"/>
      <c r="D83" s="64"/>
      <c r="E83" s="64"/>
    </row>
    <row r="84" ht="17.5" customHeight="1" spans="3:5" s="60" customFormat="1" x14ac:dyDescent="0.25">
      <c r="C84" s="64"/>
      <c r="D84" s="64"/>
      <c r="E84" s="64"/>
    </row>
    <row r="85" ht="17.5" customHeight="1" spans="3:5" s="60" customFormat="1" x14ac:dyDescent="0.25">
      <c r="C85" s="64"/>
      <c r="D85" s="64"/>
      <c r="E85" s="64"/>
    </row>
    <row r="86" ht="17.5" customHeight="1" spans="3:5" s="60" customFormat="1" x14ac:dyDescent="0.25">
      <c r="C86" s="64"/>
      <c r="D86" s="64"/>
      <c r="E86" s="64"/>
    </row>
    <row r="87" ht="17.5" customHeight="1" spans="3:5" s="60" customFormat="1" x14ac:dyDescent="0.25">
      <c r="C87" s="64"/>
      <c r="D87" s="64"/>
      <c r="E87" s="64"/>
    </row>
    <row r="88" ht="17.5" customHeight="1" spans="3:5" s="60" customFormat="1" x14ac:dyDescent="0.25">
      <c r="C88" s="64"/>
      <c r="D88" s="64"/>
      <c r="E88" s="64"/>
    </row>
    <row r="89" ht="17.5" customHeight="1" spans="3:5" s="60" customFormat="1" x14ac:dyDescent="0.25">
      <c r="C89" s="64"/>
      <c r="D89" s="64"/>
      <c r="E89" s="64"/>
    </row>
    <row r="90" ht="17.5" customHeight="1" spans="3:5" s="60" customFormat="1" x14ac:dyDescent="0.25">
      <c r="C90" s="64"/>
      <c r="D90" s="64"/>
      <c r="E90" s="64"/>
    </row>
    <row r="91" ht="17.5" customHeight="1" spans="3:5" s="60" customFormat="1" x14ac:dyDescent="0.25">
      <c r="C91" s="64"/>
      <c r="D91" s="64"/>
      <c r="E91" s="64"/>
    </row>
    <row r="92" ht="17.5" customHeight="1" spans="3:5" s="60" customFormat="1" x14ac:dyDescent="0.25">
      <c r="C92" s="64"/>
      <c r="D92" s="64"/>
      <c r="E92" s="64"/>
    </row>
    <row r="93" ht="17.5" customHeight="1" spans="3:5" s="60" customFormat="1" x14ac:dyDescent="0.25">
      <c r="C93" s="64"/>
      <c r="D93" s="64"/>
      <c r="E93" s="64"/>
    </row>
    <row r="94" ht="17.5" customHeight="1" spans="3:5" s="60" customFormat="1" x14ac:dyDescent="0.25">
      <c r="C94" s="64"/>
      <c r="D94" s="64"/>
      <c r="E94" s="64"/>
    </row>
    <row r="95" ht="17.5" customHeight="1" spans="3:5" s="60" customFormat="1" x14ac:dyDescent="0.25">
      <c r="C95" s="64"/>
      <c r="D95" s="64"/>
      <c r="E95" s="64"/>
    </row>
    <row r="96" ht="17.5" customHeight="1" spans="3:5" s="60" customFormat="1" x14ac:dyDescent="0.25">
      <c r="C96" s="64"/>
      <c r="D96" s="64"/>
      <c r="E96" s="64"/>
    </row>
    <row r="97" ht="17.5" customHeight="1" spans="3:5" s="60" customFormat="1" x14ac:dyDescent="0.25">
      <c r="C97" s="64"/>
      <c r="D97" s="64"/>
      <c r="E97" s="64"/>
    </row>
    <row r="98" ht="17.5" customHeight="1" spans="3:5" s="60" customFormat="1" x14ac:dyDescent="0.25">
      <c r="C98" s="64"/>
      <c r="D98" s="64"/>
      <c r="E98" s="64"/>
    </row>
    <row r="99" ht="17.5" customHeight="1" spans="3:5" s="60" customFormat="1" x14ac:dyDescent="0.25">
      <c r="C99" s="64"/>
      <c r="D99" s="64"/>
      <c r="E99" s="64"/>
    </row>
    <row r="100" ht="17.5" customHeight="1" spans="3:5" s="60" customFormat="1" x14ac:dyDescent="0.25">
      <c r="C100" s="64"/>
      <c r="D100" s="64"/>
      <c r="E100" s="64"/>
    </row>
    <row r="101" ht="17.5" customHeight="1" spans="3:5" s="60" customFormat="1" x14ac:dyDescent="0.25">
      <c r="C101" s="64"/>
      <c r="D101" s="64"/>
      <c r="E101" s="64"/>
    </row>
    <row r="102" ht="17.5" customHeight="1" spans="3:5" s="60" customFormat="1" x14ac:dyDescent="0.25">
      <c r="C102" s="64"/>
      <c r="D102" s="64"/>
      <c r="E102" s="64"/>
    </row>
    <row r="103" ht="17.5" customHeight="1" spans="3:5" s="60" customFormat="1" x14ac:dyDescent="0.25">
      <c r="C103" s="64"/>
      <c r="D103" s="64"/>
      <c r="E103" s="64"/>
    </row>
    <row r="104" ht="17.5" customHeight="1" spans="3:5" s="60" customFormat="1" x14ac:dyDescent="0.25">
      <c r="C104" s="64"/>
      <c r="D104" s="64"/>
      <c r="E104" s="64"/>
    </row>
    <row r="105" ht="17.5" customHeight="1" spans="3:5" s="60" customFormat="1" x14ac:dyDescent="0.25">
      <c r="C105" s="64"/>
      <c r="D105" s="64"/>
      <c r="E105" s="64"/>
    </row>
    <row r="106" ht="17.5" customHeight="1" spans="3:5" s="60" customFormat="1" x14ac:dyDescent="0.25">
      <c r="C106" s="64"/>
      <c r="D106" s="64"/>
      <c r="E106" s="64"/>
    </row>
    <row r="107" ht="17.5" customHeight="1" spans="3:5" s="60" customFormat="1" x14ac:dyDescent="0.25">
      <c r="C107" s="64"/>
      <c r="D107" s="64"/>
      <c r="E107" s="64"/>
    </row>
    <row r="108" ht="17.5" customHeight="1" spans="3:5" s="60" customFormat="1" x14ac:dyDescent="0.25">
      <c r="C108" s="64"/>
      <c r="D108" s="64"/>
      <c r="E108" s="64"/>
    </row>
    <row r="109" ht="17.5" customHeight="1" spans="3:5" s="60" customFormat="1" x14ac:dyDescent="0.25">
      <c r="C109" s="64"/>
      <c r="D109" s="64"/>
      <c r="E109" s="64"/>
    </row>
    <row r="110" ht="17.5" customHeight="1" spans="3:5" s="60" customFormat="1" x14ac:dyDescent="0.25">
      <c r="C110" s="64"/>
      <c r="D110" s="64"/>
      <c r="E110" s="64"/>
    </row>
    <row r="111" ht="17.5" customHeight="1" spans="3:5" s="60" customFormat="1" x14ac:dyDescent="0.25">
      <c r="C111" s="64"/>
      <c r="D111" s="64"/>
      <c r="E111" s="64"/>
    </row>
    <row r="112" ht="17.5" customHeight="1" spans="3:5" s="60" customFormat="1" x14ac:dyDescent="0.25">
      <c r="C112" s="64"/>
      <c r="D112" s="64"/>
      <c r="E112" s="64"/>
    </row>
    <row r="113" ht="17.5" customHeight="1" spans="3:5" s="60" customFormat="1" x14ac:dyDescent="0.25">
      <c r="C113" s="64"/>
      <c r="D113" s="64"/>
      <c r="E113" s="64"/>
    </row>
    <row r="114" ht="17.5" customHeight="1" spans="3:5" s="60" customFormat="1" x14ac:dyDescent="0.25">
      <c r="C114" s="64"/>
      <c r="D114" s="64"/>
      <c r="E114" s="64"/>
    </row>
    <row r="115" ht="17.5" customHeight="1" spans="3:5" s="60" customFormat="1" x14ac:dyDescent="0.25">
      <c r="C115" s="64"/>
      <c r="D115" s="64"/>
      <c r="E115" s="64"/>
    </row>
    <row r="116" ht="17.5" customHeight="1" spans="3:5" s="60" customFormat="1" x14ac:dyDescent="0.25">
      <c r="C116" s="64"/>
      <c r="D116" s="64"/>
      <c r="E116" s="64"/>
    </row>
    <row r="117" ht="17.5" customHeight="1" spans="3:5" s="60" customFormat="1" x14ac:dyDescent="0.25">
      <c r="C117" s="64"/>
      <c r="D117" s="64"/>
      <c r="E117" s="64"/>
    </row>
    <row r="118" ht="17.5" customHeight="1" spans="3:5" s="60" customFormat="1" x14ac:dyDescent="0.25">
      <c r="C118" s="64"/>
      <c r="D118" s="64"/>
      <c r="E118" s="64"/>
    </row>
    <row r="119" ht="17.5" customHeight="1" spans="3:5" s="60" customFormat="1" x14ac:dyDescent="0.25">
      <c r="C119" s="64"/>
      <c r="D119" s="64"/>
      <c r="E119" s="64"/>
    </row>
    <row r="120" ht="17.5" customHeight="1" spans="3:5" s="60" customFormat="1" x14ac:dyDescent="0.25">
      <c r="C120" s="64"/>
      <c r="D120" s="64"/>
      <c r="E120" s="64"/>
    </row>
    <row r="121" ht="17.5" customHeight="1" spans="3:5" s="60" customFormat="1" x14ac:dyDescent="0.25">
      <c r="C121" s="64"/>
      <c r="D121" s="64"/>
      <c r="E121" s="64"/>
    </row>
    <row r="122" ht="17.5" customHeight="1" spans="3:5" s="60" customFormat="1" x14ac:dyDescent="0.25">
      <c r="C122" s="64"/>
      <c r="D122" s="64"/>
      <c r="E122" s="64"/>
    </row>
    <row r="123" ht="17.5" customHeight="1" spans="3:5" s="60" customFormat="1" x14ac:dyDescent="0.25">
      <c r="C123" s="64"/>
      <c r="D123" s="64"/>
      <c r="E123" s="64"/>
    </row>
    <row r="124" ht="17.5" customHeight="1" spans="3:5" s="60" customFormat="1" x14ac:dyDescent="0.25">
      <c r="C124" s="64"/>
      <c r="D124" s="64"/>
      <c r="E124" s="64"/>
    </row>
    <row r="125" ht="17.5" customHeight="1" spans="3:5" s="60" customFormat="1" x14ac:dyDescent="0.25">
      <c r="C125" s="64"/>
      <c r="D125" s="64"/>
      <c r="E125" s="64"/>
    </row>
    <row r="126" ht="17.5" customHeight="1" spans="3:5" s="60" customFormat="1" x14ac:dyDescent="0.25">
      <c r="C126" s="64"/>
      <c r="D126" s="64"/>
      <c r="E126" s="64"/>
    </row>
    <row r="127" ht="17.5" customHeight="1" spans="3:5" s="60" customFormat="1" x14ac:dyDescent="0.25">
      <c r="C127" s="64"/>
      <c r="D127" s="64"/>
      <c r="E127" s="64"/>
    </row>
    <row r="128" ht="17.5" customHeight="1" spans="3:5" s="60" customFormat="1" x14ac:dyDescent="0.25">
      <c r="C128" s="64"/>
      <c r="D128" s="64"/>
      <c r="E128" s="64"/>
    </row>
    <row r="129" ht="17.5" customHeight="1" spans="3:5" s="60" customFormat="1" x14ac:dyDescent="0.25">
      <c r="C129" s="64"/>
      <c r="D129" s="64"/>
      <c r="E129" s="64"/>
    </row>
    <row r="130" ht="17.5" customHeight="1" spans="3:5" s="60" customFormat="1" x14ac:dyDescent="0.25">
      <c r="C130" s="64"/>
      <c r="D130" s="64"/>
      <c r="E130" s="64"/>
    </row>
    <row r="131" ht="17.5" customHeight="1" spans="3:5" s="60" customFormat="1" x14ac:dyDescent="0.25">
      <c r="C131" s="64"/>
      <c r="D131" s="64"/>
      <c r="E131" s="64"/>
    </row>
    <row r="132" ht="17.5" customHeight="1" spans="3:5" s="60" customFormat="1" x14ac:dyDescent="0.25">
      <c r="C132" s="64"/>
      <c r="D132" s="64"/>
      <c r="E132" s="64"/>
    </row>
    <row r="133" ht="17.5" customHeight="1" spans="3:5" s="60" customFormat="1" x14ac:dyDescent="0.25">
      <c r="C133" s="64"/>
      <c r="D133" s="64"/>
      <c r="E133" s="64"/>
    </row>
    <row r="134" ht="17.5" customHeight="1" spans="3:5" s="60" customFormat="1" x14ac:dyDescent="0.25">
      <c r="C134" s="64"/>
      <c r="D134" s="64"/>
      <c r="E134" s="64"/>
    </row>
    <row r="135" ht="17.5" customHeight="1" spans="3:5" s="60" customFormat="1" x14ac:dyDescent="0.25">
      <c r="C135" s="64"/>
      <c r="D135" s="64"/>
      <c r="E135" s="64"/>
    </row>
    <row r="136" ht="17.5" customHeight="1" spans="3:5" s="60" customFormat="1" x14ac:dyDescent="0.25">
      <c r="C136" s="64"/>
      <c r="D136" s="64"/>
      <c r="E136" s="64"/>
    </row>
    <row r="137" ht="17.5" customHeight="1" spans="3:5" s="60" customFormat="1" x14ac:dyDescent="0.25">
      <c r="C137" s="64"/>
      <c r="D137" s="64"/>
      <c r="E137" s="64"/>
    </row>
    <row r="138" ht="17.5" customHeight="1" spans="3:5" s="60" customFormat="1" x14ac:dyDescent="0.25">
      <c r="C138" s="64"/>
      <c r="D138" s="64"/>
      <c r="E138" s="64"/>
    </row>
    <row r="139" ht="17.5" customHeight="1" spans="3:5" s="60" customFormat="1" x14ac:dyDescent="0.25">
      <c r="C139" s="64"/>
      <c r="D139" s="64"/>
      <c r="E139" s="64"/>
    </row>
    <row r="140" ht="17.5" customHeight="1" spans="3:5" s="60" customFormat="1" x14ac:dyDescent="0.25">
      <c r="C140" s="64"/>
      <c r="D140" s="64"/>
      <c r="E140" s="64"/>
    </row>
    <row r="141" ht="17.5" customHeight="1" spans="3:5" s="60" customFormat="1" x14ac:dyDescent="0.25">
      <c r="C141" s="64"/>
      <c r="D141" s="64"/>
      <c r="E141" s="64"/>
    </row>
    <row r="142" ht="17.5" customHeight="1" spans="3:5" s="60" customFormat="1" x14ac:dyDescent="0.25">
      <c r="C142" s="64"/>
      <c r="D142" s="64"/>
      <c r="E142" s="64"/>
    </row>
    <row r="143" ht="17.5" customHeight="1" spans="3:5" s="60" customFormat="1" x14ac:dyDescent="0.25">
      <c r="C143" s="64"/>
      <c r="D143" s="64"/>
      <c r="E143" s="64"/>
    </row>
  </sheetData>
  <sheetProtection sheet="1" algorithmName="SHA-512" hashValue="nBVMfmg9hOOxJAJRCW9Xbh7PRVCq53X7JRLCdYig2zU88tOdEwGhzp3KlWNRn0thPLIDpg1evSr5HkcKGLCkxQ==" saltValue="FOrLdPD9PIkOgFQOkeKm5Q==" spinCount="100000" objects="1" scenarios="1"/>
  <mergeCells count="4">
    <mergeCell ref="A1:E1"/>
    <mergeCell ref="C8:E8"/>
    <mergeCell ref="A8:A9"/>
    <mergeCell ref="B8:B9"/>
  </mergeCells>
  <conditionalFormatting sqref="C10:C12 C14:C48">
    <cfRule type="iconSet" priority="5">
      <iconSet iconSet="3Symbols2" showValue="0">
        <cfvo type="percent" val="0"/>
        <cfvo type="percent" val="33"/>
        <cfvo type="percent" val="67"/>
      </iconSet>
    </cfRule>
  </conditionalFormatting>
  <conditionalFormatting sqref="C13">
    <cfRule type="iconSet" priority="3">
      <iconSet iconSet="3Symbols2" showValue="0">
        <cfvo type="percent" val="0"/>
        <cfvo type="percent" val="33"/>
        <cfvo type="percent" val="67"/>
      </iconSet>
    </cfRule>
  </conditionalFormatting>
  <conditionalFormatting sqref="D10:E14 D16:E48">
    <cfRule type="iconSet" priority="4">
      <iconSet iconSet="3Symbols2" showValue="0">
        <cfvo type="percent" val="0"/>
        <cfvo type="percent" val="33"/>
        <cfvo type="percent" val="67"/>
      </iconSet>
    </cfRule>
  </conditionalFormatting>
  <conditionalFormatting sqref="D15:E15">
    <cfRule type="iconSet" priority="2">
      <iconSet iconSet="3Symbols2" showValue="0">
        <cfvo type="percent" val="0"/>
        <cfvo type="percent" val="33"/>
        <cfvo type="percent" val="67"/>
      </iconSet>
    </cfRule>
  </conditionalFormatting>
  <pageMargins left="0.708333333333333" right="0.708333333333333" top="0.747916666666667" bottom="0.747916666666667" header="0.511811023622047" footer="0.315277777777778"/>
  <pageSetup paperSize="9" orientation="portrait" horizontalDpi="300" verticalDpi="300" scale="45" fitToWidth="1" fitToHeight="1" firstPageNumber="1" useFirstPageNumber="1" copies="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 zoomScale="70" zoomScaleNormal="60" view="pageBreakPreview">
      <selection activeCell="G10" sqref="G10"/>
    </sheetView>
  </sheetViews>
  <sheetFormatPr defaultRowHeight="27.75" outlineLevelRow="0" outlineLevelCol="0" x14ac:dyDescent="0" defaultColWidth="10" customHeight="1"/>
  <cols>
    <col min="1" max="1" width="11" style="65" customWidth="1"/>
    <col min="2" max="3" width="10" style="65" customWidth="1"/>
    <col min="4" max="4" width="23.1796875" style="65" customWidth="1"/>
    <col min="5" max="5" width="13.90625" style="65" customWidth="1"/>
    <col min="6" max="7" width="15.1796875" style="65" customWidth="1"/>
    <col min="8" max="8" width="18.90625" style="65" customWidth="1"/>
    <col min="9" max="16384" width="10" style="65" customWidth="1"/>
  </cols>
  <sheetData>
    <row r="1" ht="19.5" customHeight="1" spans="1:8" x14ac:dyDescent="0.25">
      <c r="A1" s="66" t="s">
        <v>112</v>
      </c>
      <c r="B1" s="66"/>
      <c r="C1" s="66"/>
      <c r="D1" s="66"/>
      <c r="E1" s="66"/>
      <c r="F1" s="66"/>
      <c r="G1" s="66"/>
      <c r="H1" s="67" t="s">
        <v>34</v>
      </c>
    </row>
    <row r="2" ht="31.5" customHeight="1" x14ac:dyDescent="0.25"/>
    <row r="3" ht="15.5" customHeight="1" spans="3:12" s="68" customFormat="1" x14ac:dyDescent="0.25">
      <c r="C3" s="69"/>
      <c r="D3" s="69"/>
      <c r="E3" s="70"/>
      <c r="F3" s="70"/>
      <c r="G3" s="70"/>
      <c r="H3" s="70"/>
      <c r="I3" s="70"/>
      <c r="J3" s="70"/>
      <c r="K3" s="70"/>
      <c r="L3" s="70"/>
    </row>
    <row r="4" ht="12" customHeight="1" spans="1:12" s="68" customFormat="1" x14ac:dyDescent="0.25">
      <c r="A4" s="71"/>
      <c r="B4" s="71"/>
      <c r="D4" s="70"/>
      <c r="E4" s="70"/>
      <c r="F4" s="70"/>
      <c r="G4" s="70"/>
      <c r="H4" s="70"/>
      <c r="I4" s="70"/>
      <c r="J4" s="70"/>
      <c r="K4" s="70"/>
      <c r="L4" s="70"/>
    </row>
    <row r="5" ht="21" customHeight="1" spans="1:12" s="68" customFormat="1" x14ac:dyDescent="0.25">
      <c r="A5" s="71"/>
      <c r="B5" s="71"/>
      <c r="D5" s="70"/>
      <c r="E5" s="70"/>
      <c r="F5" s="70"/>
      <c r="G5" s="70"/>
      <c r="H5" s="70"/>
      <c r="I5" s="70"/>
      <c r="J5" s="70"/>
      <c r="K5" s="70"/>
      <c r="L5" s="70"/>
    </row>
    <row r="6" ht="15.5" customHeight="1" spans="1:12" s="68" customFormat="1" x14ac:dyDescent="0.25">
      <c r="A6" s="72"/>
      <c r="B6" s="72"/>
      <c r="D6" s="70"/>
      <c r="E6" s="70"/>
      <c r="F6" s="70"/>
      <c r="G6" s="70"/>
      <c r="H6" s="70"/>
      <c r="I6" s="70"/>
      <c r="J6" s="70"/>
      <c r="K6" s="70"/>
      <c r="L6" s="70"/>
    </row>
    <row r="7" ht="13.5" customHeight="1" spans="1:12" x14ac:dyDescent="0.25">
      <c r="A7" s="73"/>
      <c r="B7" s="73"/>
      <c r="C7" s="73"/>
      <c r="D7" s="73"/>
      <c r="E7" s="73"/>
      <c r="F7" s="73"/>
      <c r="G7" s="73"/>
      <c r="H7" s="65"/>
      <c r="I7" s="65"/>
      <c r="J7" s="65"/>
      <c r="K7" s="65"/>
      <c r="L7" s="65"/>
    </row>
    <row r="8" ht="38.25" customHeight="1" spans="1:8" s="74" customFormat="1" x14ac:dyDescent="0.25">
      <c r="A8" s="75" t="s">
        <v>113</v>
      </c>
      <c r="B8" s="75" t="s">
        <v>114</v>
      </c>
      <c r="C8" s="75"/>
      <c r="D8" s="75"/>
      <c r="E8" s="75" t="s">
        <v>115</v>
      </c>
      <c r="F8" s="76" t="s">
        <v>116</v>
      </c>
      <c r="G8" s="75" t="s">
        <v>117</v>
      </c>
      <c r="H8" s="75" t="s">
        <v>118</v>
      </c>
    </row>
    <row r="9" ht="24.75" customHeight="1" spans="1:8" s="77" customFormat="1" x14ac:dyDescent="0.25">
      <c r="A9" s="78"/>
      <c r="B9" s="79" t="s">
        <v>119</v>
      </c>
      <c r="C9" s="79"/>
      <c r="D9" s="79"/>
      <c r="E9" s="79"/>
      <c r="F9" s="79"/>
      <c r="G9" s="79"/>
      <c r="H9" s="79"/>
    </row>
    <row r="10" ht="36.75" customHeight="1" spans="1:8" x14ac:dyDescent="0.25">
      <c r="A10" s="80" t="s">
        <v>120</v>
      </c>
      <c r="B10" s="81" t="s">
        <v>121</v>
      </c>
      <c r="C10" s="81"/>
      <c r="D10" s="81"/>
      <c r="E10" s="82" t="s">
        <v>36</v>
      </c>
      <c r="F10" s="83">
        <v>0.075</v>
      </c>
      <c r="G10" s="83">
        <f>'EP02'!F10</f>
        <v>0.1422084367678537</v>
      </c>
      <c r="H10" s="84" t="str">
        <f>IF($G10&gt;($F10),"CONFORME","INFRACTION")</f>
        <v>CONFORME</v>
      </c>
    </row>
    <row r="11" ht="36.75" customHeight="1" spans="1:8" x14ac:dyDescent="0.25">
      <c r="A11" s="80" t="s">
        <v>122</v>
      </c>
      <c r="B11" s="81" t="s">
        <v>123</v>
      </c>
      <c r="C11" s="81"/>
      <c r="D11" s="81"/>
      <c r="E11" s="82" t="s">
        <v>36</v>
      </c>
      <c r="F11" s="83">
        <v>0.085</v>
      </c>
      <c r="G11" s="83">
        <f>'EP02'!F11</f>
        <v>0.1422084367678537</v>
      </c>
      <c r="H11" s="84" t="str">
        <f>IF($G11&gt;($F11),"CONFORME","INFRACTION")</f>
        <v>CONFORME</v>
      </c>
    </row>
    <row r="12" ht="36.75" customHeight="1" spans="1:8" x14ac:dyDescent="0.25">
      <c r="A12" s="80" t="s">
        <v>124</v>
      </c>
      <c r="B12" s="81" t="s">
        <v>125</v>
      </c>
      <c r="C12" s="81"/>
      <c r="D12" s="81"/>
      <c r="E12" s="82" t="s">
        <v>36</v>
      </c>
      <c r="F12" s="83">
        <v>0.115</v>
      </c>
      <c r="G12" s="83">
        <f>'EP02'!F12</f>
        <v>0.1422084367678537</v>
      </c>
      <c r="H12" s="84" t="str">
        <f>IF($G12&gt;($F12),"CONFORME","INFRACTION")</f>
        <v>CONFORME</v>
      </c>
    </row>
    <row r="13" ht="24.75" customHeight="1" spans="1:8" s="77" customFormat="1" x14ac:dyDescent="0.25">
      <c r="A13" s="85"/>
      <c r="B13" s="86" t="s">
        <v>126</v>
      </c>
      <c r="C13" s="86"/>
      <c r="D13" s="86"/>
      <c r="E13" s="86"/>
      <c r="F13" s="86"/>
      <c r="G13" s="86"/>
      <c r="H13" s="86"/>
    </row>
    <row r="14" ht="36.75" customHeight="1" spans="1:8" x14ac:dyDescent="0.25">
      <c r="A14" s="87" t="s">
        <v>127</v>
      </c>
      <c r="B14" s="81" t="s">
        <v>128</v>
      </c>
      <c r="C14" s="81"/>
      <c r="D14" s="81"/>
      <c r="E14" s="82" t="s">
        <v>90</v>
      </c>
      <c r="F14" s="88">
        <v>0.25</v>
      </c>
      <c r="G14" s="83">
        <f>'EP29'!F72</f>
        <v>0.8375430076179495</v>
      </c>
      <c r="H14" s="84" t="str">
        <f>IF($G14&gt;($F14),"INFRACTION","CONFORME")</f>
        <v>INFRACTION</v>
      </c>
    </row>
    <row r="15" ht="24.75" customHeight="1" spans="1:8" s="77" customFormat="1" x14ac:dyDescent="0.25">
      <c r="A15" s="85"/>
      <c r="B15" s="86" t="s">
        <v>129</v>
      </c>
      <c r="C15" s="86"/>
      <c r="D15" s="86"/>
      <c r="E15" s="86"/>
      <c r="F15" s="86"/>
      <c r="G15" s="86"/>
      <c r="H15" s="86"/>
    </row>
    <row r="16" ht="36.75" customHeight="1" spans="1:8" x14ac:dyDescent="0.25">
      <c r="A16" s="87" t="s">
        <v>130</v>
      </c>
      <c r="B16" s="81" t="s">
        <v>99</v>
      </c>
      <c r="C16" s="81"/>
      <c r="D16" s="81"/>
      <c r="E16" s="82" t="s">
        <v>98</v>
      </c>
      <c r="F16" s="88">
        <v>0.03</v>
      </c>
      <c r="G16" s="83">
        <f>'EP33'!C35</f>
        <v>0.07295844256037433</v>
      </c>
      <c r="H16" s="84" t="str">
        <f>IF($G16&gt;($F16),"CONFORME","INFRACTION")</f>
        <v>CONFORME</v>
      </c>
    </row>
    <row r="17" ht="24.75" customHeight="1" spans="1:8" s="77" customFormat="1" x14ac:dyDescent="0.25">
      <c r="A17" s="85"/>
      <c r="B17" s="86" t="s">
        <v>131</v>
      </c>
      <c r="C17" s="86"/>
      <c r="D17" s="86"/>
      <c r="E17" s="86"/>
      <c r="F17" s="86"/>
      <c r="G17" s="86"/>
      <c r="H17" s="86"/>
    </row>
    <row r="18" ht="51.75" customHeight="1" spans="1:8" x14ac:dyDescent="0.25">
      <c r="A18" s="89" t="s">
        <v>132</v>
      </c>
      <c r="B18" s="90" t="s">
        <v>133</v>
      </c>
      <c r="C18" s="90"/>
      <c r="D18" s="90"/>
      <c r="E18" s="82" t="s">
        <v>102</v>
      </c>
      <c r="F18" s="88">
        <v>0.25</v>
      </c>
      <c r="G18" s="88">
        <f>'EP35'!G13</f>
        <v>0.011235955056179775</v>
      </c>
      <c r="H18" s="84" t="str">
        <f t="shared" ref="H18:H23" si="0">IF($G18&gt;($F18),"INFRACTION","CONFORME")</f>
        <v>CONFORME</v>
      </c>
    </row>
    <row r="19" ht="51.75" customHeight="1" spans="1:8" x14ac:dyDescent="0.25">
      <c r="A19" s="89" t="s">
        <v>134</v>
      </c>
      <c r="B19" s="90" t="s">
        <v>135</v>
      </c>
      <c r="C19" s="90"/>
      <c r="D19" s="90"/>
      <c r="E19" s="82" t="s">
        <v>102</v>
      </c>
      <c r="F19" s="88">
        <v>0.15</v>
      </c>
      <c r="G19" s="88">
        <f>'EP35'!H13</f>
        <v>0.0003434824210603793</v>
      </c>
      <c r="H19" s="84" t="str">
        <f t="shared" si="0"/>
        <v>CONFORME</v>
      </c>
    </row>
    <row r="20" ht="51.75" customHeight="1" spans="1:8" x14ac:dyDescent="0.25">
      <c r="A20" s="89" t="s">
        <v>136</v>
      </c>
      <c r="B20" s="90" t="s">
        <v>137</v>
      </c>
      <c r="C20" s="90"/>
      <c r="D20" s="90"/>
      <c r="E20" s="82" t="s">
        <v>102</v>
      </c>
      <c r="F20" s="88">
        <v>0.6</v>
      </c>
      <c r="G20" s="88">
        <f>'EP35'!I32</f>
        <v>0.0003434824210603793</v>
      </c>
      <c r="H20" s="84" t="str">
        <f t="shared" si="0"/>
        <v>CONFORME</v>
      </c>
    </row>
    <row r="21" ht="36.75" customHeight="1" spans="1:8" x14ac:dyDescent="0.25">
      <c r="A21" s="89" t="s">
        <v>138</v>
      </c>
      <c r="B21" s="90" t="s">
        <v>139</v>
      </c>
      <c r="C21" s="90"/>
      <c r="D21" s="90"/>
      <c r="E21" s="82" t="s">
        <v>104</v>
      </c>
      <c r="F21" s="88">
        <v>0.15</v>
      </c>
      <c r="G21" s="88">
        <f>'EP36'!E17</f>
        <v>0.03680168797075493</v>
      </c>
      <c r="H21" s="84" t="str">
        <f t="shared" si="0"/>
        <v>CONFORME</v>
      </c>
    </row>
    <row r="22" ht="36.75" customHeight="1" spans="1:8" x14ac:dyDescent="0.25">
      <c r="A22" s="89" t="s">
        <v>140</v>
      </c>
      <c r="B22" s="90" t="s">
        <v>141</v>
      </c>
      <c r="C22" s="90"/>
      <c r="D22" s="90"/>
      <c r="E22" s="82" t="s">
        <v>106</v>
      </c>
      <c r="F22" s="88">
        <v>1</v>
      </c>
      <c r="G22" s="88">
        <f>'EP37'!E16</f>
        <v>0.23178929806913812</v>
      </c>
      <c r="H22" s="84" t="str">
        <f t="shared" si="0"/>
        <v>CONFORME</v>
      </c>
    </row>
    <row r="23" ht="36.75" customHeight="1" spans="1:8" x14ac:dyDescent="0.25">
      <c r="A23" s="89" t="s">
        <v>142</v>
      </c>
      <c r="B23" s="90" t="s">
        <v>143</v>
      </c>
      <c r="C23" s="90"/>
      <c r="D23" s="90"/>
      <c r="E23" s="82" t="s">
        <v>108</v>
      </c>
      <c r="F23" s="88">
        <v>0.2</v>
      </c>
      <c r="G23" s="88">
        <f>'EP38'!L14</f>
        <v>0.1493750300792463</v>
      </c>
      <c r="H23" s="84" t="str">
        <f t="shared" si="0"/>
        <v>CONFORME</v>
      </c>
    </row>
  </sheetData>
  <sheetProtection sheet="1" algorithmName="SHA-512" hashValue="VEd0Fz+lTS/Bz6pa6e4YChVMFREL+pZ2cS+cD1VNlly5JW8auBvytCKExIn3pDzPPnmI6rLI4JygK/rlEV12Ew==" saltValue="H09QQ73MPlX7/l8qjjEeMA==" spinCount="100000" objects="1" scenarios="1"/>
  <mergeCells count="18">
    <mergeCell ref="A1:G1"/>
    <mergeCell ref="A6:B6"/>
    <mergeCell ref="B8:D8"/>
    <mergeCell ref="B9:H9"/>
    <mergeCell ref="B10:D10"/>
    <mergeCell ref="B11:D11"/>
    <mergeCell ref="B12:D12"/>
    <mergeCell ref="B13:H13"/>
    <mergeCell ref="B14:D14"/>
    <mergeCell ref="B15:H15"/>
    <mergeCell ref="B16:D16"/>
    <mergeCell ref="B17:H17"/>
    <mergeCell ref="B18:D18"/>
    <mergeCell ref="B19:D19"/>
    <mergeCell ref="B20:D20"/>
    <mergeCell ref="B21:D21"/>
    <mergeCell ref="B22:D22"/>
    <mergeCell ref="B23:D23"/>
  </mergeCells>
  <conditionalFormatting sqref="H10:H12 H14 H16 H18:H23">
    <cfRule type="cellIs" dxfId="0" priority="2" operator="equal">
      <formula>"INFRACTION"</formula>
    </cfRule>
    <cfRule type="cellIs" dxfId="1" priority="3" operator="equal">
      <formula>"CONFORME"</formula>
    </cfRule>
  </conditionalFormatting>
  <pageMargins left="0.708333333333333" right="0.708333333333333" top="0.747916666666667" bottom="0.747916666666667" header="0.511811023622047" footer="0.315277777777778"/>
  <pageSetup paperSize="9" orientation="portrait" horizontalDpi="300" verticalDpi="300" scale="64" fitToWidth="1" fitToHeight="1" firstPageNumber="1" useFirstPageNumber="1" copies="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zoomScale="80" zoomScaleNormal="70" view="pageBreakPreview">
      <selection activeCell="B13" sqref="B13"/>
    </sheetView>
  </sheetViews>
  <sheetFormatPr defaultRowHeight="27.75" outlineLevelRow="0" outlineLevelCol="0" x14ac:dyDescent="0" defaultColWidth="10" customHeight="1"/>
  <cols>
    <col min="1" max="1" width="17.81640625" style="91" customWidth="1"/>
    <col min="2" max="3" width="10" style="91" customWidth="1"/>
    <col min="4" max="4" width="58" style="91" customWidth="1"/>
    <col min="5" max="5" width="16.90625" style="91" customWidth="1"/>
    <col min="6" max="6" width="25.26953125" style="91" customWidth="1"/>
    <col min="7" max="7" width="9.7265625" style="91" customWidth="1"/>
    <col min="8" max="16384" width="10" style="91" customWidth="1"/>
  </cols>
  <sheetData>
    <row r="1" ht="19.5" customHeight="1" spans="1:8" x14ac:dyDescent="0.25">
      <c r="A1" s="92" t="s">
        <v>144</v>
      </c>
      <c r="B1" s="92"/>
      <c r="C1" s="92"/>
      <c r="D1" s="92"/>
      <c r="E1" s="92"/>
      <c r="F1" s="92"/>
      <c r="G1" s="93" t="s">
        <v>36</v>
      </c>
      <c r="H1" s="94"/>
    </row>
    <row r="2" ht="31.5" customHeight="1" x14ac:dyDescent="0.25"/>
    <row r="3" ht="15.5" customHeight="1" spans="3:11" s="95" customFormat="1" x14ac:dyDescent="0.25">
      <c r="C3" s="96"/>
      <c r="E3" s="97"/>
      <c r="F3" s="97"/>
      <c r="G3" s="97"/>
      <c r="H3" s="97"/>
      <c r="I3" s="97"/>
      <c r="J3" s="97"/>
      <c r="K3" s="97"/>
    </row>
    <row r="4" ht="12" customHeight="1" spans="1:11" s="95" customFormat="1" x14ac:dyDescent="0.25">
      <c r="A4" s="98"/>
      <c r="B4" s="98"/>
      <c r="D4" s="97"/>
      <c r="E4" s="97"/>
      <c r="F4" s="97"/>
      <c r="G4" s="97"/>
      <c r="H4" s="97"/>
      <c r="I4" s="97"/>
      <c r="J4" s="97"/>
      <c r="K4" s="97"/>
    </row>
    <row r="5" ht="21" customHeight="1" spans="1:11" s="95" customFormat="1" x14ac:dyDescent="0.25">
      <c r="A5" s="98"/>
      <c r="B5" s="98"/>
      <c r="D5" s="97"/>
      <c r="E5" s="97"/>
      <c r="F5" s="97"/>
      <c r="G5" s="97"/>
      <c r="H5" s="97"/>
      <c r="I5" s="97"/>
      <c r="J5" s="97"/>
      <c r="K5" s="97"/>
    </row>
    <row r="6" ht="15.5" customHeight="1" spans="1:11" s="95" customFormat="1" x14ac:dyDescent="0.25">
      <c r="A6" s="99"/>
      <c r="B6" s="99"/>
      <c r="D6" s="97"/>
      <c r="E6" s="97"/>
      <c r="F6" s="97"/>
      <c r="G6" s="97"/>
      <c r="H6" s="97"/>
      <c r="I6" s="97"/>
      <c r="J6" s="97"/>
      <c r="K6" s="97"/>
    </row>
    <row r="7" ht="13.5" customHeight="1" spans="1:11" x14ac:dyDescent="0.25">
      <c r="A7" s="100"/>
      <c r="B7" s="100"/>
      <c r="C7" s="100"/>
      <c r="D7" s="100"/>
      <c r="E7" s="100"/>
      <c r="F7" s="100"/>
      <c r="G7" s="91"/>
      <c r="H7" s="91"/>
      <c r="I7" s="91"/>
      <c r="J7" s="91"/>
      <c r="K7" s="91"/>
    </row>
    <row r="8" ht="27.75" customHeight="1" spans="1:7" s="101" customFormat="1" x14ac:dyDescent="0.25">
      <c r="A8" s="102" t="s">
        <v>113</v>
      </c>
      <c r="B8" s="102" t="s">
        <v>145</v>
      </c>
      <c r="C8" s="102"/>
      <c r="D8" s="102"/>
      <c r="E8" s="103" t="s">
        <v>115</v>
      </c>
      <c r="F8" s="102" t="s">
        <v>146</v>
      </c>
      <c r="G8" s="104"/>
    </row>
    <row r="9" ht="24.75" customHeight="1" spans="1:7" s="105" customFormat="1" x14ac:dyDescent="0.25">
      <c r="A9" s="106"/>
      <c r="B9" s="105" t="s">
        <v>119</v>
      </c>
      <c r="C9" s="105"/>
      <c r="D9" s="105"/>
      <c r="E9" s="105"/>
      <c r="F9" s="105"/>
      <c r="G9" s="105"/>
    </row>
    <row r="10" ht="36.75" customHeight="1" spans="1:6" x14ac:dyDescent="0.25">
      <c r="A10" s="80" t="s">
        <v>120</v>
      </c>
      <c r="B10" s="107" t="s">
        <v>121</v>
      </c>
      <c r="C10" s="107"/>
      <c r="D10" s="107"/>
      <c r="E10" s="108" t="s">
        <v>147</v>
      </c>
      <c r="F10" s="109">
        <f>F14/F18</f>
        <v>0.1422084367678537</v>
      </c>
    </row>
    <row r="11" ht="36.75" customHeight="1" spans="1:6" x14ac:dyDescent="0.25">
      <c r="A11" s="80" t="s">
        <v>122</v>
      </c>
      <c r="B11" s="107" t="s">
        <v>123</v>
      </c>
      <c r="C11" s="107"/>
      <c r="D11" s="107"/>
      <c r="E11" s="108" t="s">
        <v>148</v>
      </c>
      <c r="F11" s="109">
        <f>F15/F18</f>
        <v>0.1422084367678537</v>
      </c>
    </row>
    <row r="12" ht="36.75" customHeight="1" spans="1:6" x14ac:dyDescent="0.25">
      <c r="A12" s="80" t="s">
        <v>124</v>
      </c>
      <c r="B12" s="107" t="s">
        <v>125</v>
      </c>
      <c r="C12" s="107"/>
      <c r="D12" s="107"/>
      <c r="E12" s="108" t="s">
        <v>149</v>
      </c>
      <c r="F12" s="109">
        <f>F16/F18</f>
        <v>0.1422084367678537</v>
      </c>
    </row>
    <row r="13" ht="24.75" customHeight="1" spans="1:7" s="105" customFormat="1" x14ac:dyDescent="0.25">
      <c r="A13" s="106"/>
      <c r="B13" s="105" t="s">
        <v>150</v>
      </c>
      <c r="C13" s="105"/>
      <c r="D13" s="105"/>
      <c r="E13" s="105"/>
      <c r="F13" s="105"/>
      <c r="G13" s="105"/>
    </row>
    <row r="14" ht="36.75" customHeight="1" spans="1:7" x14ac:dyDescent="0.25">
      <c r="A14" s="110" t="s">
        <v>151</v>
      </c>
      <c r="B14" s="107" t="s">
        <v>152</v>
      </c>
      <c r="C14" s="107"/>
      <c r="D14" s="107"/>
      <c r="E14" s="111" t="s">
        <v>153</v>
      </c>
      <c r="F14" s="112">
        <v>40759</v>
      </c>
      <c r="G14" s="113" t="s">
        <v>154</v>
      </c>
    </row>
    <row r="15" ht="36.75" customHeight="1" spans="1:7" x14ac:dyDescent="0.25">
      <c r="A15" s="110" t="s">
        <v>155</v>
      </c>
      <c r="B15" s="107" t="s">
        <v>156</v>
      </c>
      <c r="C15" s="107"/>
      <c r="D15" s="107"/>
      <c r="E15" s="111" t="s">
        <v>153</v>
      </c>
      <c r="F15" s="112">
        <v>40759</v>
      </c>
      <c r="G15" s="114" t="s">
        <v>157</v>
      </c>
    </row>
    <row r="16" ht="36.75" customHeight="1" spans="1:7" x14ac:dyDescent="0.25">
      <c r="A16" s="110" t="s">
        <v>158</v>
      </c>
      <c r="B16" s="107" t="s">
        <v>159</v>
      </c>
      <c r="C16" s="107"/>
      <c r="D16" s="107"/>
      <c r="E16" s="111" t="s">
        <v>153</v>
      </c>
      <c r="F16" s="112">
        <v>40759</v>
      </c>
      <c r="G16" s="115" t="s">
        <v>160</v>
      </c>
    </row>
    <row r="17" ht="24.75" customHeight="1" spans="1:7" s="105" customFormat="1" x14ac:dyDescent="0.25">
      <c r="A17" s="106"/>
      <c r="B17" s="105" t="s">
        <v>161</v>
      </c>
      <c r="C17" s="105"/>
      <c r="D17" s="105"/>
      <c r="E17" s="105"/>
      <c r="F17" s="105"/>
      <c r="G17" s="105"/>
    </row>
    <row r="18" ht="36.75" customHeight="1" spans="1:7" x14ac:dyDescent="0.25">
      <c r="A18" s="110" t="s">
        <v>162</v>
      </c>
      <c r="B18" s="116" t="s">
        <v>163</v>
      </c>
      <c r="C18" s="116"/>
      <c r="D18" s="116"/>
      <c r="E18" s="111" t="s">
        <v>48</v>
      </c>
      <c r="F18" s="112">
        <f>'EP08'!E34</f>
        <v>286614.5</v>
      </c>
      <c r="G18" s="115" t="s">
        <v>164</v>
      </c>
    </row>
  </sheetData>
  <sheetProtection sheet="1" algorithmName="SHA-512" hashValue="rIpksytnknsMhBWyxDO73C5xK1FjC5R+Dgrv65QBVElplCtADTPpCq9jB53bsxStDvMrv1Jhluc81sMffF1y7A==" saltValue="bQDRpkYTp7Lvej8oaRcJuw==" spinCount="100000" objects="1" scenarios="1"/>
  <mergeCells count="13">
    <mergeCell ref="A1:F1"/>
    <mergeCell ref="A6:B6"/>
    <mergeCell ref="B8:D8"/>
    <mergeCell ref="B9:G9"/>
    <mergeCell ref="B10:D10"/>
    <mergeCell ref="B11:D11"/>
    <mergeCell ref="B12:D12"/>
    <mergeCell ref="B13:G13"/>
    <mergeCell ref="B14:D14"/>
    <mergeCell ref="B15:D15"/>
    <mergeCell ref="B16:D16"/>
    <mergeCell ref="B17:G17"/>
    <mergeCell ref="B18:D18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52" fitToWidth="1" fitToHeight="1" firstPageNumber="1" useFirstPageNumber="1" copies="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 zoomScale="43" zoomScaleNormal="70" view="pageBreakPreview">
      <selection activeCell="A16" sqref="A16"/>
    </sheetView>
  </sheetViews>
  <sheetFormatPr defaultRowHeight="27.75" outlineLevelRow="0" outlineLevelCol="0" x14ac:dyDescent="0" defaultColWidth="10" customHeight="1"/>
  <cols>
    <col min="1" max="1" width="11.08984375" style="117" customWidth="1"/>
    <col min="2" max="2" width="135.1796875" style="118" customWidth="1"/>
    <col min="3" max="3" width="19.81640625" style="50" customWidth="1"/>
    <col min="4" max="16384" width="10" style="50" customWidth="1"/>
  </cols>
  <sheetData>
    <row r="1" ht="29.25" customHeight="1" spans="1:3" x14ac:dyDescent="0.25">
      <c r="A1" s="119" t="s">
        <v>165</v>
      </c>
      <c r="B1" s="119"/>
      <c r="C1" s="120" t="s">
        <v>38</v>
      </c>
    </row>
    <row r="2" ht="31.5" customHeight="1" spans="2:3" x14ac:dyDescent="0.25">
      <c r="B2" s="121"/>
      <c r="C2" s="52"/>
    </row>
    <row r="3" ht="17.5" customHeight="1" spans="1:12" s="122" customFormat="1" x14ac:dyDescent="0.25">
      <c r="A3" s="123"/>
      <c r="B3" s="124"/>
      <c r="E3" s="125"/>
      <c r="F3" s="125"/>
      <c r="G3" s="125"/>
      <c r="H3" s="125"/>
      <c r="I3" s="125"/>
      <c r="J3" s="125"/>
      <c r="K3" s="125"/>
      <c r="L3" s="125"/>
    </row>
    <row r="4" ht="9.75" customHeight="1" spans="1:2" s="122" customFormat="1" x14ac:dyDescent="0.25">
      <c r="A4" s="126"/>
      <c r="B4" s="127"/>
    </row>
    <row r="5" ht="17.5" customHeight="1" spans="1:2" s="122" customFormat="1" x14ac:dyDescent="0.25">
      <c r="A5" s="126"/>
      <c r="B5" s="127"/>
    </row>
    <row r="6" ht="17.5" customHeight="1" spans="1:2" s="122" customFormat="1" x14ac:dyDescent="0.25">
      <c r="A6" s="123"/>
      <c r="B6" s="127"/>
    </row>
    <row r="7" ht="17.5" customHeight="1" spans="1:2" x14ac:dyDescent="0.25">
      <c r="A7" s="128"/>
      <c r="B7" s="129"/>
    </row>
    <row r="8" ht="18" customHeight="1" spans="1:3" x14ac:dyDescent="0.25">
      <c r="A8" s="130"/>
      <c r="B8" s="131"/>
      <c r="C8" s="132"/>
    </row>
    <row r="9" ht="36" customHeight="1" spans="1:3" s="133" customFormat="1" x14ac:dyDescent="0.25">
      <c r="A9" s="134" t="s">
        <v>113</v>
      </c>
      <c r="B9" s="135" t="s">
        <v>145</v>
      </c>
      <c r="C9" s="135" t="s">
        <v>166</v>
      </c>
    </row>
    <row r="10" ht="27.75" customHeight="1" spans="1:3" x14ac:dyDescent="0.25">
      <c r="A10" s="136"/>
      <c r="B10" s="53" t="s">
        <v>167</v>
      </c>
      <c r="C10" s="137"/>
    </row>
    <row r="11" ht="36.75" customHeight="1" spans="1:11" s="138" customFormat="1" x14ac:dyDescent="0.25">
      <c r="A11" s="139" t="s">
        <v>168</v>
      </c>
      <c r="B11" s="139" t="s">
        <v>169</v>
      </c>
      <c r="C11" s="140">
        <v>999999</v>
      </c>
      <c r="D11" s="138"/>
      <c r="E11" s="138"/>
      <c r="F11" s="138"/>
      <c r="G11" s="138"/>
      <c r="H11" s="138"/>
      <c r="I11" s="138"/>
      <c r="J11" s="138"/>
      <c r="K11" s="138"/>
    </row>
    <row r="12" ht="36.75" customHeight="1" spans="1:3" s="138" customFormat="1" x14ac:dyDescent="0.25">
      <c r="A12" s="139" t="s">
        <v>170</v>
      </c>
      <c r="B12" s="139" t="s">
        <v>171</v>
      </c>
      <c r="C12" s="140">
        <v>0</v>
      </c>
    </row>
    <row r="13" ht="36.75" customHeight="1" spans="1:3" s="138" customFormat="1" x14ac:dyDescent="0.25">
      <c r="A13" s="139" t="s">
        <v>172</v>
      </c>
      <c r="B13" s="139" t="s">
        <v>173</v>
      </c>
      <c r="C13" s="140">
        <v>5623</v>
      </c>
    </row>
    <row r="14" ht="36.75" customHeight="1" spans="1:3" s="138" customFormat="1" x14ac:dyDescent="0.25">
      <c r="A14" s="139" t="s">
        <v>174</v>
      </c>
      <c r="B14" s="139" t="s">
        <v>175</v>
      </c>
      <c r="C14" s="140">
        <v>0</v>
      </c>
    </row>
    <row r="15" ht="36.75" customHeight="1" spans="1:3" s="138" customFormat="1" x14ac:dyDescent="0.25">
      <c r="A15" s="139" t="s">
        <v>176</v>
      </c>
      <c r="B15" s="139" t="s">
        <v>177</v>
      </c>
      <c r="C15" s="140">
        <v>1301</v>
      </c>
    </row>
    <row r="16" ht="36.75" customHeight="1" spans="1:3" s="138" customFormat="1" x14ac:dyDescent="0.25">
      <c r="A16" s="139" t="s">
        <v>178</v>
      </c>
      <c r="B16" s="139" t="s">
        <v>179</v>
      </c>
      <c r="C16" s="140">
        <v>14211</v>
      </c>
    </row>
    <row r="17" ht="36.75" customHeight="1" spans="1:3" s="138" customFormat="1" x14ac:dyDescent="0.25">
      <c r="A17" s="139" t="s">
        <v>180</v>
      </c>
      <c r="B17" s="139" t="s">
        <v>181</v>
      </c>
      <c r="C17" s="140">
        <v>0</v>
      </c>
    </row>
    <row r="18" ht="36.75" customHeight="1" spans="1:3" s="138" customFormat="1" x14ac:dyDescent="0.25">
      <c r="A18" s="139" t="s">
        <v>182</v>
      </c>
      <c r="B18" s="134" t="s">
        <v>183</v>
      </c>
      <c r="C18" s="140">
        <f>C11+C12+C13+C14+C15+C16+C17</f>
        <v>41135</v>
      </c>
    </row>
    <row r="19" ht="36.75" customHeight="1" spans="1:3" s="138" customFormat="1" x14ac:dyDescent="0.25">
      <c r="A19" s="139" t="s">
        <v>184</v>
      </c>
      <c r="B19" s="139" t="s">
        <v>185</v>
      </c>
      <c r="C19" s="140">
        <v>0</v>
      </c>
    </row>
    <row r="20" ht="36.75" customHeight="1" spans="1:3" s="138" customFormat="1" x14ac:dyDescent="0.25">
      <c r="A20" s="139" t="s">
        <v>186</v>
      </c>
      <c r="B20" s="139" t="s">
        <v>187</v>
      </c>
      <c r="C20" s="140">
        <v>0</v>
      </c>
    </row>
    <row r="21" ht="36.75" customHeight="1" spans="1:3" s="138" customFormat="1" x14ac:dyDescent="0.25">
      <c r="A21" s="139" t="s">
        <v>188</v>
      </c>
      <c r="B21" s="139" t="s">
        <v>189</v>
      </c>
      <c r="C21" s="140">
        <v>-376</v>
      </c>
    </row>
    <row r="22" ht="36.75" customHeight="1" spans="1:3" s="138" customFormat="1" x14ac:dyDescent="0.25">
      <c r="A22" s="139" t="s">
        <v>190</v>
      </c>
      <c r="B22" s="139" t="s">
        <v>191</v>
      </c>
      <c r="C22" s="140">
        <v>0</v>
      </c>
    </row>
    <row r="23" ht="36.75" customHeight="1" spans="1:3" s="138" customFormat="1" x14ac:dyDescent="0.25">
      <c r="A23" s="139" t="s">
        <v>192</v>
      </c>
      <c r="B23" s="139" t="s">
        <v>193</v>
      </c>
      <c r="C23" s="140">
        <v>0</v>
      </c>
    </row>
    <row r="24" ht="36.75" customHeight="1" spans="1:3" s="138" customFormat="1" x14ac:dyDescent="0.25">
      <c r="A24" s="139" t="s">
        <v>194</v>
      </c>
      <c r="B24" s="139" t="s">
        <v>195</v>
      </c>
      <c r="C24" s="140">
        <v>0</v>
      </c>
    </row>
    <row r="25" ht="36.75" customHeight="1" spans="1:3" s="138" customFormat="1" x14ac:dyDescent="0.25">
      <c r="A25" s="139" t="s">
        <v>196</v>
      </c>
      <c r="B25" s="139" t="s">
        <v>197</v>
      </c>
      <c r="C25" s="140">
        <v>0</v>
      </c>
    </row>
    <row r="26" ht="36.75" customHeight="1" spans="1:3" s="138" customFormat="1" x14ac:dyDescent="0.25">
      <c r="A26" s="139" t="s">
        <v>198</v>
      </c>
      <c r="B26" s="139" t="s">
        <v>199</v>
      </c>
      <c r="C26" s="140">
        <v>0</v>
      </c>
    </row>
    <row r="27" ht="36.75" customHeight="1" spans="1:3" s="138" customFormat="1" x14ac:dyDescent="0.25">
      <c r="A27" s="139" t="s">
        <v>200</v>
      </c>
      <c r="B27" s="139" t="s">
        <v>201</v>
      </c>
      <c r="C27" s="140">
        <v>0</v>
      </c>
    </row>
    <row r="28" ht="36.75" customHeight="1" spans="1:3" s="138" customFormat="1" x14ac:dyDescent="0.25">
      <c r="A28" s="139" t="s">
        <v>202</v>
      </c>
      <c r="B28" s="139" t="s">
        <v>203</v>
      </c>
      <c r="C28" s="140">
        <v>0</v>
      </c>
    </row>
    <row r="29" ht="36.75" customHeight="1" spans="1:3" s="138" customFormat="1" x14ac:dyDescent="0.25">
      <c r="A29" s="139" t="s">
        <v>204</v>
      </c>
      <c r="B29" s="139" t="s">
        <v>205</v>
      </c>
      <c r="C29" s="140">
        <v>0</v>
      </c>
    </row>
    <row r="30" ht="36.75" customHeight="1" spans="1:3" s="138" customFormat="1" x14ac:dyDescent="0.25">
      <c r="A30" s="139" t="s">
        <v>206</v>
      </c>
      <c r="B30" s="138" t="s">
        <v>207</v>
      </c>
      <c r="C30" s="140">
        <v>0</v>
      </c>
    </row>
    <row r="31" ht="36.75" customHeight="1" spans="1:3" s="138" customFormat="1" x14ac:dyDescent="0.25">
      <c r="A31" s="139" t="s">
        <v>208</v>
      </c>
      <c r="B31" s="139" t="s">
        <v>209</v>
      </c>
      <c r="C31" s="140">
        <v>0</v>
      </c>
    </row>
    <row r="32" ht="36.75" customHeight="1" spans="1:3" s="141" customFormat="1" x14ac:dyDescent="0.25">
      <c r="A32" s="139" t="s">
        <v>210</v>
      </c>
      <c r="B32" s="134" t="s">
        <v>211</v>
      </c>
      <c r="C32" s="140">
        <f>C18+C21</f>
        <v>40759</v>
      </c>
    </row>
    <row r="33" ht="36.75" customHeight="1" spans="1:3" s="138" customFormat="1" x14ac:dyDescent="0.25">
      <c r="A33" s="139" t="s">
        <v>212</v>
      </c>
      <c r="B33" s="139" t="s">
        <v>213</v>
      </c>
      <c r="C33" s="140">
        <v>0</v>
      </c>
    </row>
    <row r="34" ht="36.75" customHeight="1" spans="1:3" s="141" customFormat="1" x14ac:dyDescent="0.25">
      <c r="A34" s="139" t="s">
        <v>214</v>
      </c>
      <c r="B34" s="134" t="s">
        <v>215</v>
      </c>
      <c r="C34" s="140">
        <f>C32</f>
        <v>40759</v>
      </c>
    </row>
    <row r="35" ht="36.75" customHeight="1" spans="1:3" s="138" customFormat="1" x14ac:dyDescent="0.25">
      <c r="A35" s="139" t="s">
        <v>216</v>
      </c>
      <c r="B35" s="139" t="s">
        <v>217</v>
      </c>
      <c r="C35" s="140">
        <v>0</v>
      </c>
    </row>
    <row r="36" ht="36.75" customHeight="1" spans="1:3" s="138" customFormat="1" x14ac:dyDescent="0.25">
      <c r="A36" s="139" t="s">
        <v>218</v>
      </c>
      <c r="B36" s="139" t="s">
        <v>219</v>
      </c>
      <c r="C36" s="140">
        <v>0</v>
      </c>
    </row>
    <row r="37" ht="36.75" customHeight="1" spans="1:3" s="138" customFormat="1" x14ac:dyDescent="0.25">
      <c r="A37" s="139" t="s">
        <v>220</v>
      </c>
      <c r="B37" s="134" t="s">
        <v>221</v>
      </c>
      <c r="C37" s="140">
        <f>C34</f>
        <v>40759</v>
      </c>
    </row>
    <row r="38" ht="36.75" customHeight="1" spans="1:3" s="138" customFormat="1" x14ac:dyDescent="0.25">
      <c r="A38" s="139" t="s">
        <v>222</v>
      </c>
      <c r="B38" s="139" t="s">
        <v>223</v>
      </c>
      <c r="C38" s="140">
        <v>0</v>
      </c>
    </row>
    <row r="39" ht="36.75" customHeight="1" spans="1:3" s="138" customFormat="1" x14ac:dyDescent="0.25">
      <c r="A39" s="139" t="s">
        <v>224</v>
      </c>
      <c r="B39" s="139" t="s">
        <v>225</v>
      </c>
      <c r="C39" s="140">
        <v>0</v>
      </c>
    </row>
    <row r="40" ht="36.75" customHeight="1" spans="1:3" s="141" customFormat="1" x14ac:dyDescent="0.25">
      <c r="A40" s="139" t="s">
        <v>226</v>
      </c>
      <c r="B40" s="134" t="s">
        <v>227</v>
      </c>
      <c r="C40" s="140">
        <f>C37</f>
        <v>40759</v>
      </c>
    </row>
    <row r="41" ht="36.75" customHeight="1" spans="1:3" x14ac:dyDescent="0.25">
      <c r="A41" s="142"/>
      <c r="B41" s="143" t="s">
        <v>228</v>
      </c>
      <c r="C41" s="144"/>
    </row>
    <row r="42" ht="36.75" customHeight="1" spans="1:3" x14ac:dyDescent="0.25">
      <c r="A42" s="139" t="s">
        <v>229</v>
      </c>
      <c r="B42" s="145" t="s">
        <v>230</v>
      </c>
      <c r="C42" s="140">
        <v>0</v>
      </c>
    </row>
    <row r="43" ht="36.75" customHeight="1" spans="1:3" x14ac:dyDescent="0.25">
      <c r="A43" s="139" t="s">
        <v>231</v>
      </c>
      <c r="B43" s="145" t="s">
        <v>232</v>
      </c>
      <c r="C43" s="140">
        <v>0</v>
      </c>
    </row>
    <row r="44" ht="46.5" customHeight="1" spans="1:3" x14ac:dyDescent="0.25">
      <c r="A44" s="139" t="s">
        <v>233</v>
      </c>
      <c r="B44" s="146" t="s">
        <v>234</v>
      </c>
      <c r="C44" s="140">
        <v>0</v>
      </c>
    </row>
    <row r="45" ht="36.75" customHeight="1" spans="1:3" s="53" customFormat="1" x14ac:dyDescent="0.25">
      <c r="A45" s="139" t="s">
        <v>235</v>
      </c>
      <c r="B45" s="147" t="s">
        <v>236</v>
      </c>
      <c r="C45" s="140">
        <v>0</v>
      </c>
    </row>
    <row r="46" ht="36.75" customHeight="1" spans="1:3" s="60" customFormat="1" x14ac:dyDescent="0.25">
      <c r="A46" s="139" t="s">
        <v>237</v>
      </c>
      <c r="B46" s="62" t="s">
        <v>238</v>
      </c>
      <c r="C46" s="140">
        <v>0</v>
      </c>
    </row>
    <row r="47" ht="36.75" customHeight="1" spans="1:3" s="60" customFormat="1" x14ac:dyDescent="0.25">
      <c r="A47" s="139" t="s">
        <v>239</v>
      </c>
      <c r="B47" s="62" t="s">
        <v>240</v>
      </c>
      <c r="C47" s="140">
        <v>0</v>
      </c>
    </row>
    <row r="48" ht="36.75" customHeight="1" spans="1:3" s="60" customFormat="1" x14ac:dyDescent="0.25">
      <c r="A48" s="139" t="s">
        <v>241</v>
      </c>
      <c r="B48" s="62" t="s">
        <v>242</v>
      </c>
      <c r="C48" s="140">
        <v>0</v>
      </c>
    </row>
    <row r="49" ht="36.75" customHeight="1" spans="1:3" s="60" customFormat="1" x14ac:dyDescent="0.25">
      <c r="A49" s="139" t="s">
        <v>243</v>
      </c>
      <c r="B49" s="139" t="s">
        <v>244</v>
      </c>
      <c r="C49" s="140">
        <v>0</v>
      </c>
    </row>
    <row r="50" ht="36.75" customHeight="1" spans="1:3" s="53" customFormat="1" x14ac:dyDescent="0.25">
      <c r="A50" s="139" t="s">
        <v>245</v>
      </c>
      <c r="B50" s="147" t="s">
        <v>246</v>
      </c>
      <c r="C50" s="140">
        <v>0</v>
      </c>
    </row>
    <row r="51" ht="36.75" customHeight="1" spans="1:3" x14ac:dyDescent="0.25">
      <c r="A51" s="142"/>
      <c r="B51" s="143" t="s">
        <v>247</v>
      </c>
      <c r="C51" s="144"/>
    </row>
    <row r="52" ht="36.75" customHeight="1" spans="1:3" s="53" customFormat="1" x14ac:dyDescent="0.25">
      <c r="A52" s="134" t="s">
        <v>248</v>
      </c>
      <c r="B52" s="147" t="s">
        <v>249</v>
      </c>
      <c r="C52" s="148">
        <f>C40</f>
        <v>40759</v>
      </c>
    </row>
    <row r="53" ht="36.75" customHeight="1" spans="1:3" x14ac:dyDescent="0.25">
      <c r="A53" s="142"/>
      <c r="B53" s="143" t="s">
        <v>250</v>
      </c>
      <c r="C53" s="144"/>
    </row>
    <row r="54" ht="36.75" customHeight="1" spans="1:3" x14ac:dyDescent="0.25">
      <c r="A54" s="139" t="s">
        <v>251</v>
      </c>
      <c r="B54" s="145" t="s">
        <v>252</v>
      </c>
      <c r="C54" s="140">
        <v>0</v>
      </c>
    </row>
    <row r="55" ht="36.75" customHeight="1" spans="1:3" x14ac:dyDescent="0.25">
      <c r="A55" s="139" t="s">
        <v>253</v>
      </c>
      <c r="B55" s="145" t="s">
        <v>254</v>
      </c>
      <c r="C55" s="140">
        <v>0</v>
      </c>
    </row>
    <row r="56" ht="36.75" customHeight="1" spans="1:3" x14ac:dyDescent="0.25">
      <c r="A56" s="139" t="s">
        <v>255</v>
      </c>
      <c r="B56" s="145" t="s">
        <v>256</v>
      </c>
      <c r="C56" s="140">
        <v>0</v>
      </c>
    </row>
    <row r="57" ht="36.75" customHeight="1" spans="1:3" x14ac:dyDescent="0.25">
      <c r="A57" s="139" t="s">
        <v>257</v>
      </c>
      <c r="B57" s="146" t="s">
        <v>258</v>
      </c>
      <c r="C57" s="140">
        <v>0</v>
      </c>
    </row>
    <row r="58" ht="36.75" customHeight="1" spans="1:3" x14ac:dyDescent="0.25">
      <c r="A58" s="139" t="s">
        <v>259</v>
      </c>
      <c r="B58" s="146" t="s">
        <v>260</v>
      </c>
      <c r="C58" s="140">
        <v>0</v>
      </c>
    </row>
    <row r="59" ht="36.75" customHeight="1" spans="1:3" x14ac:dyDescent="0.25">
      <c r="A59" s="139" t="s">
        <v>261</v>
      </c>
      <c r="B59" s="145" t="s">
        <v>262</v>
      </c>
      <c r="C59" s="140">
        <v>0</v>
      </c>
    </row>
    <row r="60" ht="36.75" customHeight="1" spans="1:3" x14ac:dyDescent="0.25">
      <c r="A60" s="139" t="s">
        <v>263</v>
      </c>
      <c r="B60" s="145" t="s">
        <v>264</v>
      </c>
      <c r="C60" s="140">
        <v>0</v>
      </c>
    </row>
    <row r="61" ht="36.75" customHeight="1" spans="1:3" x14ac:dyDescent="0.25">
      <c r="A61" s="139" t="s">
        <v>265</v>
      </c>
      <c r="B61" s="145" t="s">
        <v>266</v>
      </c>
      <c r="C61" s="140">
        <v>0</v>
      </c>
    </row>
    <row r="62" ht="36.75" customHeight="1" spans="1:3" x14ac:dyDescent="0.25">
      <c r="A62" s="139" t="s">
        <v>267</v>
      </c>
      <c r="B62" s="145" t="s">
        <v>268</v>
      </c>
      <c r="C62" s="140">
        <v>0</v>
      </c>
    </row>
    <row r="63" ht="36.75" customHeight="1" spans="1:3" s="53" customFormat="1" x14ac:dyDescent="0.25">
      <c r="A63" s="139" t="s">
        <v>269</v>
      </c>
      <c r="B63" s="147" t="s">
        <v>270</v>
      </c>
      <c r="C63" s="140">
        <v>0</v>
      </c>
    </row>
    <row r="64" ht="36.75" customHeight="1" spans="1:3" x14ac:dyDescent="0.25">
      <c r="A64" s="139" t="s">
        <v>271</v>
      </c>
      <c r="B64" s="145" t="s">
        <v>272</v>
      </c>
      <c r="C64" s="140">
        <v>0</v>
      </c>
    </row>
    <row r="65" ht="36.75" customHeight="1" spans="1:3" s="60" customFormat="1" x14ac:dyDescent="0.25">
      <c r="A65" s="139" t="s">
        <v>273</v>
      </c>
      <c r="B65" s="62" t="s">
        <v>274</v>
      </c>
      <c r="C65" s="140">
        <v>0</v>
      </c>
    </row>
    <row r="66" ht="36.75" customHeight="1" spans="1:3" x14ac:dyDescent="0.25">
      <c r="A66" s="139" t="s">
        <v>275</v>
      </c>
      <c r="B66" s="62" t="s">
        <v>276</v>
      </c>
      <c r="C66" s="140">
        <v>0</v>
      </c>
    </row>
    <row r="67" ht="36.75" customHeight="1" spans="1:3" s="53" customFormat="1" x14ac:dyDescent="0.25">
      <c r="A67" s="139" t="s">
        <v>277</v>
      </c>
      <c r="B67" s="147" t="s">
        <v>278</v>
      </c>
      <c r="C67" s="140">
        <v>0</v>
      </c>
    </row>
    <row r="68" ht="36.75" customHeight="1" spans="1:3" s="53" customFormat="1" x14ac:dyDescent="0.25">
      <c r="A68" s="142"/>
      <c r="B68" s="143" t="s">
        <v>279</v>
      </c>
      <c r="C68" s="149"/>
    </row>
    <row r="69" ht="36.75" customHeight="1" spans="1:3" s="53" customFormat="1" x14ac:dyDescent="0.25">
      <c r="A69" s="139" t="s">
        <v>280</v>
      </c>
      <c r="B69" s="147" t="s">
        <v>281</v>
      </c>
      <c r="C69" s="140">
        <f>C52</f>
        <v>40759</v>
      </c>
    </row>
    <row r="70" ht="27.75" customHeight="1" spans="2:2" x14ac:dyDescent="0.25">
      <c r="B70" s="50"/>
    </row>
  </sheetData>
  <sheetProtection sheet="1" algorithmName="SHA-512" hashValue="6NiZyHoD9v0/SUA1W9nY/gDkcyGRaADi039wZpOrmsP8/EJn2RzKWJCOf3KoN29h7Rwfy/J9O0d5jq81iQEwnQ==" saltValue="nDK/l7lzOsqJkFPRF4MFpA==" spinCount="100000" objects="1" scenarios="1"/>
  <mergeCells count="1">
    <mergeCell ref="A1:B1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46" fitToWidth="1" fitToHeight="1" firstPageNumber="1" useFirstPageNumber="1" copies="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 zoomScale="70" zoomScaleNormal="70" view="pageBreakPreview">
      <selection activeCell="C69" sqref="C69"/>
    </sheetView>
  </sheetViews>
  <sheetFormatPr defaultRowHeight="17.25" outlineLevelRow="0" outlineLevelCol="0" x14ac:dyDescent="0" defaultColWidth="10" customHeight="1"/>
  <cols>
    <col min="1" max="1" width="9.7265625" style="50" customWidth="1"/>
    <col min="2" max="2" width="84.6328125" style="50" customWidth="1"/>
    <col min="3" max="3" width="19.08984375" style="51" customWidth="1"/>
    <col min="4" max="4" width="25.6328125" style="51" customWidth="1"/>
    <col min="5" max="16384" width="10" style="50" customWidth="1"/>
  </cols>
  <sheetData>
    <row r="1" ht="29.25" customHeight="1" spans="1:4" x14ac:dyDescent="0.25">
      <c r="A1" s="119" t="s">
        <v>165</v>
      </c>
      <c r="B1" s="119"/>
      <c r="C1" s="119"/>
      <c r="D1" s="120" t="s">
        <v>38</v>
      </c>
    </row>
    <row r="2" ht="18" customHeight="1" spans="1:3" x14ac:dyDescent="0.25">
      <c r="A2" s="117"/>
      <c r="B2" s="55"/>
      <c r="C2" s="52"/>
    </row>
    <row r="3" ht="17.5" customHeight="1" spans="1:12" s="122" customFormat="1" x14ac:dyDescent="0.25">
      <c r="A3" s="150"/>
      <c r="B3" s="151"/>
      <c r="D3" s="152"/>
      <c r="E3" s="125"/>
      <c r="F3" s="125"/>
      <c r="G3" s="125"/>
      <c r="H3" s="125"/>
      <c r="I3" s="125"/>
      <c r="J3" s="125"/>
      <c r="K3" s="125"/>
      <c r="L3" s="125"/>
    </row>
    <row r="4" ht="9.75" customHeight="1" spans="1:4" s="122" customFormat="1" x14ac:dyDescent="0.25">
      <c r="A4" s="153"/>
      <c r="B4" s="154"/>
      <c r="D4" s="152"/>
    </row>
    <row r="5" ht="17.5" customHeight="1" spans="1:4" s="122" customFormat="1" x14ac:dyDescent="0.25">
      <c r="A5" s="153"/>
      <c r="B5" s="154"/>
      <c r="D5" s="152"/>
    </row>
    <row r="6" ht="17.5" customHeight="1" spans="1:4" s="122" customFormat="1" x14ac:dyDescent="0.25">
      <c r="A6" s="150"/>
      <c r="B6" s="154"/>
      <c r="D6" s="152"/>
    </row>
    <row r="7" ht="17.5" customHeight="1" spans="1:3" x14ac:dyDescent="0.25">
      <c r="A7" s="117"/>
      <c r="B7" s="155"/>
      <c r="C7" s="50"/>
    </row>
    <row r="8" ht="18" customHeight="1" spans="1:3" x14ac:dyDescent="0.25">
      <c r="A8" s="117"/>
      <c r="B8" s="50"/>
      <c r="C8" s="50"/>
    </row>
    <row r="9" ht="27.75" customHeight="1" spans="1:3" x14ac:dyDescent="0.25">
      <c r="A9" s="156" t="s">
        <v>282</v>
      </c>
      <c r="B9" s="156"/>
      <c r="C9" s="156"/>
    </row>
    <row r="10" ht="27.75" customHeight="1" spans="1:3" x14ac:dyDescent="0.25">
      <c r="A10" s="156"/>
      <c r="B10" s="157"/>
      <c r="C10" s="156"/>
    </row>
    <row r="11" ht="54" customHeight="1" spans="1:4" s="51" customFormat="1" x14ac:dyDescent="0.25">
      <c r="A11" s="135" t="s">
        <v>113</v>
      </c>
      <c r="B11" s="58" t="s">
        <v>145</v>
      </c>
      <c r="C11" s="158" t="s">
        <v>166</v>
      </c>
      <c r="D11" s="158" t="s">
        <v>283</v>
      </c>
    </row>
    <row r="12" ht="27.75" customHeight="1" spans="1:4" x14ac:dyDescent="0.25">
      <c r="A12" s="159"/>
      <c r="B12" s="143" t="s">
        <v>284</v>
      </c>
      <c r="C12" s="160"/>
      <c r="D12" s="161"/>
    </row>
    <row r="13" ht="22.5" customHeight="1" spans="1:4" x14ac:dyDescent="0.25">
      <c r="A13" s="63" t="s">
        <v>285</v>
      </c>
      <c r="B13" s="145" t="s">
        <v>286</v>
      </c>
      <c r="C13" s="162">
        <v>-376</v>
      </c>
      <c r="D13" s="163" t="s">
        <v>154</v>
      </c>
    </row>
    <row r="14" ht="22.5" customHeight="1" spans="1:4" x14ac:dyDescent="0.25">
      <c r="A14" s="63" t="s">
        <v>287</v>
      </c>
      <c r="B14" s="145" t="s">
        <v>288</v>
      </c>
      <c r="C14" s="162">
        <v>0</v>
      </c>
      <c r="D14" s="164" t="s">
        <v>157</v>
      </c>
    </row>
    <row r="15" ht="22.5" customHeight="1" spans="1:4" s="53" customFormat="1" x14ac:dyDescent="0.25">
      <c r="A15" s="165" t="s">
        <v>188</v>
      </c>
      <c r="B15" s="166" t="s">
        <v>289</v>
      </c>
      <c r="C15" s="167">
        <v>376</v>
      </c>
      <c r="D15" s="168" t="s">
        <v>290</v>
      </c>
    </row>
    <row r="16" ht="27.75" customHeight="1" spans="1:4" x14ac:dyDescent="0.25">
      <c r="A16" s="159"/>
      <c r="B16" s="143" t="s">
        <v>291</v>
      </c>
      <c r="C16" s="160"/>
      <c r="D16" s="161"/>
    </row>
    <row r="17" ht="36" customHeight="1" spans="1:4" x14ac:dyDescent="0.25">
      <c r="A17" s="159"/>
      <c r="B17" s="169" t="s">
        <v>292</v>
      </c>
      <c r="C17" s="160"/>
      <c r="D17" s="161"/>
    </row>
    <row r="18" ht="54.75" customHeight="1" spans="1:4" x14ac:dyDescent="0.25">
      <c r="A18" s="170" t="s">
        <v>293</v>
      </c>
      <c r="B18" s="171" t="s">
        <v>294</v>
      </c>
      <c r="C18" s="172">
        <v>0</v>
      </c>
      <c r="D18" s="163" t="s">
        <v>154</v>
      </c>
    </row>
    <row r="19" ht="22.5" customHeight="1" spans="1:4" x14ac:dyDescent="0.25">
      <c r="A19" s="63" t="s">
        <v>295</v>
      </c>
      <c r="B19" s="145" t="s">
        <v>288</v>
      </c>
      <c r="C19" s="162">
        <v>0</v>
      </c>
      <c r="D19" s="164" t="s">
        <v>157</v>
      </c>
    </row>
    <row r="20" ht="54.75" customHeight="1" spans="1:4" x14ac:dyDescent="0.25">
      <c r="A20" s="63" t="s">
        <v>296</v>
      </c>
      <c r="B20" s="173" t="s">
        <v>297</v>
      </c>
      <c r="C20" s="162">
        <v>0</v>
      </c>
      <c r="D20" s="168" t="s">
        <v>290</v>
      </c>
    </row>
    <row r="21" ht="36" customHeight="1" spans="1:4" x14ac:dyDescent="0.25">
      <c r="A21" s="159"/>
      <c r="B21" s="169" t="s">
        <v>298</v>
      </c>
      <c r="C21" s="160"/>
      <c r="D21" s="161"/>
    </row>
    <row r="22" ht="54.75" customHeight="1" spans="1:4" x14ac:dyDescent="0.25">
      <c r="A22" s="63" t="s">
        <v>299</v>
      </c>
      <c r="B22" s="173" t="s">
        <v>300</v>
      </c>
      <c r="C22" s="162">
        <v>0</v>
      </c>
      <c r="D22" s="174" t="s">
        <v>154</v>
      </c>
    </row>
    <row r="23" ht="34.5" customHeight="1" spans="1:4" x14ac:dyDescent="0.25">
      <c r="A23" s="63" t="s">
        <v>301</v>
      </c>
      <c r="B23" s="145" t="s">
        <v>288</v>
      </c>
      <c r="C23" s="162">
        <v>0</v>
      </c>
      <c r="D23" s="164" t="s">
        <v>157</v>
      </c>
    </row>
    <row r="24" ht="54.75" customHeight="1" spans="1:4" x14ac:dyDescent="0.25">
      <c r="A24" s="63" t="s">
        <v>302</v>
      </c>
      <c r="B24" s="139" t="s">
        <v>303</v>
      </c>
      <c r="C24" s="162">
        <v>0</v>
      </c>
      <c r="D24" s="168" t="s">
        <v>290</v>
      </c>
    </row>
    <row r="25" ht="54.75" customHeight="1" spans="1:4" x14ac:dyDescent="0.25">
      <c r="A25" s="63" t="s">
        <v>190</v>
      </c>
      <c r="B25" s="62" t="s">
        <v>304</v>
      </c>
      <c r="C25" s="175">
        <v>0</v>
      </c>
      <c r="D25" s="176"/>
    </row>
    <row r="26" ht="54.75" customHeight="1" spans="1:4" x14ac:dyDescent="0.25">
      <c r="A26" s="63" t="s">
        <v>305</v>
      </c>
      <c r="B26" s="62" t="s">
        <v>306</v>
      </c>
      <c r="C26" s="175">
        <v>0</v>
      </c>
      <c r="D26" s="176"/>
    </row>
    <row r="27" ht="27.75" customHeight="1" spans="1:4" x14ac:dyDescent="0.25">
      <c r="A27" s="159"/>
      <c r="B27" s="143" t="s">
        <v>307</v>
      </c>
      <c r="C27" s="160"/>
      <c r="D27" s="177"/>
    </row>
    <row r="28" ht="54.75" customHeight="1" spans="1:4" x14ac:dyDescent="0.25">
      <c r="A28" s="159"/>
      <c r="B28" s="169" t="s">
        <v>308</v>
      </c>
      <c r="C28" s="160"/>
      <c r="D28" s="161"/>
    </row>
    <row r="29" ht="54.75" customHeight="1" spans="1:4" s="60" customFormat="1" x14ac:dyDescent="0.25">
      <c r="A29" s="62" t="s">
        <v>309</v>
      </c>
      <c r="B29" s="62" t="s">
        <v>310</v>
      </c>
      <c r="C29" s="162">
        <v>0</v>
      </c>
      <c r="D29" s="174" t="s">
        <v>154</v>
      </c>
    </row>
    <row r="30" ht="35.25" customHeight="1" spans="1:4" s="60" customFormat="1" x14ac:dyDescent="0.25">
      <c r="A30" s="62" t="s">
        <v>311</v>
      </c>
      <c r="B30" s="62" t="s">
        <v>312</v>
      </c>
      <c r="C30" s="162">
        <v>0</v>
      </c>
      <c r="D30" s="164" t="s">
        <v>157</v>
      </c>
    </row>
    <row r="31" ht="54.75" customHeight="1" spans="1:4" s="60" customFormat="1" x14ac:dyDescent="0.25">
      <c r="A31" s="62" t="s">
        <v>313</v>
      </c>
      <c r="B31" s="62" t="s">
        <v>314</v>
      </c>
      <c r="C31" s="162">
        <v>0</v>
      </c>
      <c r="D31" s="178" t="s">
        <v>290</v>
      </c>
    </row>
    <row r="32" ht="22.5" customHeight="1" spans="1:4" s="60" customFormat="1" x14ac:dyDescent="0.25">
      <c r="A32" s="62" t="s">
        <v>315</v>
      </c>
      <c r="B32" s="62" t="s">
        <v>316</v>
      </c>
      <c r="C32" s="162">
        <v>0</v>
      </c>
      <c r="D32" s="178"/>
    </row>
    <row r="33" ht="22.5" customHeight="1" spans="1:4" s="60" customFormat="1" x14ac:dyDescent="0.25">
      <c r="A33" s="62" t="s">
        <v>317</v>
      </c>
      <c r="B33" s="62" t="s">
        <v>318</v>
      </c>
      <c r="C33" s="162">
        <v>0</v>
      </c>
      <c r="D33" s="174" t="s">
        <v>164</v>
      </c>
    </row>
    <row r="34" ht="22.5" customHeight="1" spans="1:4" s="60" customFormat="1" x14ac:dyDescent="0.25">
      <c r="A34" s="62" t="s">
        <v>319</v>
      </c>
      <c r="B34" s="62" t="s">
        <v>320</v>
      </c>
      <c r="C34" s="162">
        <v>0</v>
      </c>
      <c r="D34" s="164" t="s">
        <v>321</v>
      </c>
    </row>
    <row r="35" ht="27.75" customHeight="1" spans="1:4" x14ac:dyDescent="0.25">
      <c r="A35" s="159"/>
      <c r="B35" s="143" t="s">
        <v>322</v>
      </c>
      <c r="C35" s="160"/>
      <c r="D35" s="177"/>
    </row>
    <row r="36" ht="22.5" customHeight="1" spans="1:4" s="60" customFormat="1" x14ac:dyDescent="0.25">
      <c r="A36" s="62" t="s">
        <v>192</v>
      </c>
      <c r="B36" s="62" t="s">
        <v>323</v>
      </c>
      <c r="C36" s="162">
        <v>0</v>
      </c>
      <c r="D36" s="164"/>
    </row>
    <row r="37" ht="22.5" customHeight="1" spans="1:4" s="60" customFormat="1" x14ac:dyDescent="0.25">
      <c r="A37" s="62" t="s">
        <v>237</v>
      </c>
      <c r="B37" s="62" t="s">
        <v>324</v>
      </c>
      <c r="C37" s="162">
        <v>0</v>
      </c>
      <c r="D37" s="164"/>
    </row>
    <row r="38" ht="22.5" customHeight="1" spans="1:4" s="60" customFormat="1" x14ac:dyDescent="0.25">
      <c r="A38" s="62" t="s">
        <v>271</v>
      </c>
      <c r="B38" s="62" t="s">
        <v>325</v>
      </c>
      <c r="C38" s="162">
        <v>0</v>
      </c>
      <c r="D38" s="164"/>
    </row>
    <row r="39" ht="27.75" customHeight="1" spans="1:4" x14ac:dyDescent="0.25">
      <c r="A39" s="159"/>
      <c r="B39" s="143" t="s">
        <v>326</v>
      </c>
      <c r="C39" s="160"/>
      <c r="D39" s="177"/>
    </row>
    <row r="40" ht="22.5" customHeight="1" spans="1:4" s="60" customFormat="1" x14ac:dyDescent="0.25">
      <c r="A40" s="62" t="s">
        <v>327</v>
      </c>
      <c r="B40" s="62" t="s">
        <v>328</v>
      </c>
      <c r="C40" s="162">
        <v>0</v>
      </c>
      <c r="D40" s="164" t="s">
        <v>329</v>
      </c>
    </row>
    <row r="41" ht="22.5" customHeight="1" spans="1:4" s="60" customFormat="1" x14ac:dyDescent="0.25">
      <c r="A41" s="62" t="s">
        <v>330</v>
      </c>
      <c r="B41" s="62" t="s">
        <v>324</v>
      </c>
      <c r="C41" s="162">
        <v>0</v>
      </c>
      <c r="D41" s="164" t="s">
        <v>331</v>
      </c>
    </row>
    <row r="42" ht="22.5" customHeight="1" spans="1:4" s="60" customFormat="1" x14ac:dyDescent="0.25">
      <c r="A42" s="62" t="s">
        <v>332</v>
      </c>
      <c r="B42" s="62" t="s">
        <v>325</v>
      </c>
      <c r="C42" s="162">
        <v>0</v>
      </c>
      <c r="D42" s="164" t="s">
        <v>333</v>
      </c>
    </row>
    <row r="43" ht="22.5" customHeight="1" spans="1:4" s="60" customFormat="1" x14ac:dyDescent="0.25">
      <c r="A43" s="62" t="s">
        <v>210</v>
      </c>
      <c r="B43" s="62" t="s">
        <v>211</v>
      </c>
      <c r="C43" s="162">
        <f>+'EP03'!C69</f>
        <v>40759</v>
      </c>
      <c r="D43" s="164" t="s">
        <v>334</v>
      </c>
    </row>
    <row r="44" ht="22.5" customHeight="1" spans="1:4" s="60" customFormat="1" x14ac:dyDescent="0.25">
      <c r="A44" s="62" t="s">
        <v>335</v>
      </c>
      <c r="B44" s="62" t="s">
        <v>336</v>
      </c>
      <c r="C44" s="162">
        <v>0</v>
      </c>
      <c r="D44" s="164" t="s">
        <v>337</v>
      </c>
    </row>
    <row r="45" ht="22.5" customHeight="1" spans="1:4" s="60" customFormat="1" x14ac:dyDescent="0.25">
      <c r="A45" s="62" t="s">
        <v>212</v>
      </c>
      <c r="B45" s="62" t="s">
        <v>338</v>
      </c>
      <c r="C45" s="162">
        <v>0</v>
      </c>
      <c r="D45" s="164" t="s">
        <v>339</v>
      </c>
    </row>
    <row r="46" ht="22.5" customHeight="1" spans="1:4" s="60" customFormat="1" x14ac:dyDescent="0.25">
      <c r="A46" s="62" t="s">
        <v>239</v>
      </c>
      <c r="B46" s="62" t="s">
        <v>340</v>
      </c>
      <c r="C46" s="162">
        <v>0</v>
      </c>
      <c r="D46" s="164" t="s">
        <v>341</v>
      </c>
    </row>
    <row r="47" ht="22.5" customHeight="1" spans="1:4" s="60" customFormat="1" x14ac:dyDescent="0.25">
      <c r="A47" s="62" t="s">
        <v>273</v>
      </c>
      <c r="B47" s="62" t="s">
        <v>342</v>
      </c>
      <c r="C47" s="162">
        <v>0</v>
      </c>
      <c r="D47" s="164" t="s">
        <v>343</v>
      </c>
    </row>
    <row r="48" ht="22.5" customHeight="1" spans="1:4" s="60" customFormat="1" x14ac:dyDescent="0.25">
      <c r="A48" s="62" t="s">
        <v>344</v>
      </c>
      <c r="B48" s="62" t="s">
        <v>345</v>
      </c>
      <c r="C48" s="162">
        <v>0</v>
      </c>
      <c r="D48" s="164" t="s">
        <v>346</v>
      </c>
    </row>
    <row r="49" ht="27.75" customHeight="1" spans="1:4" x14ac:dyDescent="0.25">
      <c r="A49" s="159"/>
      <c r="B49" s="143" t="s">
        <v>347</v>
      </c>
      <c r="C49" s="160"/>
      <c r="D49" s="177"/>
    </row>
    <row r="50" ht="22.5" customHeight="1" spans="1:4" s="60" customFormat="1" x14ac:dyDescent="0.25">
      <c r="A50" s="62" t="s">
        <v>348</v>
      </c>
      <c r="B50" s="62" t="s">
        <v>349</v>
      </c>
      <c r="C50" s="162">
        <v>0</v>
      </c>
      <c r="D50" s="164" t="s">
        <v>350</v>
      </c>
    </row>
    <row r="51" ht="22.5" customHeight="1" spans="1:4" s="60" customFormat="1" x14ac:dyDescent="0.25">
      <c r="A51" s="62" t="s">
        <v>351</v>
      </c>
      <c r="B51" s="62" t="s">
        <v>352</v>
      </c>
      <c r="C51" s="162">
        <v>0</v>
      </c>
      <c r="D51" s="164" t="s">
        <v>353</v>
      </c>
    </row>
    <row r="52" ht="22.5" customHeight="1" spans="1:4" s="60" customFormat="1" x14ac:dyDescent="0.25">
      <c r="A52" s="62" t="s">
        <v>354</v>
      </c>
      <c r="B52" s="62" t="s">
        <v>324</v>
      </c>
      <c r="C52" s="162">
        <v>0</v>
      </c>
      <c r="D52" s="164" t="s">
        <v>355</v>
      </c>
    </row>
    <row r="53" ht="22.5" customHeight="1" spans="1:4" s="60" customFormat="1" x14ac:dyDescent="0.25">
      <c r="A53" s="62" t="s">
        <v>356</v>
      </c>
      <c r="B53" s="62" t="s">
        <v>325</v>
      </c>
      <c r="C53" s="162">
        <v>0</v>
      </c>
      <c r="D53" s="164" t="s">
        <v>357</v>
      </c>
    </row>
    <row r="54" ht="54.75" customHeight="1" spans="1:4" s="60" customFormat="1" x14ac:dyDescent="0.25">
      <c r="A54" s="62" t="s">
        <v>214</v>
      </c>
      <c r="B54" s="62" t="s">
        <v>215</v>
      </c>
      <c r="C54" s="162">
        <f>C43</f>
        <v>40759</v>
      </c>
      <c r="D54" s="164" t="s">
        <v>358</v>
      </c>
    </row>
    <row r="55" ht="22.5" customHeight="1" spans="1:4" s="60" customFormat="1" x14ac:dyDescent="0.25">
      <c r="A55" s="62" t="s">
        <v>359</v>
      </c>
      <c r="B55" s="62" t="s">
        <v>360</v>
      </c>
      <c r="C55" s="162">
        <v>0</v>
      </c>
      <c r="D55" s="164" t="s">
        <v>361</v>
      </c>
    </row>
    <row r="56" ht="22.5" customHeight="1" spans="1:4" s="60" customFormat="1" x14ac:dyDescent="0.25">
      <c r="A56" s="179" t="s">
        <v>216</v>
      </c>
      <c r="B56" s="62" t="s">
        <v>362</v>
      </c>
      <c r="C56" s="162">
        <v>0</v>
      </c>
      <c r="D56" s="164" t="s">
        <v>363</v>
      </c>
    </row>
    <row r="57" ht="22.5" customHeight="1" spans="1:4" s="60" customFormat="1" x14ac:dyDescent="0.25">
      <c r="A57" s="179" t="s">
        <v>194</v>
      </c>
      <c r="B57" s="62" t="s">
        <v>364</v>
      </c>
      <c r="C57" s="162">
        <v>0</v>
      </c>
      <c r="D57" s="164" t="s">
        <v>365</v>
      </c>
    </row>
    <row r="58" ht="22.5" customHeight="1" spans="1:4" s="60" customFormat="1" x14ac:dyDescent="0.25">
      <c r="A58" s="179" t="s">
        <v>241</v>
      </c>
      <c r="B58" s="62" t="s">
        <v>340</v>
      </c>
      <c r="C58" s="162">
        <v>0</v>
      </c>
      <c r="D58" s="164" t="s">
        <v>366</v>
      </c>
    </row>
    <row r="59" ht="22.5" customHeight="1" spans="1:4" s="60" customFormat="1" x14ac:dyDescent="0.25">
      <c r="A59" s="179" t="s">
        <v>275</v>
      </c>
      <c r="B59" s="62" t="s">
        <v>342</v>
      </c>
      <c r="C59" s="162">
        <v>0</v>
      </c>
      <c r="D59" s="180" t="s">
        <v>367</v>
      </c>
    </row>
    <row r="60" ht="27.75" customHeight="1" spans="1:4" x14ac:dyDescent="0.25">
      <c r="A60" s="159"/>
      <c r="B60" s="143" t="s">
        <v>368</v>
      </c>
      <c r="C60" s="160"/>
      <c r="D60" s="177"/>
    </row>
    <row r="61" ht="54.75" customHeight="1" spans="1:4" x14ac:dyDescent="0.25">
      <c r="A61" s="63" t="s">
        <v>305</v>
      </c>
      <c r="B61" s="62" t="s">
        <v>369</v>
      </c>
      <c r="C61" s="162"/>
      <c r="D61" s="180" t="s">
        <v>370</v>
      </c>
    </row>
    <row r="62" ht="59.25" customHeight="1" spans="1:4" x14ac:dyDescent="0.25">
      <c r="A62" s="63" t="s">
        <v>218</v>
      </c>
      <c r="B62" s="62" t="s">
        <v>371</v>
      </c>
      <c r="C62" s="162">
        <v>0</v>
      </c>
      <c r="D62" s="180" t="s">
        <v>372</v>
      </c>
    </row>
    <row r="63" ht="60.75" customHeight="1" spans="1:4" x14ac:dyDescent="0.25">
      <c r="A63" s="63" t="s">
        <v>373</v>
      </c>
      <c r="B63" s="62" t="s">
        <v>374</v>
      </c>
      <c r="C63" s="162">
        <v>0</v>
      </c>
      <c r="D63" s="180" t="s">
        <v>375</v>
      </c>
    </row>
    <row r="64" ht="28.5" customHeight="1" spans="1:4" x14ac:dyDescent="0.25">
      <c r="A64" s="62" t="s">
        <v>376</v>
      </c>
      <c r="B64" s="62" t="s">
        <v>377</v>
      </c>
      <c r="C64" s="162">
        <v>0</v>
      </c>
      <c r="D64" s="180" t="s">
        <v>378</v>
      </c>
    </row>
    <row r="65" ht="28.5" customHeight="1" spans="1:4" x14ac:dyDescent="0.25">
      <c r="A65" s="62" t="s">
        <v>379</v>
      </c>
      <c r="B65" s="62" t="s">
        <v>380</v>
      </c>
      <c r="C65" s="162">
        <v>0</v>
      </c>
      <c r="D65" s="180" t="s">
        <v>381</v>
      </c>
    </row>
    <row r="66" ht="59.25" customHeight="1" spans="1:4" x14ac:dyDescent="0.25">
      <c r="A66" s="62" t="s">
        <v>220</v>
      </c>
      <c r="B66" s="62" t="s">
        <v>221</v>
      </c>
      <c r="C66" s="162">
        <f>C54</f>
        <v>40759</v>
      </c>
      <c r="D66" s="180" t="s">
        <v>382</v>
      </c>
    </row>
    <row r="67" ht="54.75" customHeight="1" spans="1:4" x14ac:dyDescent="0.25">
      <c r="A67" s="62" t="s">
        <v>383</v>
      </c>
      <c r="B67" s="62" t="s">
        <v>384</v>
      </c>
      <c r="C67" s="162">
        <f>C66*17.65%</f>
        <v>7193.9635</v>
      </c>
      <c r="D67" s="180" t="s">
        <v>385</v>
      </c>
    </row>
    <row r="68" ht="27" customHeight="1" spans="1:4" x14ac:dyDescent="0.25">
      <c r="A68" s="62" t="s">
        <v>386</v>
      </c>
      <c r="B68" s="62" t="s">
        <v>387</v>
      </c>
      <c r="C68" s="162">
        <f>-C67</f>
        <v>-7193.9635</v>
      </c>
      <c r="D68" s="181" t="s">
        <v>388</v>
      </c>
    </row>
    <row r="69" ht="22.5" customHeight="1" spans="1:4" x14ac:dyDescent="0.25">
      <c r="A69" s="62" t="s">
        <v>222</v>
      </c>
      <c r="B69" s="62" t="s">
        <v>389</v>
      </c>
      <c r="C69" s="162">
        <v>0</v>
      </c>
      <c r="D69" s="181" t="s">
        <v>390</v>
      </c>
    </row>
  </sheetData>
  <sheetProtection sheet="1" algorithmName="SHA-512" hashValue="tBz42sbDlIirUkm6tWYuz0+t9a9CRbtqbp82znUZMJV1f9BvwXmKk4Pc9cOyMuI1DM2TdUGT50JBMNiWVfI3Rg==" saltValue="rikCqK6xvmC0MmgM9fMnYg==" spinCount="100000" objects="1" scenarios="1"/>
  <mergeCells count="2">
    <mergeCell ref="A1:C1"/>
    <mergeCell ref="A9:C9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56" fitToWidth="1" fitToHeight="1" firstPageNumber="1" useFirstPageNumber="1" copies="1"/>
  <headerFooter>
    <oddFooter>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 zoomScale="70" zoomScaleNormal="60" view="pageBreakPreview">
      <selection activeCell="C17" sqref="C17"/>
    </sheetView>
  </sheetViews>
  <sheetFormatPr defaultRowHeight="27.75" outlineLevelRow="0" outlineLevelCol="0" x14ac:dyDescent="0" defaultColWidth="10" customHeight="1"/>
  <cols>
    <col min="1" max="1" width="11.08984375" style="50" customWidth="1"/>
    <col min="2" max="2" width="122.90625" style="50" customWidth="1"/>
    <col min="3" max="3" width="21.453125" style="51" customWidth="1"/>
    <col min="4" max="4" width="19.81640625" style="51" customWidth="1"/>
    <col min="5" max="16384" width="10" style="50" customWidth="1"/>
  </cols>
  <sheetData>
    <row r="1" ht="45" customHeight="1" spans="1:4" x14ac:dyDescent="0.25">
      <c r="A1" s="119" t="s">
        <v>391</v>
      </c>
      <c r="B1" s="119"/>
      <c r="C1" s="119"/>
      <c r="D1" s="182" t="s">
        <v>40</v>
      </c>
    </row>
    <row r="2" ht="31.5" customHeight="1" x14ac:dyDescent="0.25"/>
    <row r="3" ht="17.5" customHeight="1" spans="1:12" s="122" customFormat="1" x14ac:dyDescent="0.25">
      <c r="A3" s="150"/>
      <c r="B3" s="151"/>
      <c r="E3" s="125"/>
      <c r="F3" s="125"/>
      <c r="G3" s="125"/>
      <c r="H3" s="125"/>
      <c r="I3" s="125"/>
      <c r="J3" s="125"/>
      <c r="K3" s="125"/>
      <c r="L3" s="125"/>
    </row>
    <row r="4" ht="9.75" customHeight="1" spans="1:2" s="122" customFormat="1" x14ac:dyDescent="0.25">
      <c r="A4" s="153"/>
      <c r="B4" s="154"/>
    </row>
    <row r="5" ht="17.5" customHeight="1" spans="1:2" s="122" customFormat="1" x14ac:dyDescent="0.25">
      <c r="A5" s="153"/>
      <c r="B5" s="154"/>
    </row>
    <row r="6" ht="17.5" customHeight="1" spans="1:2" s="122" customFormat="1" x14ac:dyDescent="0.25">
      <c r="A6" s="150"/>
      <c r="B6" s="154"/>
    </row>
    <row r="7" ht="18" customHeight="1" x14ac:dyDescent="0.25"/>
    <row r="8" ht="27.75" customHeight="1" spans="1:3" x14ac:dyDescent="0.25">
      <c r="A8" s="183"/>
      <c r="B8" s="183"/>
      <c r="C8" s="184"/>
    </row>
    <row r="9" ht="40.5" customHeight="1" spans="1:4" s="185" customFormat="1" x14ac:dyDescent="0.25">
      <c r="A9" s="135" t="s">
        <v>113</v>
      </c>
      <c r="B9" s="58" t="s">
        <v>145</v>
      </c>
      <c r="C9" s="58" t="s">
        <v>166</v>
      </c>
      <c r="D9" s="135" t="s">
        <v>283</v>
      </c>
    </row>
    <row r="10" ht="42.75" customHeight="1" spans="1:4" s="186" customFormat="1" x14ac:dyDescent="0.25">
      <c r="A10" s="187" t="s">
        <v>392</v>
      </c>
      <c r="B10" s="146" t="s">
        <v>393</v>
      </c>
      <c r="C10" s="180">
        <v>0.9</v>
      </c>
      <c r="D10" s="63" t="s">
        <v>154</v>
      </c>
    </row>
    <row r="11" ht="15.75" customHeight="1" spans="1:4" s="188" customFormat="1" x14ac:dyDescent="0.25">
      <c r="A11" s="189"/>
      <c r="B11" s="189"/>
      <c r="C11" s="189"/>
      <c r="D11" s="189"/>
    </row>
    <row r="12" ht="36.75" customHeight="1" spans="1:4" s="186" customFormat="1" x14ac:dyDescent="0.25">
      <c r="A12" s="190"/>
      <c r="B12" s="191" t="s">
        <v>394</v>
      </c>
      <c r="C12" s="192"/>
      <c r="D12" s="178"/>
    </row>
    <row r="13" ht="36.75" customHeight="1" spans="1:11" s="186" customFormat="1" x14ac:dyDescent="0.25">
      <c r="A13" s="171" t="s">
        <v>168</v>
      </c>
      <c r="B13" s="193" t="s">
        <v>395</v>
      </c>
      <c r="C13" s="172">
        <v>999999</v>
      </c>
      <c r="D13" s="194" t="s">
        <v>157</v>
      </c>
      <c r="E13" s="186"/>
      <c r="F13" s="186"/>
      <c r="G13" s="186"/>
      <c r="H13" s="186"/>
      <c r="I13" s="186"/>
      <c r="J13" s="186"/>
      <c r="K13" s="186"/>
    </row>
    <row r="14" ht="36.75" customHeight="1" spans="1:4" s="186" customFormat="1" x14ac:dyDescent="0.25">
      <c r="A14" s="187" t="s">
        <v>396</v>
      </c>
      <c r="B14" s="146" t="s">
        <v>397</v>
      </c>
      <c r="C14" s="162"/>
      <c r="D14" s="63" t="s">
        <v>160</v>
      </c>
    </row>
    <row r="15" ht="36.75" customHeight="1" spans="1:4" s="186" customFormat="1" x14ac:dyDescent="0.25">
      <c r="A15" s="187" t="s">
        <v>398</v>
      </c>
      <c r="B15" s="146" t="s">
        <v>262</v>
      </c>
      <c r="C15" s="162"/>
      <c r="D15" s="180" t="s">
        <v>164</v>
      </c>
    </row>
    <row r="16" ht="36.75" customHeight="1" spans="1:4" s="186" customFormat="1" x14ac:dyDescent="0.25">
      <c r="A16" s="187" t="s">
        <v>399</v>
      </c>
      <c r="B16" s="146" t="s">
        <v>264</v>
      </c>
      <c r="C16" s="162">
        <v>0</v>
      </c>
      <c r="D16" s="63" t="s">
        <v>321</v>
      </c>
    </row>
    <row r="17" ht="36.75" customHeight="1" spans="1:4" s="186" customFormat="1" x14ac:dyDescent="0.25">
      <c r="A17" s="187" t="s">
        <v>400</v>
      </c>
      <c r="B17" s="146" t="s">
        <v>401</v>
      </c>
      <c r="C17" s="162">
        <v>0</v>
      </c>
      <c r="D17" s="180" t="s">
        <v>402</v>
      </c>
    </row>
    <row r="18" ht="36.75" customHeight="1" spans="1:4" s="186" customFormat="1" x14ac:dyDescent="0.25">
      <c r="A18" s="187" t="s">
        <v>403</v>
      </c>
      <c r="B18" s="146" t="s">
        <v>404</v>
      </c>
      <c r="C18" s="162">
        <v>0</v>
      </c>
      <c r="D18" s="63" t="s">
        <v>405</v>
      </c>
    </row>
    <row r="19" ht="36.75" customHeight="1" spans="1:4" s="186" customFormat="1" x14ac:dyDescent="0.25">
      <c r="A19" s="187" t="s">
        <v>406</v>
      </c>
      <c r="B19" s="146" t="s">
        <v>407</v>
      </c>
      <c r="C19" s="162"/>
      <c r="D19" s="180" t="s">
        <v>333</v>
      </c>
    </row>
    <row r="20" ht="51.75" customHeight="1" spans="1:4" s="188" customFormat="1" x14ac:dyDescent="0.25">
      <c r="A20" s="134" t="s">
        <v>180</v>
      </c>
      <c r="B20" s="195" t="s">
        <v>408</v>
      </c>
      <c r="C20" s="196">
        <v>0</v>
      </c>
      <c r="D20" s="135" t="s">
        <v>409</v>
      </c>
    </row>
    <row r="21" ht="51.75" customHeight="1" spans="1:4" s="188" customFormat="1" x14ac:dyDescent="0.25">
      <c r="A21" s="134" t="s">
        <v>233</v>
      </c>
      <c r="B21" s="195" t="s">
        <v>410</v>
      </c>
      <c r="C21" s="162"/>
      <c r="D21" s="135"/>
    </row>
    <row r="22" ht="36.75" customHeight="1" spans="1:4" s="186" customFormat="1" x14ac:dyDescent="0.25">
      <c r="A22" s="187" t="s">
        <v>411</v>
      </c>
      <c r="B22" s="146" t="s">
        <v>412</v>
      </c>
      <c r="C22" s="162">
        <v>0</v>
      </c>
      <c r="D22" s="63"/>
    </row>
    <row r="23" ht="45" customHeight="1" spans="1:4" s="188" customFormat="1" x14ac:dyDescent="0.25">
      <c r="A23" s="134" t="s">
        <v>257</v>
      </c>
      <c r="B23" s="195" t="s">
        <v>413</v>
      </c>
      <c r="C23" s="196"/>
      <c r="D23" s="135"/>
    </row>
    <row r="24" ht="36.75" customHeight="1" spans="1:4" s="188" customFormat="1" x14ac:dyDescent="0.25">
      <c r="A24" s="134" t="s">
        <v>261</v>
      </c>
      <c r="B24" s="195" t="s">
        <v>414</v>
      </c>
      <c r="C24" s="196">
        <v>0</v>
      </c>
      <c r="D24" s="135"/>
    </row>
    <row r="25" ht="36.75" customHeight="1" spans="1:4" s="188" customFormat="1" x14ac:dyDescent="0.25">
      <c r="A25" s="134" t="s">
        <v>263</v>
      </c>
      <c r="B25" s="195" t="s">
        <v>415</v>
      </c>
      <c r="C25" s="196">
        <v>0</v>
      </c>
      <c r="D25" s="197"/>
    </row>
    <row r="26" ht="36.75" customHeight="1" spans="1:4" s="186" customFormat="1" x14ac:dyDescent="0.25">
      <c r="A26" s="187" t="s">
        <v>416</v>
      </c>
      <c r="B26" s="146" t="s">
        <v>417</v>
      </c>
      <c r="C26" s="162"/>
      <c r="D26" s="178"/>
    </row>
    <row r="27" ht="15.75" customHeight="1" spans="1:4" s="188" customFormat="1" x14ac:dyDescent="0.25">
      <c r="A27" s="189"/>
      <c r="B27" s="189"/>
      <c r="C27" s="189"/>
      <c r="D27" s="189"/>
    </row>
    <row r="28" ht="36.75" customHeight="1" spans="1:4" s="186" customFormat="1" x14ac:dyDescent="0.25">
      <c r="A28" s="190"/>
      <c r="B28" s="191" t="s">
        <v>418</v>
      </c>
      <c r="C28" s="192"/>
      <c r="D28" s="178"/>
    </row>
    <row r="29" ht="36.75" customHeight="1" spans="1:4" s="188" customFormat="1" x14ac:dyDescent="0.25">
      <c r="A29" s="187" t="s">
        <v>419</v>
      </c>
      <c r="B29" s="146" t="s">
        <v>420</v>
      </c>
      <c r="C29" s="196"/>
      <c r="D29" s="180" t="s">
        <v>421</v>
      </c>
    </row>
    <row r="30" ht="49.5" customHeight="1" spans="1:4" s="186" customFormat="1" x14ac:dyDescent="0.25">
      <c r="A30" s="187" t="s">
        <v>422</v>
      </c>
      <c r="B30" s="146" t="s">
        <v>423</v>
      </c>
      <c r="C30" s="196">
        <v>0</v>
      </c>
      <c r="D30" s="180" t="s">
        <v>424</v>
      </c>
    </row>
    <row r="31" ht="36.75" customHeight="1" spans="1:4" s="188" customFormat="1" x14ac:dyDescent="0.25">
      <c r="A31" s="187" t="s">
        <v>425</v>
      </c>
      <c r="B31" s="146" t="s">
        <v>426</v>
      </c>
      <c r="C31" s="196"/>
      <c r="D31" s="63" t="s">
        <v>427</v>
      </c>
    </row>
    <row r="32" ht="36.75" customHeight="1" spans="1:4" s="186" customFormat="1" x14ac:dyDescent="0.25">
      <c r="A32" s="187" t="s">
        <v>428</v>
      </c>
      <c r="B32" s="146" t="s">
        <v>429</v>
      </c>
      <c r="C32" s="196"/>
      <c r="D32" s="63" t="s">
        <v>430</v>
      </c>
    </row>
    <row r="33" ht="36.75" customHeight="1" spans="1:4" s="188" customFormat="1" x14ac:dyDescent="0.25">
      <c r="A33" s="187" t="s">
        <v>431</v>
      </c>
      <c r="B33" s="146" t="s">
        <v>432</v>
      </c>
      <c r="C33" s="196">
        <v>0</v>
      </c>
      <c r="D33" s="180" t="s">
        <v>433</v>
      </c>
    </row>
    <row r="34" ht="45" customHeight="1" spans="1:4" s="186" customFormat="1" x14ac:dyDescent="0.25">
      <c r="A34" s="187" t="s">
        <v>434</v>
      </c>
      <c r="B34" s="146" t="s">
        <v>435</v>
      </c>
      <c r="C34" s="196">
        <v>0</v>
      </c>
      <c r="D34" s="63" t="s">
        <v>436</v>
      </c>
    </row>
    <row r="35" ht="45" customHeight="1" spans="1:4" s="188" customFormat="1" x14ac:dyDescent="0.25">
      <c r="A35" s="187" t="s">
        <v>437</v>
      </c>
      <c r="B35" s="146" t="s">
        <v>438</v>
      </c>
      <c r="C35" s="196"/>
      <c r="D35" s="180" t="s">
        <v>353</v>
      </c>
    </row>
    <row r="36" ht="45" customHeight="1" spans="1:4" s="188" customFormat="1" x14ac:dyDescent="0.25">
      <c r="A36" s="134" t="s">
        <v>259</v>
      </c>
      <c r="B36" s="195" t="s">
        <v>439</v>
      </c>
      <c r="C36" s="196">
        <v>0</v>
      </c>
      <c r="D36" s="135" t="s">
        <v>440</v>
      </c>
    </row>
    <row r="37" ht="15.75" customHeight="1" spans="1:4" s="188" customFormat="1" x14ac:dyDescent="0.25">
      <c r="A37" s="198"/>
      <c r="B37" s="198"/>
      <c r="C37" s="198"/>
      <c r="D37" s="198"/>
    </row>
    <row r="38" ht="23.25" customHeight="1" spans="1:4" s="186" customFormat="1" x14ac:dyDescent="0.25">
      <c r="A38" s="199" t="s">
        <v>441</v>
      </c>
      <c r="B38" s="199"/>
      <c r="C38" s="200"/>
      <c r="D38" s="64"/>
    </row>
    <row r="39" ht="23.25" customHeight="1" spans="1:4" s="188" customFormat="1" x14ac:dyDescent="0.25">
      <c r="A39" s="199" t="s">
        <v>442</v>
      </c>
      <c r="B39" s="199"/>
      <c r="C39" s="185"/>
      <c r="D39" s="200"/>
    </row>
  </sheetData>
  <sheetProtection sheet="1" algorithmName="SHA-512" hashValue="niyhnkS3J/pQJ7+CWknt10uCX8Ta8hGfyXSCvqJQbXpjcnmz99zr272SxN7WjoyhvTrLuTeOO7Qzq3Oxb0oH/g==" saltValue="ohP2bOOWugTCbxmS6L6Rrw==" spinCount="100000" objects="1" scenarios="1"/>
  <mergeCells count="6">
    <mergeCell ref="A1:C1"/>
    <mergeCell ref="A11:D11"/>
    <mergeCell ref="A27:D27"/>
    <mergeCell ref="A37:D37"/>
    <mergeCell ref="A38:B38"/>
    <mergeCell ref="A39:B39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44" fitToWidth="1" fitToHeight="1" firstPageNumber="1" useFirstPageNumber="1" copies="1"/>
  <headerFooter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 zoomScale="61" zoomScaleNormal="70" view="pageBreakPreview">
      <selection activeCell="B51" sqref="B51"/>
    </sheetView>
  </sheetViews>
  <sheetFormatPr defaultRowHeight="27.75" outlineLevelRow="0" outlineLevelCol="0" x14ac:dyDescent="0" defaultColWidth="10" customHeight="1"/>
  <cols>
    <col min="1" max="1" width="11.08984375" style="117" customWidth="1"/>
    <col min="2" max="2" width="135.1796875" style="50" customWidth="1"/>
    <col min="3" max="3" width="19.81640625" style="50" customWidth="1"/>
    <col min="4" max="16384" width="10" style="50" customWidth="1"/>
  </cols>
  <sheetData>
    <row r="1" ht="29.25" customHeight="1" spans="1:3" x14ac:dyDescent="0.25">
      <c r="A1" s="119" t="s">
        <v>443</v>
      </c>
      <c r="B1" s="119"/>
      <c r="C1" s="120" t="s">
        <v>42</v>
      </c>
    </row>
    <row r="2" ht="31.5" customHeight="1" spans="2:3" x14ac:dyDescent="0.25">
      <c r="B2" s="55"/>
      <c r="C2" s="52"/>
    </row>
    <row r="3" ht="17.5" customHeight="1" spans="1:12" s="122" customFormat="1" x14ac:dyDescent="0.25">
      <c r="A3" s="150"/>
      <c r="B3" s="151"/>
      <c r="E3" s="125"/>
      <c r="F3" s="125"/>
      <c r="G3" s="125"/>
      <c r="H3" s="125"/>
      <c r="I3" s="125"/>
      <c r="J3" s="125"/>
      <c r="K3" s="125"/>
      <c r="L3" s="125"/>
    </row>
    <row r="4" ht="9.75" customHeight="1" spans="1:2" s="122" customFormat="1" x14ac:dyDescent="0.25">
      <c r="A4" s="153"/>
      <c r="B4" s="154"/>
    </row>
    <row r="5" ht="17.5" customHeight="1" spans="1:2" s="122" customFormat="1" x14ac:dyDescent="0.25">
      <c r="A5" s="153"/>
      <c r="B5" s="154"/>
    </row>
    <row r="6" ht="17.5" customHeight="1" spans="1:2" s="122" customFormat="1" x14ac:dyDescent="0.25">
      <c r="A6" s="150"/>
      <c r="B6" s="154"/>
    </row>
    <row r="7" ht="17.5" customHeight="1" spans="2:2" x14ac:dyDescent="0.25">
      <c r="B7" s="155"/>
    </row>
    <row r="8" ht="18" customHeight="1" spans="1:3" x14ac:dyDescent="0.25">
      <c r="A8" s="130"/>
      <c r="B8" s="183"/>
      <c r="C8" s="50"/>
    </row>
    <row r="9" ht="36" customHeight="1" spans="1:3" s="133" customFormat="1" x14ac:dyDescent="0.25">
      <c r="A9" s="134" t="s">
        <v>113</v>
      </c>
      <c r="B9" s="135" t="s">
        <v>145</v>
      </c>
      <c r="C9" s="135" t="s">
        <v>166</v>
      </c>
    </row>
    <row r="10" ht="27.75" customHeight="1" spans="1:3" x14ac:dyDescent="0.25">
      <c r="A10" s="136"/>
      <c r="B10" s="53" t="s">
        <v>167</v>
      </c>
      <c r="C10" s="137"/>
    </row>
    <row r="11" ht="36.75" customHeight="1" spans="1:3" s="138" customFormat="1" x14ac:dyDescent="0.25">
      <c r="A11" s="139" t="s">
        <v>444</v>
      </c>
      <c r="B11" s="139" t="s">
        <v>169</v>
      </c>
      <c r="C11" s="162"/>
    </row>
    <row r="12" ht="36.75" customHeight="1" spans="1:3" s="138" customFormat="1" x14ac:dyDescent="0.25">
      <c r="A12" s="139" t="s">
        <v>445</v>
      </c>
      <c r="B12" s="139" t="s">
        <v>171</v>
      </c>
      <c r="C12" s="162"/>
    </row>
    <row r="13" ht="36.75" customHeight="1" spans="1:3" s="138" customFormat="1" x14ac:dyDescent="0.25">
      <c r="A13" s="139" t="s">
        <v>446</v>
      </c>
      <c r="B13" s="139" t="s">
        <v>173</v>
      </c>
      <c r="C13" s="162"/>
    </row>
    <row r="14" ht="36.75" customHeight="1" spans="1:3" s="138" customFormat="1" x14ac:dyDescent="0.25">
      <c r="A14" s="139" t="s">
        <v>447</v>
      </c>
      <c r="B14" s="139" t="s">
        <v>175</v>
      </c>
      <c r="C14" s="162"/>
    </row>
    <row r="15" ht="36.75" customHeight="1" spans="1:3" s="138" customFormat="1" x14ac:dyDescent="0.25">
      <c r="A15" s="139" t="s">
        <v>448</v>
      </c>
      <c r="B15" s="139" t="s">
        <v>177</v>
      </c>
      <c r="C15" s="162"/>
    </row>
    <row r="16" ht="36.75" customHeight="1" spans="1:3" s="138" customFormat="1" x14ac:dyDescent="0.25">
      <c r="A16" s="139" t="s">
        <v>449</v>
      </c>
      <c r="B16" s="139" t="s">
        <v>179</v>
      </c>
      <c r="C16" s="162"/>
    </row>
    <row r="17" ht="36.75" customHeight="1" spans="1:3" s="138" customFormat="1" x14ac:dyDescent="0.25">
      <c r="A17" s="139" t="s">
        <v>450</v>
      </c>
      <c r="B17" s="139" t="s">
        <v>181</v>
      </c>
      <c r="C17" s="162"/>
    </row>
    <row r="18" ht="36.75" customHeight="1" spans="1:3" s="138" customFormat="1" x14ac:dyDescent="0.25">
      <c r="A18" s="139" t="s">
        <v>451</v>
      </c>
      <c r="B18" s="201" t="s">
        <v>452</v>
      </c>
      <c r="C18" s="162"/>
    </row>
    <row r="19" ht="36.75" customHeight="1" spans="1:3" s="138" customFormat="1" x14ac:dyDescent="0.25">
      <c r="A19" s="139" t="s">
        <v>453</v>
      </c>
      <c r="B19" s="134" t="s">
        <v>183</v>
      </c>
      <c r="C19" s="162"/>
    </row>
    <row r="20" ht="36.75" customHeight="1" spans="1:3" s="138" customFormat="1" x14ac:dyDescent="0.25">
      <c r="A20" s="139" t="s">
        <v>454</v>
      </c>
      <c r="B20" s="139" t="s">
        <v>185</v>
      </c>
      <c r="C20" s="162"/>
    </row>
    <row r="21" ht="36.75" customHeight="1" spans="1:3" s="138" customFormat="1" x14ac:dyDescent="0.25">
      <c r="A21" s="139" t="s">
        <v>455</v>
      </c>
      <c r="B21" s="139" t="s">
        <v>187</v>
      </c>
      <c r="C21" s="162"/>
    </row>
    <row r="22" ht="36.75" customHeight="1" spans="1:3" s="138" customFormat="1" x14ac:dyDescent="0.25">
      <c r="A22" s="139" t="s">
        <v>456</v>
      </c>
      <c r="B22" s="202" t="s">
        <v>457</v>
      </c>
      <c r="C22" s="162"/>
    </row>
    <row r="23" ht="36.75" customHeight="1" spans="1:3" s="138" customFormat="1" x14ac:dyDescent="0.25">
      <c r="A23" s="139" t="s">
        <v>188</v>
      </c>
      <c r="B23" s="139" t="s">
        <v>189</v>
      </c>
      <c r="C23" s="162"/>
    </row>
    <row r="24" ht="36.75" customHeight="1" spans="1:3" s="138" customFormat="1" x14ac:dyDescent="0.25">
      <c r="A24" s="139" t="s">
        <v>190</v>
      </c>
      <c r="B24" s="139" t="s">
        <v>191</v>
      </c>
      <c r="C24" s="162"/>
    </row>
    <row r="25" ht="36.75" customHeight="1" spans="1:3" s="138" customFormat="1" x14ac:dyDescent="0.25">
      <c r="A25" s="139" t="s">
        <v>192</v>
      </c>
      <c r="B25" s="139" t="s">
        <v>193</v>
      </c>
      <c r="C25" s="162"/>
    </row>
    <row r="26" ht="36.75" customHeight="1" spans="1:3" s="138" customFormat="1" x14ac:dyDescent="0.25">
      <c r="A26" s="139" t="s">
        <v>194</v>
      </c>
      <c r="B26" s="139" t="s">
        <v>195</v>
      </c>
      <c r="C26" s="162"/>
    </row>
    <row r="27" ht="36.75" customHeight="1" spans="1:3" s="138" customFormat="1" x14ac:dyDescent="0.25">
      <c r="A27" s="139" t="s">
        <v>458</v>
      </c>
      <c r="B27" s="139" t="s">
        <v>197</v>
      </c>
      <c r="C27" s="162"/>
    </row>
    <row r="28" ht="36.75" customHeight="1" spans="1:3" s="138" customFormat="1" x14ac:dyDescent="0.25">
      <c r="A28" s="139" t="s">
        <v>198</v>
      </c>
      <c r="B28" s="139" t="s">
        <v>199</v>
      </c>
      <c r="C28" s="162"/>
    </row>
    <row r="29" ht="36.75" customHeight="1" spans="1:3" s="138" customFormat="1" x14ac:dyDescent="0.25">
      <c r="A29" s="139" t="s">
        <v>200</v>
      </c>
      <c r="B29" s="139" t="s">
        <v>201</v>
      </c>
      <c r="C29" s="162"/>
    </row>
    <row r="30" ht="36.75" customHeight="1" spans="1:3" s="138" customFormat="1" x14ac:dyDescent="0.25">
      <c r="A30" s="139" t="s">
        <v>202</v>
      </c>
      <c r="B30" s="139" t="s">
        <v>203</v>
      </c>
      <c r="C30" s="162"/>
    </row>
    <row r="31" ht="36.75" customHeight="1" spans="1:3" s="138" customFormat="1" x14ac:dyDescent="0.25">
      <c r="A31" s="139" t="s">
        <v>204</v>
      </c>
      <c r="B31" s="139" t="s">
        <v>205</v>
      </c>
      <c r="C31" s="162"/>
    </row>
    <row r="32" ht="36.75" customHeight="1" spans="1:3" s="138" customFormat="1" x14ac:dyDescent="0.25">
      <c r="A32" s="139" t="s">
        <v>459</v>
      </c>
      <c r="B32" s="138" t="s">
        <v>207</v>
      </c>
      <c r="C32" s="162"/>
    </row>
    <row r="33" ht="36.75" customHeight="1" spans="1:3" s="138" customFormat="1" x14ac:dyDescent="0.25">
      <c r="A33" s="139" t="s">
        <v>460</v>
      </c>
      <c r="B33" s="139" t="s">
        <v>209</v>
      </c>
      <c r="C33" s="162"/>
    </row>
    <row r="34" ht="36.75" customHeight="1" spans="1:3" s="141" customFormat="1" x14ac:dyDescent="0.25">
      <c r="A34" s="139" t="s">
        <v>461</v>
      </c>
      <c r="B34" s="134" t="s">
        <v>211</v>
      </c>
      <c r="C34" s="162"/>
    </row>
    <row r="35" ht="36.75" customHeight="1" spans="1:3" s="138" customFormat="1" x14ac:dyDescent="0.25">
      <c r="A35" s="139" t="s">
        <v>212</v>
      </c>
      <c r="B35" s="139" t="s">
        <v>213</v>
      </c>
      <c r="C35" s="162"/>
    </row>
    <row r="36" ht="36.75" customHeight="1" spans="1:3" s="141" customFormat="1" x14ac:dyDescent="0.25">
      <c r="A36" s="139" t="s">
        <v>462</v>
      </c>
      <c r="B36" s="134" t="s">
        <v>215</v>
      </c>
      <c r="C36" s="162"/>
    </row>
    <row r="37" ht="36.75" customHeight="1" spans="1:3" s="138" customFormat="1" x14ac:dyDescent="0.25">
      <c r="A37" s="139" t="s">
        <v>216</v>
      </c>
      <c r="B37" s="139" t="s">
        <v>217</v>
      </c>
      <c r="C37" s="162"/>
    </row>
    <row r="38" ht="36.75" customHeight="1" spans="1:3" s="138" customFormat="1" x14ac:dyDescent="0.25">
      <c r="A38" s="139" t="s">
        <v>218</v>
      </c>
      <c r="B38" s="139" t="s">
        <v>219</v>
      </c>
      <c r="C38" s="162"/>
    </row>
    <row r="39" ht="36.75" customHeight="1" spans="1:3" s="138" customFormat="1" x14ac:dyDescent="0.25">
      <c r="A39" s="139" t="s">
        <v>463</v>
      </c>
      <c r="B39" s="134" t="s">
        <v>221</v>
      </c>
      <c r="C39" s="162"/>
    </row>
    <row r="40" ht="36.75" customHeight="1" spans="1:3" s="138" customFormat="1" x14ac:dyDescent="0.25">
      <c r="A40" s="139" t="s">
        <v>464</v>
      </c>
      <c r="B40" s="139" t="s">
        <v>223</v>
      </c>
      <c r="C40" s="162"/>
    </row>
    <row r="41" ht="36.75" customHeight="1" spans="1:3" s="138" customFormat="1" x14ac:dyDescent="0.25">
      <c r="A41" s="139" t="s">
        <v>465</v>
      </c>
      <c r="B41" s="139" t="s">
        <v>225</v>
      </c>
      <c r="C41" s="162"/>
    </row>
    <row r="42" ht="36.75" customHeight="1" spans="1:3" s="141" customFormat="1" x14ac:dyDescent="0.25">
      <c r="A42" s="139" t="s">
        <v>466</v>
      </c>
      <c r="B42" s="134" t="s">
        <v>227</v>
      </c>
      <c r="C42" s="162"/>
    </row>
    <row r="43" ht="36.75" customHeight="1" spans="1:3" x14ac:dyDescent="0.25">
      <c r="A43" s="142"/>
      <c r="B43" s="143" t="s">
        <v>228</v>
      </c>
      <c r="C43" s="144"/>
    </row>
    <row r="44" ht="36.75" customHeight="1" spans="1:3" x14ac:dyDescent="0.25">
      <c r="A44" s="139" t="s">
        <v>467</v>
      </c>
      <c r="B44" s="145" t="s">
        <v>230</v>
      </c>
      <c r="C44" s="162"/>
    </row>
    <row r="45" ht="36.75" customHeight="1" spans="1:3" x14ac:dyDescent="0.25">
      <c r="A45" s="139" t="s">
        <v>468</v>
      </c>
      <c r="B45" s="145" t="s">
        <v>232</v>
      </c>
      <c r="C45" s="162"/>
    </row>
    <row r="46" ht="46.5" customHeight="1" spans="1:3" x14ac:dyDescent="0.25">
      <c r="A46" s="139" t="s">
        <v>469</v>
      </c>
      <c r="B46" s="146" t="s">
        <v>470</v>
      </c>
      <c r="C46" s="162"/>
    </row>
    <row r="47" ht="36.75" customHeight="1" spans="1:3" x14ac:dyDescent="0.25">
      <c r="A47" s="139" t="s">
        <v>471</v>
      </c>
      <c r="B47" s="201" t="s">
        <v>472</v>
      </c>
      <c r="C47" s="162"/>
    </row>
    <row r="48" ht="36.75" customHeight="1" spans="1:3" s="53" customFormat="1" x14ac:dyDescent="0.25">
      <c r="A48" s="139" t="s">
        <v>473</v>
      </c>
      <c r="B48" s="147" t="s">
        <v>236</v>
      </c>
      <c r="C48" s="162"/>
    </row>
    <row r="49" ht="36.75" customHeight="1" spans="1:3" s="60" customFormat="1" x14ac:dyDescent="0.25">
      <c r="A49" s="139" t="s">
        <v>237</v>
      </c>
      <c r="B49" s="62" t="s">
        <v>238</v>
      </c>
      <c r="C49" s="162"/>
    </row>
    <row r="50" ht="36.75" customHeight="1" spans="1:3" s="60" customFormat="1" x14ac:dyDescent="0.25">
      <c r="A50" s="139" t="s">
        <v>239</v>
      </c>
      <c r="B50" s="62" t="s">
        <v>240</v>
      </c>
      <c r="C50" s="162"/>
    </row>
    <row r="51" ht="36.75" customHeight="1" spans="1:3" s="60" customFormat="1" x14ac:dyDescent="0.25">
      <c r="A51" s="139" t="s">
        <v>241</v>
      </c>
      <c r="B51" s="62" t="s">
        <v>242</v>
      </c>
      <c r="C51" s="162"/>
    </row>
    <row r="52" ht="36.75" customHeight="1" spans="1:3" s="60" customFormat="1" x14ac:dyDescent="0.25">
      <c r="A52" s="139" t="s">
        <v>474</v>
      </c>
      <c r="B52" s="139" t="s">
        <v>244</v>
      </c>
      <c r="C52" s="162"/>
    </row>
    <row r="53" ht="36.75" customHeight="1" spans="1:3" s="53" customFormat="1" x14ac:dyDescent="0.25">
      <c r="A53" s="139" t="s">
        <v>475</v>
      </c>
      <c r="B53" s="147" t="s">
        <v>246</v>
      </c>
      <c r="C53" s="162"/>
    </row>
    <row r="54" ht="36.75" customHeight="1" spans="1:3" x14ac:dyDescent="0.25">
      <c r="A54" s="142"/>
      <c r="B54" s="143" t="s">
        <v>247</v>
      </c>
      <c r="C54" s="144"/>
    </row>
    <row r="55" ht="36.75" customHeight="1" spans="1:3" s="53" customFormat="1" x14ac:dyDescent="0.25">
      <c r="A55" s="139" t="s">
        <v>476</v>
      </c>
      <c r="B55" s="147" t="s">
        <v>249</v>
      </c>
      <c r="C55" s="203"/>
    </row>
    <row r="56" ht="36.75" customHeight="1" spans="1:3" x14ac:dyDescent="0.25">
      <c r="A56" s="142"/>
      <c r="B56" s="143" t="s">
        <v>250</v>
      </c>
      <c r="C56" s="144"/>
    </row>
    <row r="57" ht="36.75" customHeight="1" spans="1:3" x14ac:dyDescent="0.25">
      <c r="A57" s="139" t="s">
        <v>477</v>
      </c>
      <c r="B57" s="145" t="s">
        <v>252</v>
      </c>
      <c r="C57" s="162"/>
    </row>
    <row r="58" ht="36.75" customHeight="1" spans="1:3" x14ac:dyDescent="0.25">
      <c r="A58" s="139" t="s">
        <v>478</v>
      </c>
      <c r="B58" s="145" t="s">
        <v>254</v>
      </c>
      <c r="C58" s="162"/>
    </row>
    <row r="59" ht="36.75" customHeight="1" spans="1:3" x14ac:dyDescent="0.25">
      <c r="A59" s="139" t="s">
        <v>479</v>
      </c>
      <c r="B59" s="145" t="s">
        <v>256</v>
      </c>
      <c r="C59" s="162"/>
    </row>
    <row r="60" ht="36.75" customHeight="1" spans="1:3" x14ac:dyDescent="0.25">
      <c r="A60" s="139" t="s">
        <v>480</v>
      </c>
      <c r="B60" s="146" t="s">
        <v>258</v>
      </c>
      <c r="C60" s="162"/>
    </row>
    <row r="61" ht="36.75" customHeight="1" spans="1:3" x14ac:dyDescent="0.25">
      <c r="A61" s="139" t="s">
        <v>481</v>
      </c>
      <c r="B61" s="146" t="s">
        <v>260</v>
      </c>
      <c r="C61" s="162"/>
    </row>
    <row r="62" ht="36.75" customHeight="1" spans="1:3" x14ac:dyDescent="0.25">
      <c r="A62" s="139" t="s">
        <v>482</v>
      </c>
      <c r="B62" s="145" t="s">
        <v>262</v>
      </c>
      <c r="C62" s="162"/>
    </row>
    <row r="63" ht="36.75" customHeight="1" spans="1:3" x14ac:dyDescent="0.25">
      <c r="A63" s="139" t="s">
        <v>483</v>
      </c>
      <c r="B63" s="145" t="s">
        <v>264</v>
      </c>
      <c r="C63" s="162"/>
    </row>
    <row r="64" ht="36.75" customHeight="1" spans="1:3" x14ac:dyDescent="0.25">
      <c r="A64" s="139" t="s">
        <v>484</v>
      </c>
      <c r="B64" s="145" t="s">
        <v>266</v>
      </c>
      <c r="C64" s="162"/>
    </row>
    <row r="65" ht="36.75" customHeight="1" spans="1:3" x14ac:dyDescent="0.25">
      <c r="A65" s="139" t="s">
        <v>485</v>
      </c>
      <c r="B65" s="145" t="s">
        <v>268</v>
      </c>
      <c r="C65" s="162"/>
    </row>
    <row r="66" ht="36.75" customHeight="1" spans="1:3" x14ac:dyDescent="0.25">
      <c r="A66" s="139" t="s">
        <v>486</v>
      </c>
      <c r="B66" s="201" t="s">
        <v>487</v>
      </c>
      <c r="C66" s="162"/>
    </row>
    <row r="67" ht="36.75" customHeight="1" spans="1:3" s="53" customFormat="1" x14ac:dyDescent="0.25">
      <c r="A67" s="139" t="s">
        <v>488</v>
      </c>
      <c r="B67" s="147" t="s">
        <v>270</v>
      </c>
      <c r="C67" s="162"/>
    </row>
    <row r="68" ht="36.75" customHeight="1" spans="1:3" x14ac:dyDescent="0.25">
      <c r="A68" s="139" t="s">
        <v>271</v>
      </c>
      <c r="B68" s="145" t="s">
        <v>272</v>
      </c>
      <c r="C68" s="162"/>
    </row>
    <row r="69" ht="36.75" customHeight="1" spans="1:3" s="60" customFormat="1" x14ac:dyDescent="0.25">
      <c r="A69" s="139" t="s">
        <v>273</v>
      </c>
      <c r="B69" s="62" t="s">
        <v>274</v>
      </c>
      <c r="C69" s="162"/>
    </row>
    <row r="70" ht="36.75" customHeight="1" spans="1:3" x14ac:dyDescent="0.25">
      <c r="A70" s="139" t="s">
        <v>275</v>
      </c>
      <c r="B70" s="62" t="s">
        <v>276</v>
      </c>
      <c r="C70" s="162"/>
    </row>
    <row r="71" ht="36.75" customHeight="1" spans="1:3" s="53" customFormat="1" x14ac:dyDescent="0.25">
      <c r="A71" s="139" t="s">
        <v>489</v>
      </c>
      <c r="B71" s="147" t="s">
        <v>278</v>
      </c>
      <c r="C71" s="162"/>
    </row>
    <row r="72" ht="36.75" customHeight="1" spans="1:3" s="53" customFormat="1" x14ac:dyDescent="0.25">
      <c r="A72" s="142"/>
      <c r="B72" s="143" t="s">
        <v>279</v>
      </c>
      <c r="C72" s="149"/>
    </row>
    <row r="73" ht="36.75" customHeight="1" spans="1:3" s="53" customFormat="1" x14ac:dyDescent="0.25">
      <c r="A73" s="139" t="s">
        <v>490</v>
      </c>
      <c r="B73" s="147" t="s">
        <v>491</v>
      </c>
      <c r="C73" s="162"/>
    </row>
  </sheetData>
  <sheetProtection sheet="1" algorithmName="SHA-512" hashValue="GCtzwJmTXthKm8qzIGcQvZB/e3NM2Te96Wdas6a4G6WGT0t3x1aHKDp65+oe2+JRL9/CEQ/4ZnbahluhixsOeQ==" saltValue="V9qX81IHosVfkkCjqxWYGQ==" spinCount="100000" objects="1" scenarios="1"/>
  <mergeCells count="1">
    <mergeCell ref="A1:B1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46" fitToWidth="1" fitToHeight="1" firstPageNumber="1" useFirstPageNumber="1" copies="1"/>
  <headerFoot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workbookViewId="0" zoomScale="70" zoomScaleNormal="70" view="pageBreakPreview">
      <selection activeCell="B13" sqref="B13"/>
    </sheetView>
  </sheetViews>
  <sheetFormatPr defaultRowHeight="17.25" outlineLevelRow="0" outlineLevelCol="0" x14ac:dyDescent="0" defaultColWidth="10" customHeight="1"/>
  <cols>
    <col min="1" max="1" width="9.7265625" style="50" customWidth="1"/>
    <col min="2" max="2" width="84.6328125" style="50" customWidth="1"/>
    <col min="3" max="3" width="19.08984375" style="51" customWidth="1"/>
    <col min="4" max="4" width="25.6328125" style="51" customWidth="1"/>
    <col min="5" max="16384" width="10" style="50" customWidth="1"/>
  </cols>
  <sheetData>
    <row r="1" ht="29.25" customHeight="1" spans="1:4" x14ac:dyDescent="0.25">
      <c r="A1" s="119" t="s">
        <v>443</v>
      </c>
      <c r="B1" s="119"/>
      <c r="C1" s="119"/>
      <c r="D1" s="120" t="s">
        <v>42</v>
      </c>
    </row>
    <row r="2" ht="31.5" customHeight="1" spans="1:3" x14ac:dyDescent="0.25">
      <c r="A2" s="117"/>
      <c r="B2" s="121"/>
      <c r="C2" s="52"/>
    </row>
    <row r="3" ht="17.5" customHeight="1" spans="1:12" s="122" customFormat="1" x14ac:dyDescent="0.25">
      <c r="A3" s="123"/>
      <c r="B3" s="124"/>
      <c r="D3" s="152"/>
      <c r="E3" s="125"/>
      <c r="F3" s="125"/>
      <c r="G3" s="125"/>
      <c r="H3" s="125"/>
      <c r="I3" s="125"/>
      <c r="J3" s="125"/>
      <c r="K3" s="125"/>
      <c r="L3" s="125"/>
    </row>
    <row r="4" ht="9.75" customHeight="1" spans="1:4" s="122" customFormat="1" x14ac:dyDescent="0.25">
      <c r="A4" s="126"/>
      <c r="B4" s="127"/>
      <c r="D4" s="152"/>
    </row>
    <row r="5" ht="17.5" customHeight="1" spans="1:4" s="122" customFormat="1" x14ac:dyDescent="0.25">
      <c r="A5" s="126"/>
      <c r="B5" s="127"/>
      <c r="D5" s="152"/>
    </row>
    <row r="6" ht="17.5" customHeight="1" spans="1:4" s="122" customFormat="1" x14ac:dyDescent="0.25">
      <c r="A6" s="123"/>
      <c r="B6" s="127"/>
      <c r="D6" s="152"/>
    </row>
    <row r="7" ht="17.5" customHeight="1" spans="1:3" x14ac:dyDescent="0.25">
      <c r="A7" s="128"/>
      <c r="B7" s="129"/>
      <c r="C7" s="50"/>
    </row>
    <row r="8" ht="18" customHeight="1" spans="1:3" x14ac:dyDescent="0.25">
      <c r="A8" s="117"/>
      <c r="B8" s="118"/>
      <c r="C8" s="132"/>
    </row>
    <row r="9" ht="27.75" customHeight="1" spans="1:3" x14ac:dyDescent="0.25">
      <c r="A9" s="156" t="s">
        <v>492</v>
      </c>
      <c r="B9" s="156"/>
      <c r="C9" s="156"/>
    </row>
    <row r="10" ht="27.75" customHeight="1" spans="1:3" x14ac:dyDescent="0.25">
      <c r="A10" s="156"/>
      <c r="B10" s="157"/>
      <c r="C10" s="156"/>
    </row>
    <row r="11" ht="54" customHeight="1" spans="1:4" s="51" customFormat="1" x14ac:dyDescent="0.25">
      <c r="A11" s="135" t="s">
        <v>113</v>
      </c>
      <c r="B11" s="58" t="s">
        <v>145</v>
      </c>
      <c r="C11" s="158" t="s">
        <v>166</v>
      </c>
      <c r="D11" s="58" t="s">
        <v>283</v>
      </c>
    </row>
    <row r="12" ht="27.75" customHeight="1" spans="1:4" x14ac:dyDescent="0.25">
      <c r="A12" s="159"/>
      <c r="B12" s="143" t="s">
        <v>284</v>
      </c>
      <c r="C12" s="160"/>
      <c r="D12" s="204"/>
    </row>
    <row r="13" ht="22.5" customHeight="1" spans="1:4" x14ac:dyDescent="0.25">
      <c r="A13" s="63" t="s">
        <v>285</v>
      </c>
      <c r="B13" s="145" t="s">
        <v>286</v>
      </c>
      <c r="C13" s="162"/>
      <c r="D13" s="205" t="s">
        <v>154</v>
      </c>
    </row>
    <row r="14" ht="22.5" customHeight="1" spans="1:4" x14ac:dyDescent="0.25">
      <c r="A14" s="63" t="s">
        <v>287</v>
      </c>
      <c r="B14" s="145" t="s">
        <v>288</v>
      </c>
      <c r="C14" s="162"/>
      <c r="D14" s="180" t="s">
        <v>157</v>
      </c>
    </row>
    <row r="15" ht="22.5" customHeight="1" spans="1:4" s="53" customFormat="1" x14ac:dyDescent="0.25">
      <c r="A15" s="165" t="s">
        <v>188</v>
      </c>
      <c r="B15" s="166" t="s">
        <v>289</v>
      </c>
      <c r="C15" s="162"/>
      <c r="D15" s="63" t="s">
        <v>493</v>
      </c>
    </row>
    <row r="16" ht="22.5" customHeight="1" spans="1:4" x14ac:dyDescent="0.25">
      <c r="A16" s="63" t="s">
        <v>494</v>
      </c>
      <c r="B16" s="145" t="s">
        <v>495</v>
      </c>
      <c r="C16" s="162"/>
      <c r="D16" s="205" t="s">
        <v>321</v>
      </c>
    </row>
    <row r="17" ht="22.5" customHeight="1" spans="1:4" x14ac:dyDescent="0.25">
      <c r="A17" s="63" t="s">
        <v>496</v>
      </c>
      <c r="B17" s="145" t="s">
        <v>288</v>
      </c>
      <c r="C17" s="162"/>
      <c r="D17" s="180" t="s">
        <v>329</v>
      </c>
    </row>
    <row r="18" ht="22.5" customHeight="1" spans="1:4" s="53" customFormat="1" x14ac:dyDescent="0.25">
      <c r="A18" s="165" t="s">
        <v>456</v>
      </c>
      <c r="B18" s="166" t="s">
        <v>497</v>
      </c>
      <c r="C18" s="162"/>
      <c r="D18" s="63" t="s">
        <v>498</v>
      </c>
    </row>
    <row r="19" ht="27.75" customHeight="1" spans="1:4" x14ac:dyDescent="0.25">
      <c r="A19" s="159"/>
      <c r="B19" s="143" t="s">
        <v>291</v>
      </c>
      <c r="C19" s="160"/>
      <c r="D19" s="177"/>
    </row>
    <row r="20" ht="51.75" customHeight="1" spans="1:4" x14ac:dyDescent="0.25">
      <c r="A20" s="159"/>
      <c r="B20" s="169" t="s">
        <v>292</v>
      </c>
      <c r="C20" s="160"/>
      <c r="D20" s="161"/>
    </row>
    <row r="21" ht="51.75" customHeight="1" spans="1:4" x14ac:dyDescent="0.25">
      <c r="A21" s="170" t="s">
        <v>293</v>
      </c>
      <c r="B21" s="171" t="s">
        <v>294</v>
      </c>
      <c r="C21" s="172"/>
      <c r="D21" s="163" t="s">
        <v>154</v>
      </c>
    </row>
    <row r="22" ht="22.5" customHeight="1" spans="1:4" x14ac:dyDescent="0.25">
      <c r="A22" s="63" t="s">
        <v>295</v>
      </c>
      <c r="B22" s="145" t="s">
        <v>288</v>
      </c>
      <c r="C22" s="162"/>
      <c r="D22" s="164" t="s">
        <v>157</v>
      </c>
    </row>
    <row r="23" ht="51.75" customHeight="1" spans="1:4" x14ac:dyDescent="0.25">
      <c r="A23" s="63" t="s">
        <v>296</v>
      </c>
      <c r="B23" s="173" t="s">
        <v>297</v>
      </c>
      <c r="C23" s="162"/>
      <c r="D23" s="168" t="s">
        <v>493</v>
      </c>
    </row>
    <row r="24" ht="51.75" customHeight="1" spans="1:4" x14ac:dyDescent="0.25">
      <c r="A24" s="159"/>
      <c r="B24" s="169" t="s">
        <v>298</v>
      </c>
      <c r="C24" s="160"/>
      <c r="D24" s="161"/>
    </row>
    <row r="25" ht="51.75" customHeight="1" spans="1:4" x14ac:dyDescent="0.25">
      <c r="A25" s="63" t="s">
        <v>299</v>
      </c>
      <c r="B25" s="173" t="s">
        <v>300</v>
      </c>
      <c r="C25" s="162"/>
      <c r="D25" s="205" t="s">
        <v>154</v>
      </c>
    </row>
    <row r="26" ht="22.5" customHeight="1" spans="1:4" x14ac:dyDescent="0.25">
      <c r="A26" s="63" t="s">
        <v>301</v>
      </c>
      <c r="B26" s="145" t="s">
        <v>288</v>
      </c>
      <c r="C26" s="162"/>
      <c r="D26" s="180" t="s">
        <v>157</v>
      </c>
    </row>
    <row r="27" ht="51.75" customHeight="1" spans="1:4" x14ac:dyDescent="0.25">
      <c r="A27" s="63" t="s">
        <v>302</v>
      </c>
      <c r="B27" s="139" t="s">
        <v>303</v>
      </c>
      <c r="C27" s="162"/>
      <c r="D27" s="63" t="s">
        <v>493</v>
      </c>
    </row>
    <row r="28" ht="51.75" customHeight="1" spans="1:4" x14ac:dyDescent="0.25">
      <c r="A28" s="63" t="s">
        <v>190</v>
      </c>
      <c r="B28" s="62" t="s">
        <v>304</v>
      </c>
      <c r="C28" s="162"/>
      <c r="D28" s="181"/>
    </row>
    <row r="29" ht="51.75" customHeight="1" spans="1:4" x14ac:dyDescent="0.25">
      <c r="A29" s="63" t="s">
        <v>305</v>
      </c>
      <c r="B29" s="62" t="s">
        <v>306</v>
      </c>
      <c r="C29" s="162"/>
      <c r="D29" s="181"/>
    </row>
    <row r="30" ht="27.75" customHeight="1" spans="1:4" x14ac:dyDescent="0.25">
      <c r="A30" s="159"/>
      <c r="B30" s="143" t="s">
        <v>307</v>
      </c>
      <c r="C30" s="160"/>
      <c r="D30" s="177"/>
    </row>
    <row r="31" ht="36" customHeight="1" spans="1:4" x14ac:dyDescent="0.25">
      <c r="A31" s="159"/>
      <c r="B31" s="169" t="s">
        <v>308</v>
      </c>
      <c r="C31" s="160"/>
      <c r="D31" s="161"/>
    </row>
    <row r="32" ht="51.75" customHeight="1" spans="1:4" s="60" customFormat="1" x14ac:dyDescent="0.25">
      <c r="A32" s="62" t="s">
        <v>309</v>
      </c>
      <c r="B32" s="62" t="s">
        <v>310</v>
      </c>
      <c r="C32" s="162"/>
      <c r="D32" s="174" t="s">
        <v>154</v>
      </c>
    </row>
    <row r="33" ht="37.5" customHeight="1" spans="1:4" s="60" customFormat="1" x14ac:dyDescent="0.25">
      <c r="A33" s="62" t="s">
        <v>311</v>
      </c>
      <c r="B33" s="62" t="s">
        <v>312</v>
      </c>
      <c r="C33" s="162"/>
      <c r="D33" s="164" t="s">
        <v>157</v>
      </c>
    </row>
    <row r="34" ht="51.75" customHeight="1" spans="1:4" s="60" customFormat="1" x14ac:dyDescent="0.25">
      <c r="A34" s="62" t="s">
        <v>313</v>
      </c>
      <c r="B34" s="62" t="s">
        <v>314</v>
      </c>
      <c r="C34" s="162"/>
      <c r="D34" s="178" t="s">
        <v>493</v>
      </c>
    </row>
    <row r="35" ht="22.5" customHeight="1" spans="1:4" s="60" customFormat="1" x14ac:dyDescent="0.25">
      <c r="A35" s="62" t="s">
        <v>315</v>
      </c>
      <c r="B35" s="62" t="s">
        <v>316</v>
      </c>
      <c r="C35" s="162"/>
      <c r="D35" s="178"/>
    </row>
    <row r="36" ht="22.5" customHeight="1" spans="1:4" s="60" customFormat="1" x14ac:dyDescent="0.25">
      <c r="A36" s="62" t="s">
        <v>317</v>
      </c>
      <c r="B36" s="62" t="s">
        <v>318</v>
      </c>
      <c r="C36" s="162"/>
      <c r="D36" s="174" t="s">
        <v>164</v>
      </c>
    </row>
    <row r="37" ht="22.5" customHeight="1" spans="1:4" s="60" customFormat="1" x14ac:dyDescent="0.25">
      <c r="A37" s="62" t="s">
        <v>319</v>
      </c>
      <c r="B37" s="62" t="s">
        <v>320</v>
      </c>
      <c r="C37" s="162"/>
      <c r="D37" s="164" t="s">
        <v>321</v>
      </c>
    </row>
    <row r="38" ht="27.75" customHeight="1" spans="1:4" x14ac:dyDescent="0.25">
      <c r="A38" s="159"/>
      <c r="B38" s="143" t="s">
        <v>322</v>
      </c>
      <c r="C38" s="160"/>
      <c r="D38" s="177"/>
    </row>
    <row r="39" ht="22.5" customHeight="1" spans="1:4" s="60" customFormat="1" x14ac:dyDescent="0.25">
      <c r="A39" s="62" t="s">
        <v>192</v>
      </c>
      <c r="B39" s="62" t="s">
        <v>323</v>
      </c>
      <c r="C39" s="162"/>
      <c r="D39" s="164"/>
    </row>
    <row r="40" ht="22.5" customHeight="1" spans="1:4" s="60" customFormat="1" x14ac:dyDescent="0.25">
      <c r="A40" s="62" t="s">
        <v>237</v>
      </c>
      <c r="B40" s="62" t="s">
        <v>324</v>
      </c>
      <c r="C40" s="162"/>
      <c r="D40" s="164"/>
    </row>
    <row r="41" ht="22.5" customHeight="1" spans="1:4" s="60" customFormat="1" x14ac:dyDescent="0.25">
      <c r="A41" s="62" t="s">
        <v>271</v>
      </c>
      <c r="B41" s="62" t="s">
        <v>325</v>
      </c>
      <c r="C41" s="162"/>
      <c r="D41" s="164"/>
    </row>
    <row r="42" ht="27.75" customHeight="1" spans="1:4" x14ac:dyDescent="0.25">
      <c r="A42" s="159"/>
      <c r="B42" s="143" t="s">
        <v>326</v>
      </c>
      <c r="C42" s="160"/>
      <c r="D42" s="177"/>
    </row>
    <row r="43" ht="22.5" customHeight="1" spans="1:4" s="60" customFormat="1" x14ac:dyDescent="0.25">
      <c r="A43" s="62" t="s">
        <v>327</v>
      </c>
      <c r="B43" s="62" t="s">
        <v>328</v>
      </c>
      <c r="C43" s="162"/>
      <c r="D43" s="164" t="s">
        <v>329</v>
      </c>
    </row>
    <row r="44" ht="22.5" customHeight="1" spans="1:4" s="60" customFormat="1" x14ac:dyDescent="0.25">
      <c r="A44" s="62" t="s">
        <v>330</v>
      </c>
      <c r="B44" s="62" t="s">
        <v>324</v>
      </c>
      <c r="C44" s="162"/>
      <c r="D44" s="164" t="s">
        <v>331</v>
      </c>
    </row>
    <row r="45" ht="22.5" customHeight="1" spans="1:4" s="60" customFormat="1" x14ac:dyDescent="0.25">
      <c r="A45" s="62" t="s">
        <v>332</v>
      </c>
      <c r="B45" s="62" t="s">
        <v>325</v>
      </c>
      <c r="C45" s="162"/>
      <c r="D45" s="164" t="s">
        <v>333</v>
      </c>
    </row>
    <row r="46" ht="22.5" customHeight="1" spans="1:4" s="60" customFormat="1" x14ac:dyDescent="0.25">
      <c r="A46" s="62" t="s">
        <v>461</v>
      </c>
      <c r="B46" s="62" t="s">
        <v>211</v>
      </c>
      <c r="C46" s="162"/>
      <c r="D46" s="164" t="s">
        <v>334</v>
      </c>
    </row>
    <row r="47" ht="22.5" customHeight="1" spans="1:4" s="60" customFormat="1" x14ac:dyDescent="0.25">
      <c r="A47" s="62" t="s">
        <v>335</v>
      </c>
      <c r="B47" s="62" t="s">
        <v>336</v>
      </c>
      <c r="C47" s="162"/>
      <c r="D47" s="164" t="s">
        <v>337</v>
      </c>
    </row>
    <row r="48" ht="22.5" customHeight="1" spans="1:4" s="60" customFormat="1" x14ac:dyDescent="0.25">
      <c r="A48" s="62" t="s">
        <v>212</v>
      </c>
      <c r="B48" s="62" t="s">
        <v>338</v>
      </c>
      <c r="C48" s="162"/>
      <c r="D48" s="164" t="s">
        <v>339</v>
      </c>
    </row>
    <row r="49" ht="22.5" customHeight="1" spans="1:4" s="60" customFormat="1" x14ac:dyDescent="0.25">
      <c r="A49" s="62" t="s">
        <v>239</v>
      </c>
      <c r="B49" s="62" t="s">
        <v>340</v>
      </c>
      <c r="C49" s="162"/>
      <c r="D49" s="164" t="s">
        <v>341</v>
      </c>
    </row>
    <row r="50" ht="22.5" customHeight="1" spans="1:4" s="60" customFormat="1" x14ac:dyDescent="0.25">
      <c r="A50" s="62" t="s">
        <v>273</v>
      </c>
      <c r="B50" s="62" t="s">
        <v>342</v>
      </c>
      <c r="C50" s="162"/>
      <c r="D50" s="164" t="s">
        <v>343</v>
      </c>
    </row>
    <row r="51" ht="22.5" customHeight="1" spans="1:4" s="60" customFormat="1" x14ac:dyDescent="0.25">
      <c r="A51" s="62" t="s">
        <v>344</v>
      </c>
      <c r="B51" s="62" t="s">
        <v>345</v>
      </c>
      <c r="C51" s="162"/>
      <c r="D51" s="164" t="s">
        <v>346</v>
      </c>
    </row>
    <row r="52" ht="27.75" customHeight="1" spans="1:4" x14ac:dyDescent="0.25">
      <c r="A52" s="159"/>
      <c r="B52" s="143" t="s">
        <v>347</v>
      </c>
      <c r="C52" s="160"/>
      <c r="D52" s="177"/>
    </row>
    <row r="53" ht="22.5" customHeight="1" spans="1:4" s="60" customFormat="1" x14ac:dyDescent="0.25">
      <c r="A53" s="62" t="s">
        <v>348</v>
      </c>
      <c r="B53" s="62" t="s">
        <v>349</v>
      </c>
      <c r="C53" s="162"/>
      <c r="D53" s="164" t="s">
        <v>350</v>
      </c>
    </row>
    <row r="54" ht="22.5" customHeight="1" spans="1:4" s="60" customFormat="1" x14ac:dyDescent="0.25">
      <c r="A54" s="62" t="s">
        <v>351</v>
      </c>
      <c r="B54" s="62" t="s">
        <v>352</v>
      </c>
      <c r="C54" s="162"/>
      <c r="D54" s="164" t="s">
        <v>353</v>
      </c>
    </row>
    <row r="55" ht="22.5" customHeight="1" spans="1:4" s="60" customFormat="1" x14ac:dyDescent="0.25">
      <c r="A55" s="62" t="s">
        <v>354</v>
      </c>
      <c r="B55" s="62" t="s">
        <v>324</v>
      </c>
      <c r="C55" s="162"/>
      <c r="D55" s="164" t="s">
        <v>355</v>
      </c>
    </row>
    <row r="56" ht="22.5" customHeight="1" spans="1:4" s="60" customFormat="1" x14ac:dyDescent="0.25">
      <c r="A56" s="62" t="s">
        <v>356</v>
      </c>
      <c r="B56" s="62" t="s">
        <v>325</v>
      </c>
      <c r="C56" s="162"/>
      <c r="D56" s="164" t="s">
        <v>357</v>
      </c>
    </row>
    <row r="57" ht="54.75" customHeight="1" spans="1:4" s="60" customFormat="1" x14ac:dyDescent="0.25">
      <c r="A57" s="62" t="s">
        <v>462</v>
      </c>
      <c r="B57" s="62" t="s">
        <v>215</v>
      </c>
      <c r="C57" s="162"/>
      <c r="D57" s="164" t="s">
        <v>358</v>
      </c>
    </row>
    <row r="58" ht="22.5" customHeight="1" spans="1:4" s="60" customFormat="1" x14ac:dyDescent="0.25">
      <c r="A58" s="62" t="s">
        <v>359</v>
      </c>
      <c r="B58" s="62" t="s">
        <v>360</v>
      </c>
      <c r="C58" s="162"/>
      <c r="D58" s="164" t="s">
        <v>361</v>
      </c>
    </row>
    <row r="59" ht="22.5" customHeight="1" spans="1:4" s="60" customFormat="1" x14ac:dyDescent="0.25">
      <c r="A59" s="179" t="s">
        <v>216</v>
      </c>
      <c r="B59" s="62" t="s">
        <v>362</v>
      </c>
      <c r="C59" s="162"/>
      <c r="D59" s="164" t="s">
        <v>363</v>
      </c>
    </row>
    <row r="60" ht="22.5" customHeight="1" spans="1:4" s="60" customFormat="1" x14ac:dyDescent="0.25">
      <c r="A60" s="179" t="s">
        <v>194</v>
      </c>
      <c r="B60" s="62" t="s">
        <v>364</v>
      </c>
      <c r="C60" s="162"/>
      <c r="D60" s="164" t="s">
        <v>365</v>
      </c>
    </row>
    <row r="61" ht="22.5" customHeight="1" spans="1:4" s="60" customFormat="1" x14ac:dyDescent="0.25">
      <c r="A61" s="179" t="s">
        <v>241</v>
      </c>
      <c r="B61" s="62" t="s">
        <v>340</v>
      </c>
      <c r="C61" s="162"/>
      <c r="D61" s="164" t="s">
        <v>366</v>
      </c>
    </row>
    <row r="62" ht="22.5" customHeight="1" spans="1:4" s="60" customFormat="1" x14ac:dyDescent="0.25">
      <c r="A62" s="179" t="s">
        <v>275</v>
      </c>
      <c r="B62" s="62" t="s">
        <v>342</v>
      </c>
      <c r="C62" s="162"/>
      <c r="D62" s="180" t="s">
        <v>367</v>
      </c>
    </row>
    <row r="63" ht="27.75" customHeight="1" spans="1:4" x14ac:dyDescent="0.25">
      <c r="A63" s="159"/>
      <c r="B63" s="143" t="s">
        <v>368</v>
      </c>
      <c r="C63" s="160"/>
      <c r="D63" s="177"/>
    </row>
    <row r="64" ht="54.75" customHeight="1" spans="1:4" x14ac:dyDescent="0.25">
      <c r="A64" s="63" t="s">
        <v>305</v>
      </c>
      <c r="B64" s="62" t="s">
        <v>369</v>
      </c>
      <c r="C64" s="162"/>
      <c r="D64" s="180" t="s">
        <v>370</v>
      </c>
    </row>
    <row r="65" ht="59.25" customHeight="1" spans="1:4" x14ac:dyDescent="0.25">
      <c r="A65" s="63" t="s">
        <v>218</v>
      </c>
      <c r="B65" s="62" t="s">
        <v>371</v>
      </c>
      <c r="C65" s="162"/>
      <c r="D65" s="180" t="s">
        <v>372</v>
      </c>
    </row>
    <row r="66" ht="60.75" customHeight="1" spans="1:4" x14ac:dyDescent="0.25">
      <c r="A66" s="63" t="s">
        <v>373</v>
      </c>
      <c r="B66" s="62" t="s">
        <v>374</v>
      </c>
      <c r="C66" s="162"/>
      <c r="D66" s="180" t="s">
        <v>375</v>
      </c>
    </row>
    <row r="67" ht="27.75" customHeight="1" spans="1:4" x14ac:dyDescent="0.25">
      <c r="A67" s="62" t="s">
        <v>376</v>
      </c>
      <c r="B67" s="62" t="s">
        <v>377</v>
      </c>
      <c r="C67" s="162"/>
      <c r="D67" s="180" t="s">
        <v>378</v>
      </c>
    </row>
    <row r="68" ht="27.75" customHeight="1" spans="1:4" x14ac:dyDescent="0.25">
      <c r="A68" s="62" t="s">
        <v>499</v>
      </c>
      <c r="B68" s="62" t="s">
        <v>380</v>
      </c>
      <c r="C68" s="162"/>
      <c r="D68" s="180" t="s">
        <v>381</v>
      </c>
    </row>
    <row r="69" ht="59.25" customHeight="1" spans="1:4" x14ac:dyDescent="0.25">
      <c r="A69" s="62" t="s">
        <v>463</v>
      </c>
      <c r="B69" s="62" t="s">
        <v>221</v>
      </c>
      <c r="C69" s="162"/>
      <c r="D69" s="180" t="s">
        <v>382</v>
      </c>
    </row>
    <row r="70" ht="54.75" customHeight="1" spans="1:4" x14ac:dyDescent="0.25">
      <c r="A70" s="62" t="s">
        <v>500</v>
      </c>
      <c r="B70" s="62" t="s">
        <v>384</v>
      </c>
      <c r="C70" s="162"/>
      <c r="D70" s="180" t="s">
        <v>385</v>
      </c>
    </row>
    <row r="71" ht="54.75" customHeight="1" spans="1:4" x14ac:dyDescent="0.25">
      <c r="A71" s="62" t="s">
        <v>501</v>
      </c>
      <c r="B71" s="62" t="s">
        <v>387</v>
      </c>
      <c r="C71" s="162"/>
      <c r="D71" s="181" t="s">
        <v>502</v>
      </c>
    </row>
    <row r="72" ht="22.5" customHeight="1" spans="1:4" x14ac:dyDescent="0.25">
      <c r="A72" s="62" t="s">
        <v>464</v>
      </c>
      <c r="B72" s="62" t="s">
        <v>389</v>
      </c>
      <c r="C72" s="162"/>
      <c r="D72" s="181" t="s">
        <v>390</v>
      </c>
    </row>
  </sheetData>
  <sheetProtection sheet="1" algorithmName="SHA-512" hashValue="+oKFblMmhMPMXgD0uxnusijzcPXat4bLrX+8aJuMybrgBuFvCokQsuppgz7rIH+bNjKoCi9q+7nS2M6HDHMABw==" saltValue="tOIjol8VtWg7/I6xDHpXLg==" spinCount="100000" objects="1" scenarios="1"/>
  <mergeCells count="3">
    <mergeCell ref="A1:C1"/>
    <mergeCell ref="A9:C9"/>
    <mergeCell ref="D28:D29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56" fitToWidth="1" fitToHeight="1" firstPageNumber="1" useFirstPageNumber="1" copies="1"/>
  <headerFooter>
    <oddFooter>&amp;R&amp;P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 zoomScale="70" zoomScaleNormal="70" view="pageBreakPreview">
      <selection activeCell="C10" sqref="C10"/>
    </sheetView>
  </sheetViews>
  <sheetFormatPr defaultRowHeight="27.75" outlineLevelRow="0" outlineLevelCol="0" x14ac:dyDescent="0" defaultColWidth="10" customHeight="1"/>
  <cols>
    <col min="1" max="1" width="11.08984375" style="50" customWidth="1"/>
    <col min="2" max="2" width="122.90625" style="50" customWidth="1"/>
    <col min="3" max="4" width="19.81640625" style="51" customWidth="1"/>
    <col min="5" max="16384" width="10" style="50" customWidth="1"/>
  </cols>
  <sheetData>
    <row r="1" ht="45" customHeight="1" spans="1:4" x14ac:dyDescent="0.25">
      <c r="A1" s="119" t="s">
        <v>503</v>
      </c>
      <c r="B1" s="119"/>
      <c r="C1" s="119"/>
      <c r="D1" s="182" t="s">
        <v>44</v>
      </c>
    </row>
    <row r="2" ht="31.5" customHeight="1" x14ac:dyDescent="0.25"/>
    <row r="3" ht="17.5" customHeight="1" spans="1:12" s="122" customFormat="1" x14ac:dyDescent="0.25">
      <c r="A3" s="150"/>
      <c r="B3" s="151"/>
      <c r="E3" s="125"/>
      <c r="F3" s="125"/>
      <c r="G3" s="125"/>
      <c r="H3" s="125"/>
      <c r="I3" s="125"/>
      <c r="J3" s="125"/>
      <c r="K3" s="125"/>
      <c r="L3" s="125"/>
    </row>
    <row r="4" ht="9.75" customHeight="1" spans="1:2" s="122" customFormat="1" x14ac:dyDescent="0.25">
      <c r="A4" s="153"/>
      <c r="B4" s="154"/>
    </row>
    <row r="5" ht="17.5" customHeight="1" spans="1:2" s="122" customFormat="1" x14ac:dyDescent="0.25">
      <c r="A5" s="153"/>
      <c r="B5" s="154"/>
    </row>
    <row r="6" ht="17.5" customHeight="1" spans="1:2" s="122" customFormat="1" x14ac:dyDescent="0.25">
      <c r="A6" s="150"/>
      <c r="B6" s="154"/>
    </row>
    <row r="7" ht="18" customHeight="1" x14ac:dyDescent="0.25"/>
    <row r="8" ht="27.75" customHeight="1" spans="1:3" x14ac:dyDescent="0.25">
      <c r="A8" s="183"/>
      <c r="B8" s="183"/>
      <c r="C8" s="184"/>
    </row>
    <row r="9" ht="40.5" customHeight="1" spans="1:4" s="185" customFormat="1" x14ac:dyDescent="0.25">
      <c r="A9" s="135" t="s">
        <v>113</v>
      </c>
      <c r="B9" s="58" t="s">
        <v>145</v>
      </c>
      <c r="C9" s="58" t="s">
        <v>166</v>
      </c>
      <c r="D9" s="135" t="s">
        <v>283</v>
      </c>
    </row>
    <row r="10" ht="43.5" customHeight="1" spans="1:4" s="186" customFormat="1" x14ac:dyDescent="0.25">
      <c r="A10" s="187" t="s">
        <v>392</v>
      </c>
      <c r="B10" s="146" t="s">
        <v>393</v>
      </c>
      <c r="C10" s="180">
        <v>0.9</v>
      </c>
      <c r="D10" s="63" t="s">
        <v>154</v>
      </c>
    </row>
    <row r="11" ht="15.75" customHeight="1" spans="1:4" s="188" customFormat="1" x14ac:dyDescent="0.25">
      <c r="A11" s="189"/>
      <c r="B11" s="189"/>
      <c r="C11" s="189"/>
      <c r="D11" s="189"/>
    </row>
    <row r="12" ht="36.75" customHeight="1" spans="1:4" s="186" customFormat="1" x14ac:dyDescent="0.25">
      <c r="A12" s="190"/>
      <c r="B12" s="191" t="s">
        <v>394</v>
      </c>
      <c r="C12" s="192"/>
      <c r="D12" s="178"/>
    </row>
    <row r="13" ht="36.75" customHeight="1" spans="1:4" s="186" customFormat="1" x14ac:dyDescent="0.25">
      <c r="A13" s="171" t="s">
        <v>444</v>
      </c>
      <c r="B13" s="193" t="s">
        <v>504</v>
      </c>
      <c r="C13" s="172"/>
      <c r="D13" s="194" t="s">
        <v>157</v>
      </c>
    </row>
    <row r="14" ht="36.75" customHeight="1" spans="1:4" s="186" customFormat="1" x14ac:dyDescent="0.25">
      <c r="A14" s="187" t="s">
        <v>396</v>
      </c>
      <c r="B14" s="146" t="s">
        <v>505</v>
      </c>
      <c r="C14" s="162"/>
      <c r="D14" s="63" t="s">
        <v>160</v>
      </c>
    </row>
    <row r="15" ht="45" customHeight="1" spans="1:4" s="188" customFormat="1" x14ac:dyDescent="0.25">
      <c r="A15" s="187" t="s">
        <v>506</v>
      </c>
      <c r="B15" s="146" t="s">
        <v>507</v>
      </c>
      <c r="C15" s="196"/>
      <c r="D15" s="180" t="s">
        <v>164</v>
      </c>
    </row>
    <row r="16" ht="36.75" customHeight="1" spans="1:4" s="186" customFormat="1" x14ac:dyDescent="0.25">
      <c r="A16" s="187" t="s">
        <v>398</v>
      </c>
      <c r="B16" s="146" t="s">
        <v>262</v>
      </c>
      <c r="C16" s="162"/>
      <c r="D16" s="63" t="s">
        <v>321</v>
      </c>
    </row>
    <row r="17" ht="36.75" customHeight="1" spans="1:4" s="186" customFormat="1" x14ac:dyDescent="0.25">
      <c r="A17" s="187" t="s">
        <v>399</v>
      </c>
      <c r="B17" s="146" t="s">
        <v>264</v>
      </c>
      <c r="C17" s="162"/>
      <c r="D17" s="63" t="s">
        <v>329</v>
      </c>
    </row>
    <row r="18" ht="36.75" customHeight="1" spans="1:4" s="186" customFormat="1" x14ac:dyDescent="0.25">
      <c r="A18" s="187" t="s">
        <v>400</v>
      </c>
      <c r="B18" s="146" t="s">
        <v>401</v>
      </c>
      <c r="C18" s="162"/>
      <c r="D18" s="180" t="s">
        <v>508</v>
      </c>
    </row>
    <row r="19" ht="36.75" customHeight="1" spans="1:4" s="186" customFormat="1" x14ac:dyDescent="0.25">
      <c r="A19" s="187" t="s">
        <v>403</v>
      </c>
      <c r="B19" s="146" t="s">
        <v>404</v>
      </c>
      <c r="C19" s="162"/>
      <c r="D19" s="63" t="s">
        <v>509</v>
      </c>
    </row>
    <row r="20" ht="36.75" customHeight="1" spans="1:4" s="186" customFormat="1" x14ac:dyDescent="0.25">
      <c r="A20" s="187" t="s">
        <v>406</v>
      </c>
      <c r="B20" s="146" t="s">
        <v>407</v>
      </c>
      <c r="C20" s="162"/>
      <c r="D20" s="180" t="s">
        <v>334</v>
      </c>
    </row>
    <row r="21" ht="51.75" customHeight="1" spans="1:4" s="188" customFormat="1" x14ac:dyDescent="0.25">
      <c r="A21" s="134" t="s">
        <v>450</v>
      </c>
      <c r="B21" s="195" t="s">
        <v>408</v>
      </c>
      <c r="C21" s="196"/>
      <c r="D21" s="135" t="s">
        <v>510</v>
      </c>
    </row>
    <row r="22" ht="51.75" customHeight="1" spans="1:4" s="188" customFormat="1" x14ac:dyDescent="0.25">
      <c r="A22" s="134" t="s">
        <v>469</v>
      </c>
      <c r="B22" s="195" t="s">
        <v>410</v>
      </c>
      <c r="C22" s="162"/>
      <c r="D22" s="135"/>
    </row>
    <row r="23" ht="36.75" customHeight="1" spans="1:4" s="186" customFormat="1" x14ac:dyDescent="0.25">
      <c r="A23" s="187" t="s">
        <v>411</v>
      </c>
      <c r="B23" s="146" t="s">
        <v>412</v>
      </c>
      <c r="C23" s="162"/>
      <c r="D23" s="63"/>
    </row>
    <row r="24" ht="45" customHeight="1" spans="1:4" s="188" customFormat="1" x14ac:dyDescent="0.25">
      <c r="A24" s="134" t="s">
        <v>480</v>
      </c>
      <c r="B24" s="195" t="s">
        <v>413</v>
      </c>
      <c r="C24" s="196"/>
      <c r="D24" s="135"/>
    </row>
    <row r="25" ht="36.75" customHeight="1" spans="1:4" s="188" customFormat="1" x14ac:dyDescent="0.25">
      <c r="A25" s="134" t="s">
        <v>482</v>
      </c>
      <c r="B25" s="195" t="s">
        <v>414</v>
      </c>
      <c r="C25" s="196"/>
      <c r="D25" s="135"/>
    </row>
    <row r="26" ht="36.75" customHeight="1" spans="1:4" s="188" customFormat="1" x14ac:dyDescent="0.25">
      <c r="A26" s="134" t="s">
        <v>483</v>
      </c>
      <c r="B26" s="195" t="s">
        <v>415</v>
      </c>
      <c r="C26" s="196"/>
      <c r="D26" s="197"/>
    </row>
    <row r="27" ht="36.75" customHeight="1" spans="1:4" s="186" customFormat="1" x14ac:dyDescent="0.25">
      <c r="A27" s="187" t="s">
        <v>416</v>
      </c>
      <c r="B27" s="146" t="s">
        <v>417</v>
      </c>
      <c r="C27" s="162"/>
      <c r="D27" s="178"/>
    </row>
    <row r="28" ht="15.75" customHeight="1" spans="1:4" s="188" customFormat="1" x14ac:dyDescent="0.25">
      <c r="A28" s="189"/>
      <c r="B28" s="189"/>
      <c r="C28" s="189"/>
      <c r="D28" s="189"/>
    </row>
    <row r="29" ht="36.75" customHeight="1" spans="1:4" s="186" customFormat="1" x14ac:dyDescent="0.25">
      <c r="A29" s="190"/>
      <c r="B29" s="191" t="s">
        <v>418</v>
      </c>
      <c r="C29" s="192"/>
      <c r="D29" s="178"/>
    </row>
    <row r="30" ht="36.75" customHeight="1" spans="1:4" s="188" customFormat="1" x14ac:dyDescent="0.25">
      <c r="A30" s="187" t="s">
        <v>419</v>
      </c>
      <c r="B30" s="146" t="s">
        <v>511</v>
      </c>
      <c r="C30" s="196"/>
      <c r="D30" s="180" t="s">
        <v>424</v>
      </c>
    </row>
    <row r="31" ht="45" customHeight="1" spans="1:4" s="188" customFormat="1" x14ac:dyDescent="0.25">
      <c r="A31" s="187" t="s">
        <v>422</v>
      </c>
      <c r="B31" s="146" t="s">
        <v>512</v>
      </c>
      <c r="C31" s="196"/>
      <c r="D31" s="180" t="s">
        <v>427</v>
      </c>
    </row>
    <row r="32" ht="45" customHeight="1" spans="1:4" s="188" customFormat="1" x14ac:dyDescent="0.25">
      <c r="A32" s="187" t="s">
        <v>513</v>
      </c>
      <c r="B32" s="146" t="s">
        <v>514</v>
      </c>
      <c r="C32" s="196"/>
      <c r="D32" s="180" t="s">
        <v>430</v>
      </c>
    </row>
    <row r="33" ht="36.75" customHeight="1" spans="1:4" s="188" customFormat="1" x14ac:dyDescent="0.25">
      <c r="A33" s="187" t="s">
        <v>425</v>
      </c>
      <c r="B33" s="146" t="s">
        <v>426</v>
      </c>
      <c r="C33" s="196"/>
      <c r="D33" s="63" t="s">
        <v>515</v>
      </c>
    </row>
    <row r="34" ht="36.75" customHeight="1" spans="1:4" s="186" customFormat="1" x14ac:dyDescent="0.25">
      <c r="A34" s="187" t="s">
        <v>428</v>
      </c>
      <c r="B34" s="146" t="s">
        <v>429</v>
      </c>
      <c r="C34" s="196"/>
      <c r="D34" s="63" t="s">
        <v>350</v>
      </c>
    </row>
    <row r="35" ht="36.75" customHeight="1" spans="1:4" s="188" customFormat="1" x14ac:dyDescent="0.25">
      <c r="A35" s="187" t="s">
        <v>431</v>
      </c>
      <c r="B35" s="146" t="s">
        <v>432</v>
      </c>
      <c r="C35" s="196"/>
      <c r="D35" s="180" t="s">
        <v>516</v>
      </c>
    </row>
    <row r="36" ht="45" customHeight="1" spans="1:4" s="186" customFormat="1" x14ac:dyDescent="0.25">
      <c r="A36" s="187" t="s">
        <v>434</v>
      </c>
      <c r="B36" s="146" t="s">
        <v>435</v>
      </c>
      <c r="C36" s="196"/>
      <c r="D36" s="63" t="s">
        <v>517</v>
      </c>
    </row>
    <row r="37" ht="45" customHeight="1" spans="1:4" s="188" customFormat="1" x14ac:dyDescent="0.25">
      <c r="A37" s="187" t="s">
        <v>437</v>
      </c>
      <c r="B37" s="146" t="s">
        <v>438</v>
      </c>
      <c r="C37" s="196"/>
      <c r="D37" s="180" t="s">
        <v>357</v>
      </c>
    </row>
    <row r="38" ht="45" customHeight="1" spans="1:4" s="188" customFormat="1" x14ac:dyDescent="0.25">
      <c r="A38" s="134" t="s">
        <v>481</v>
      </c>
      <c r="B38" s="195" t="s">
        <v>439</v>
      </c>
      <c r="C38" s="196"/>
      <c r="D38" s="135" t="s">
        <v>518</v>
      </c>
    </row>
    <row r="39" ht="15.75" customHeight="1" spans="1:4" s="188" customFormat="1" x14ac:dyDescent="0.25">
      <c r="A39" s="198"/>
      <c r="B39" s="198"/>
      <c r="C39" s="198"/>
      <c r="D39" s="198"/>
    </row>
    <row r="40" ht="23.25" customHeight="1" spans="1:4" s="186" customFormat="1" x14ac:dyDescent="0.25">
      <c r="A40" s="199" t="s">
        <v>441</v>
      </c>
      <c r="B40" s="199"/>
      <c r="C40" s="200"/>
      <c r="D40" s="64"/>
    </row>
    <row r="41" ht="23.25" customHeight="1" spans="1:4" s="188" customFormat="1" x14ac:dyDescent="0.25">
      <c r="A41" s="199" t="s">
        <v>442</v>
      </c>
      <c r="B41" s="199"/>
      <c r="C41" s="185"/>
      <c r="D41" s="200"/>
    </row>
  </sheetData>
  <sheetProtection sheet="1" algorithmName="SHA-512" hashValue="aN66jR9JDKlU+DnIPHvmfpBgwbhMlo1LPGSYRjBrfnkl/q2x2teRE1nQ2/bgPiG/+XXlffhbsa4bOz+PCGwznw==" saltValue="s6kbCO9aylsY3TzwhKtqsQ==" spinCount="100000" objects="1" scenarios="1"/>
  <mergeCells count="6">
    <mergeCell ref="A1:C1"/>
    <mergeCell ref="A11:D11"/>
    <mergeCell ref="A28:D28"/>
    <mergeCell ref="A39:D39"/>
    <mergeCell ref="A40:B40"/>
    <mergeCell ref="A41:B41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44" fitToWidth="1" fitToHeight="1" firstPageNumber="1" useFirstPageNumber="1" copies="1"/>
  <headerFooter>
    <oddFooter>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9"/>
  <sheetViews>
    <sheetView workbookViewId="0" zoomScale="40" zoomScaleNormal="40" view="pageBreakPreview">
      <selection activeCell="D52" sqref="D52"/>
    </sheetView>
  </sheetViews>
  <sheetFormatPr defaultRowHeight="27.75" outlineLevelRow="0" outlineLevelCol="0" x14ac:dyDescent="0" defaultColWidth="10" customHeight="1"/>
  <cols>
    <col min="1" max="1" width="17.1796875" style="206" customWidth="1"/>
    <col min="2" max="2" width="17.7265625" style="207" customWidth="1"/>
    <col min="3" max="3" width="97.453125" style="206" customWidth="1"/>
    <col min="4" max="4" width="10" style="206" customWidth="1"/>
    <col min="5" max="14" width="15.26953125" style="206" customWidth="1"/>
    <col min="15" max="54" width="15.6328125" style="206" customWidth="1"/>
    <col min="55" max="16384" width="10" style="206" customWidth="1"/>
  </cols>
  <sheetData>
    <row r="1" ht="29.25" customHeight="1" spans="1:14" x14ac:dyDescent="0.25">
      <c r="A1" s="208" t="s">
        <v>519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9" t="s">
        <v>46</v>
      </c>
    </row>
    <row r="2" ht="31.5" customHeight="1" spans="2:11" x14ac:dyDescent="0.25">
      <c r="B2" s="210"/>
      <c r="C2" s="210"/>
      <c r="D2" s="211"/>
      <c r="E2" s="212"/>
      <c r="F2" s="212"/>
      <c r="G2" s="212"/>
      <c r="H2" s="212"/>
      <c r="I2" s="212"/>
      <c r="J2" s="212"/>
      <c r="K2" s="212"/>
    </row>
    <row r="3" ht="22.5" customHeight="1" spans="2:11" s="213" customFormat="1" x14ac:dyDescent="0.25">
      <c r="B3" s="214"/>
      <c r="C3" s="215"/>
      <c r="D3" s="216"/>
      <c r="F3" s="216"/>
      <c r="G3" s="216"/>
      <c r="H3" s="216"/>
      <c r="I3" s="216"/>
      <c r="J3" s="216"/>
      <c r="K3" s="216"/>
    </row>
    <row r="4" ht="9.75" customHeight="1" spans="1:11" s="213" customFormat="1" x14ac:dyDescent="0.25">
      <c r="A4" s="215"/>
      <c r="B4" s="217"/>
      <c r="D4" s="216"/>
      <c r="F4" s="216"/>
      <c r="G4" s="216"/>
      <c r="H4" s="216"/>
      <c r="I4" s="216"/>
      <c r="J4" s="216"/>
      <c r="K4" s="216"/>
    </row>
    <row r="5" ht="22.5" customHeight="1" spans="1:11" s="213" customFormat="1" x14ac:dyDescent="0.25">
      <c r="A5" s="215"/>
      <c r="B5" s="217"/>
      <c r="D5" s="216"/>
      <c r="F5" s="216"/>
      <c r="G5" s="216"/>
      <c r="H5" s="216"/>
      <c r="I5" s="216"/>
      <c r="J5" s="216"/>
      <c r="K5" s="216"/>
    </row>
    <row r="6" ht="22.5" customHeight="1" spans="2:11" s="213" customFormat="1" x14ac:dyDescent="0.25">
      <c r="B6" s="217"/>
      <c r="D6" s="216"/>
      <c r="F6" s="216"/>
      <c r="G6" s="216"/>
      <c r="H6" s="216"/>
      <c r="I6" s="216"/>
      <c r="J6" s="216"/>
      <c r="K6" s="216"/>
    </row>
    <row r="7" ht="18" customHeight="1" spans="2:11" x14ac:dyDescent="0.25">
      <c r="B7" s="207"/>
      <c r="C7" s="206"/>
      <c r="D7" s="206"/>
      <c r="E7" s="206"/>
      <c r="F7" s="206"/>
      <c r="G7" s="206"/>
      <c r="H7" s="206"/>
      <c r="I7" s="206"/>
      <c r="J7" s="206"/>
      <c r="K7" s="206"/>
    </row>
    <row r="8" ht="45.75" customHeight="1" spans="1:54" s="218" customFormat="1" x14ac:dyDescent="0.25">
      <c r="A8" s="219" t="s">
        <v>113</v>
      </c>
      <c r="B8" s="220" t="s">
        <v>283</v>
      </c>
      <c r="C8" s="221" t="s">
        <v>145</v>
      </c>
      <c r="D8" s="222" t="s">
        <v>520</v>
      </c>
      <c r="E8" s="221" t="s">
        <v>521</v>
      </c>
      <c r="F8" s="221" t="s">
        <v>522</v>
      </c>
      <c r="G8" s="221" t="s">
        <v>523</v>
      </c>
      <c r="H8" s="221" t="s">
        <v>524</v>
      </c>
      <c r="I8" s="221" t="s">
        <v>525</v>
      </c>
      <c r="J8" s="221" t="s">
        <v>526</v>
      </c>
      <c r="K8" s="221" t="s">
        <v>527</v>
      </c>
      <c r="L8" s="221" t="s">
        <v>528</v>
      </c>
      <c r="M8" s="221" t="s">
        <v>529</v>
      </c>
      <c r="N8" s="221" t="s">
        <v>530</v>
      </c>
      <c r="O8" s="221" t="s">
        <v>531</v>
      </c>
      <c r="P8" s="221" t="s">
        <v>532</v>
      </c>
      <c r="Q8" s="221" t="s">
        <v>533</v>
      </c>
      <c r="R8" s="221" t="s">
        <v>534</v>
      </c>
      <c r="S8" s="221" t="s">
        <v>535</v>
      </c>
      <c r="T8" s="221" t="s">
        <v>536</v>
      </c>
      <c r="U8" s="221" t="s">
        <v>537</v>
      </c>
      <c r="V8" s="221" t="s">
        <v>538</v>
      </c>
      <c r="W8" s="221" t="s">
        <v>539</v>
      </c>
      <c r="X8" s="221" t="s">
        <v>540</v>
      </c>
      <c r="Y8" s="221" t="s">
        <v>541</v>
      </c>
      <c r="Z8" s="221" t="s">
        <v>542</v>
      </c>
      <c r="AA8" s="221" t="s">
        <v>543</v>
      </c>
      <c r="AB8" s="221" t="s">
        <v>544</v>
      </c>
      <c r="AC8" s="221" t="s">
        <v>545</v>
      </c>
      <c r="AD8" s="221" t="s">
        <v>546</v>
      </c>
      <c r="AE8" s="221" t="s">
        <v>547</v>
      </c>
      <c r="AF8" s="221" t="s">
        <v>548</v>
      </c>
      <c r="AG8" s="221" t="s">
        <v>549</v>
      </c>
      <c r="AH8" s="221" t="s">
        <v>550</v>
      </c>
      <c r="AI8" s="221" t="s">
        <v>551</v>
      </c>
      <c r="AJ8" s="221" t="s">
        <v>552</v>
      </c>
      <c r="AK8" s="221" t="s">
        <v>553</v>
      </c>
      <c r="AL8" s="221" t="s">
        <v>554</v>
      </c>
      <c r="AM8" s="221" t="s">
        <v>555</v>
      </c>
      <c r="AN8" s="221" t="s">
        <v>556</v>
      </c>
      <c r="AO8" s="221" t="s">
        <v>557</v>
      </c>
      <c r="AP8" s="221" t="s">
        <v>558</v>
      </c>
      <c r="AQ8" s="221" t="s">
        <v>559</v>
      </c>
      <c r="AR8" s="221" t="s">
        <v>560</v>
      </c>
      <c r="AS8" s="221" t="s">
        <v>561</v>
      </c>
      <c r="AT8" s="221" t="s">
        <v>562</v>
      </c>
      <c r="AU8" s="221" t="s">
        <v>563</v>
      </c>
      <c r="AV8" s="221" t="s">
        <v>564</v>
      </c>
      <c r="AW8" s="221" t="s">
        <v>565</v>
      </c>
      <c r="AX8" s="221" t="s">
        <v>566</v>
      </c>
      <c r="AY8" s="221" t="s">
        <v>567</v>
      </c>
      <c r="AZ8" s="221" t="s">
        <v>568</v>
      </c>
      <c r="BA8" s="221" t="s">
        <v>569</v>
      </c>
      <c r="BB8" s="221" t="s">
        <v>570</v>
      </c>
    </row>
    <row r="9" ht="53.25" customHeight="1" spans="1:54" x14ac:dyDescent="0.25">
      <c r="A9" s="223" t="s">
        <v>571</v>
      </c>
      <c r="B9" s="224" t="s">
        <v>154</v>
      </c>
      <c r="C9" s="225" t="s">
        <v>572</v>
      </c>
      <c r="D9" s="226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</row>
    <row r="10" ht="106.5" customHeight="1" spans="1:54" x14ac:dyDescent="0.25">
      <c r="A10" s="223" t="s">
        <v>573</v>
      </c>
      <c r="B10" s="228" t="s">
        <v>157</v>
      </c>
      <c r="C10" s="225" t="s">
        <v>574</v>
      </c>
      <c r="D10" s="229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</row>
    <row r="11" ht="108" customHeight="1" spans="1:54" x14ac:dyDescent="0.25">
      <c r="A11" s="223" t="s">
        <v>575</v>
      </c>
      <c r="B11" s="230" t="s">
        <v>160</v>
      </c>
      <c r="C11" s="225" t="s">
        <v>576</v>
      </c>
      <c r="D11" s="231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7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</row>
    <row r="12" ht="12.75" customHeight="1" spans="1:54" x14ac:dyDescent="0.25">
      <c r="A12" s="232"/>
      <c r="B12" s="233"/>
      <c r="C12" s="233"/>
      <c r="D12" s="234"/>
      <c r="E12" s="233"/>
      <c r="F12" s="233"/>
      <c r="G12" s="233"/>
      <c r="H12" s="233"/>
      <c r="I12" s="233"/>
      <c r="J12" s="233"/>
      <c r="K12" s="233"/>
      <c r="L12" s="233"/>
      <c r="M12" s="233"/>
      <c r="N12" s="235"/>
      <c r="O12" s="233"/>
      <c r="P12" s="233"/>
      <c r="Q12" s="233"/>
      <c r="R12" s="233"/>
      <c r="S12" s="233"/>
      <c r="T12" s="233"/>
      <c r="U12" s="233"/>
      <c r="V12" s="233"/>
      <c r="W12" s="233"/>
      <c r="X12" s="235"/>
      <c r="Y12" s="233"/>
      <c r="Z12" s="233"/>
      <c r="AA12" s="233"/>
      <c r="AB12" s="233"/>
      <c r="AC12" s="233"/>
      <c r="AD12" s="233"/>
      <c r="AE12" s="233"/>
      <c r="AF12" s="233"/>
      <c r="AG12" s="233"/>
      <c r="AH12" s="235"/>
      <c r="AI12" s="233"/>
      <c r="AJ12" s="233"/>
      <c r="AK12" s="233"/>
      <c r="AL12" s="233"/>
      <c r="AM12" s="233"/>
      <c r="AN12" s="233"/>
      <c r="AO12" s="233"/>
      <c r="AP12" s="233"/>
      <c r="AQ12" s="233"/>
      <c r="AR12" s="235"/>
      <c r="AS12" s="233"/>
      <c r="AT12" s="233"/>
      <c r="AU12" s="233"/>
      <c r="AV12" s="233"/>
      <c r="AW12" s="233"/>
      <c r="AX12" s="233"/>
      <c r="AY12" s="233"/>
      <c r="AZ12" s="233"/>
      <c r="BA12" s="233"/>
      <c r="BB12" s="235"/>
    </row>
    <row r="13" ht="45" customHeight="1" spans="1:54" x14ac:dyDescent="0.25">
      <c r="A13" s="223" t="s">
        <v>577</v>
      </c>
      <c r="B13" s="230" t="s">
        <v>164</v>
      </c>
      <c r="C13" s="236" t="s">
        <v>578</v>
      </c>
      <c r="D13" s="226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</row>
    <row r="14" ht="45" customHeight="1" spans="1:54" x14ac:dyDescent="0.25">
      <c r="A14" s="223" t="s">
        <v>579</v>
      </c>
      <c r="B14" s="230" t="s">
        <v>321</v>
      </c>
      <c r="C14" s="236" t="s">
        <v>580</v>
      </c>
      <c r="D14" s="229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</row>
    <row r="15" ht="45" customHeight="1" spans="1:54" x14ac:dyDescent="0.25">
      <c r="A15" s="223" t="s">
        <v>581</v>
      </c>
      <c r="B15" s="230" t="s">
        <v>329</v>
      </c>
      <c r="C15" s="236" t="s">
        <v>582</v>
      </c>
      <c r="D15" s="231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</row>
    <row r="16" ht="12.75" customHeight="1" spans="1:54" x14ac:dyDescent="0.25">
      <c r="A16" s="232"/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5"/>
      <c r="O16" s="233"/>
      <c r="P16" s="233"/>
      <c r="Q16" s="233"/>
      <c r="R16" s="233"/>
      <c r="S16" s="233"/>
      <c r="T16" s="233"/>
      <c r="U16" s="233"/>
      <c r="V16" s="233"/>
      <c r="W16" s="233"/>
      <c r="X16" s="235"/>
      <c r="Y16" s="233"/>
      <c r="Z16" s="233"/>
      <c r="AA16" s="233"/>
      <c r="AB16" s="233"/>
      <c r="AC16" s="233"/>
      <c r="AD16" s="233"/>
      <c r="AE16" s="233"/>
      <c r="AF16" s="233"/>
      <c r="AG16" s="233"/>
      <c r="AH16" s="235"/>
      <c r="AI16" s="233"/>
      <c r="AJ16" s="233"/>
      <c r="AK16" s="233"/>
      <c r="AL16" s="233"/>
      <c r="AM16" s="233"/>
      <c r="AN16" s="233"/>
      <c r="AO16" s="233"/>
      <c r="AP16" s="233"/>
      <c r="AQ16" s="233"/>
      <c r="AR16" s="235"/>
      <c r="AS16" s="233"/>
      <c r="AT16" s="233"/>
      <c r="AU16" s="233"/>
      <c r="AV16" s="233"/>
      <c r="AW16" s="233"/>
      <c r="AX16" s="233"/>
      <c r="AY16" s="233"/>
      <c r="AZ16" s="233"/>
      <c r="BA16" s="233"/>
      <c r="BB16" s="235"/>
    </row>
    <row r="17" ht="82.5" customHeight="1" spans="1:54" x14ac:dyDescent="0.25">
      <c r="A17" s="223" t="s">
        <v>583</v>
      </c>
      <c r="B17" s="230" t="s">
        <v>331</v>
      </c>
      <c r="C17" s="236" t="s">
        <v>584</v>
      </c>
      <c r="D17" s="226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</row>
    <row r="18" ht="58.5" customHeight="1" spans="1:54" x14ac:dyDescent="0.25">
      <c r="A18" s="223" t="s">
        <v>585</v>
      </c>
      <c r="B18" s="230" t="s">
        <v>333</v>
      </c>
      <c r="C18" s="236" t="s">
        <v>586</v>
      </c>
      <c r="D18" s="229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</row>
    <row r="19" ht="45" customHeight="1" spans="1:54" x14ac:dyDescent="0.25">
      <c r="A19" s="223" t="s">
        <v>587</v>
      </c>
      <c r="B19" s="230" t="s">
        <v>334</v>
      </c>
      <c r="C19" s="236" t="s">
        <v>588</v>
      </c>
      <c r="D19" s="231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</row>
    <row r="20" ht="12.75" customHeight="1" spans="1:54" x14ac:dyDescent="0.25">
      <c r="A20" s="232"/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5"/>
      <c r="O20" s="233"/>
      <c r="P20" s="233"/>
      <c r="Q20" s="233"/>
      <c r="R20" s="233"/>
      <c r="S20" s="233"/>
      <c r="T20" s="233"/>
      <c r="U20" s="233"/>
      <c r="V20" s="233"/>
      <c r="W20" s="233"/>
      <c r="X20" s="235"/>
      <c r="Y20" s="233"/>
      <c r="Z20" s="233"/>
      <c r="AA20" s="233"/>
      <c r="AB20" s="233"/>
      <c r="AC20" s="233"/>
      <c r="AD20" s="233"/>
      <c r="AE20" s="233"/>
      <c r="AF20" s="233"/>
      <c r="AG20" s="233"/>
      <c r="AH20" s="235"/>
      <c r="AI20" s="233"/>
      <c r="AJ20" s="233"/>
      <c r="AK20" s="233"/>
      <c r="AL20" s="233"/>
      <c r="AM20" s="233"/>
      <c r="AN20" s="233"/>
      <c r="AO20" s="233"/>
      <c r="AP20" s="233"/>
      <c r="AQ20" s="233"/>
      <c r="AR20" s="235"/>
      <c r="AS20" s="233"/>
      <c r="AT20" s="233"/>
      <c r="AU20" s="233"/>
      <c r="AV20" s="233"/>
      <c r="AW20" s="233"/>
      <c r="AX20" s="233"/>
      <c r="AY20" s="233"/>
      <c r="AZ20" s="233"/>
      <c r="BA20" s="233"/>
      <c r="BB20" s="235"/>
    </row>
    <row r="21" ht="45" customHeight="1" spans="1:54" x14ac:dyDescent="0.25">
      <c r="A21" s="223" t="s">
        <v>589</v>
      </c>
      <c r="B21" s="230" t="s">
        <v>421</v>
      </c>
      <c r="C21" s="237" t="s">
        <v>590</v>
      </c>
      <c r="D21" s="226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</row>
    <row r="22" ht="90.75" customHeight="1" spans="1:54" x14ac:dyDescent="0.25">
      <c r="A22" s="223" t="s">
        <v>591</v>
      </c>
      <c r="B22" s="230" t="s">
        <v>424</v>
      </c>
      <c r="C22" s="236" t="s">
        <v>592</v>
      </c>
      <c r="D22" s="229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</row>
    <row r="23" ht="12.75" customHeight="1" spans="1:54" x14ac:dyDescent="0.25">
      <c r="A23" s="232"/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5"/>
      <c r="O23" s="233"/>
      <c r="P23" s="233"/>
      <c r="Q23" s="233"/>
      <c r="R23" s="233"/>
      <c r="S23" s="233"/>
      <c r="T23" s="233"/>
      <c r="U23" s="233"/>
      <c r="V23" s="233"/>
      <c r="W23" s="233"/>
      <c r="X23" s="235"/>
      <c r="Y23" s="233"/>
      <c r="Z23" s="233"/>
      <c r="AA23" s="233"/>
      <c r="AB23" s="233"/>
      <c r="AC23" s="233"/>
      <c r="AD23" s="233"/>
      <c r="AE23" s="233"/>
      <c r="AF23" s="233"/>
      <c r="AG23" s="233"/>
      <c r="AH23" s="235"/>
      <c r="AI23" s="233"/>
      <c r="AJ23" s="233"/>
      <c r="AK23" s="233"/>
      <c r="AL23" s="233"/>
      <c r="AM23" s="233"/>
      <c r="AN23" s="233"/>
      <c r="AO23" s="233"/>
      <c r="AP23" s="233"/>
      <c r="AQ23" s="233"/>
      <c r="AR23" s="235"/>
      <c r="AS23" s="233"/>
      <c r="AT23" s="233"/>
      <c r="AU23" s="233"/>
      <c r="AV23" s="233"/>
      <c r="AW23" s="233"/>
      <c r="AX23" s="233"/>
      <c r="AY23" s="233"/>
      <c r="AZ23" s="233"/>
      <c r="BA23" s="233"/>
      <c r="BB23" s="235"/>
    </row>
    <row r="24" ht="27.75" customHeight="1" spans="1:54" x14ac:dyDescent="0.25">
      <c r="A24" s="223"/>
      <c r="B24" s="221"/>
      <c r="C24" s="238" t="s">
        <v>593</v>
      </c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40"/>
      <c r="O24" s="239"/>
      <c r="P24" s="239"/>
      <c r="Q24" s="239"/>
      <c r="R24" s="239"/>
      <c r="S24" s="239"/>
      <c r="T24" s="239"/>
      <c r="U24" s="239"/>
      <c r="V24" s="239"/>
      <c r="W24" s="239"/>
      <c r="X24" s="240"/>
      <c r="Y24" s="239"/>
      <c r="Z24" s="239"/>
      <c r="AA24" s="239"/>
      <c r="AB24" s="239"/>
      <c r="AC24" s="239"/>
      <c r="AD24" s="239"/>
      <c r="AE24" s="239"/>
      <c r="AF24" s="239"/>
      <c r="AG24" s="239"/>
      <c r="AH24" s="240"/>
      <c r="AI24" s="239"/>
      <c r="AJ24" s="239"/>
      <c r="AK24" s="239"/>
      <c r="AL24" s="239"/>
      <c r="AM24" s="239"/>
      <c r="AN24" s="239"/>
      <c r="AO24" s="239"/>
      <c r="AP24" s="239"/>
      <c r="AQ24" s="239"/>
      <c r="AR24" s="240"/>
      <c r="AS24" s="239"/>
      <c r="AT24" s="239"/>
      <c r="AU24" s="239"/>
      <c r="AV24" s="239"/>
      <c r="AW24" s="239"/>
      <c r="AX24" s="239"/>
      <c r="AY24" s="239"/>
      <c r="AZ24" s="239"/>
      <c r="BA24" s="239"/>
      <c r="BB24" s="240"/>
    </row>
    <row r="25" ht="63.75" customHeight="1" spans="1:54" x14ac:dyDescent="0.25">
      <c r="A25" s="223" t="s">
        <v>594</v>
      </c>
      <c r="B25" s="224" t="s">
        <v>595</v>
      </c>
      <c r="C25" s="236" t="s">
        <v>596</v>
      </c>
      <c r="D25" s="229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</row>
    <row r="26" ht="67.5" customHeight="1" spans="1:54" x14ac:dyDescent="0.25">
      <c r="A26" s="223" t="s">
        <v>597</v>
      </c>
      <c r="B26" s="224" t="s">
        <v>598</v>
      </c>
      <c r="C26" s="236" t="s">
        <v>599</v>
      </c>
      <c r="D26" s="229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</row>
    <row r="27" ht="48.75" customHeight="1" spans="1:54" x14ac:dyDescent="0.25">
      <c r="A27" s="223" t="s">
        <v>600</v>
      </c>
      <c r="B27" s="224" t="s">
        <v>601</v>
      </c>
      <c r="C27" s="237" t="s">
        <v>602</v>
      </c>
      <c r="D27" s="229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</row>
    <row r="28" ht="48.75" customHeight="1" spans="1:54" x14ac:dyDescent="0.25">
      <c r="A28" s="223" t="s">
        <v>603</v>
      </c>
      <c r="B28" s="224" t="s">
        <v>604</v>
      </c>
      <c r="C28" s="237" t="s">
        <v>605</v>
      </c>
      <c r="D28" s="229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227"/>
      <c r="AX28" s="227"/>
      <c r="AY28" s="227"/>
      <c r="AZ28" s="227"/>
      <c r="BA28" s="227"/>
      <c r="BB28" s="227"/>
    </row>
    <row r="29" ht="48.75" customHeight="1" spans="1:54" s="218" customFormat="1" x14ac:dyDescent="0.25">
      <c r="A29" s="223" t="s">
        <v>451</v>
      </c>
      <c r="B29" s="241" t="s">
        <v>606</v>
      </c>
      <c r="C29" s="242" t="s">
        <v>607</v>
      </c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</row>
    <row r="30" ht="12.75" customHeight="1" spans="1:54" x14ac:dyDescent="0.25">
      <c r="A30" s="232"/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5"/>
      <c r="O30" s="233"/>
      <c r="P30" s="233"/>
      <c r="Q30" s="233"/>
      <c r="R30" s="233"/>
      <c r="S30" s="233"/>
      <c r="T30" s="233"/>
      <c r="U30" s="233"/>
      <c r="V30" s="233"/>
      <c r="W30" s="233"/>
      <c r="X30" s="235"/>
      <c r="Y30" s="233"/>
      <c r="Z30" s="233"/>
      <c r="AA30" s="233"/>
      <c r="AB30" s="233"/>
      <c r="AC30" s="233"/>
      <c r="AD30" s="233"/>
      <c r="AE30" s="233"/>
      <c r="AF30" s="233"/>
      <c r="AG30" s="233"/>
      <c r="AH30" s="235"/>
      <c r="AI30" s="233"/>
      <c r="AJ30" s="233"/>
      <c r="AK30" s="233"/>
      <c r="AL30" s="233"/>
      <c r="AM30" s="233"/>
      <c r="AN30" s="233"/>
      <c r="AO30" s="233"/>
      <c r="AP30" s="233"/>
      <c r="AQ30" s="233"/>
      <c r="AR30" s="235"/>
      <c r="AS30" s="233"/>
      <c r="AT30" s="233"/>
      <c r="AU30" s="233"/>
      <c r="AV30" s="233"/>
      <c r="AW30" s="233"/>
      <c r="AX30" s="233"/>
      <c r="AY30" s="233"/>
      <c r="AZ30" s="233"/>
      <c r="BA30" s="233"/>
      <c r="BB30" s="235"/>
    </row>
    <row r="31" ht="27.75" customHeight="1" spans="1:54" x14ac:dyDescent="0.25">
      <c r="A31" s="223"/>
      <c r="B31" s="221"/>
      <c r="C31" s="238" t="s">
        <v>608</v>
      </c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40"/>
      <c r="O31" s="239"/>
      <c r="P31" s="239"/>
      <c r="Q31" s="239"/>
      <c r="R31" s="239"/>
      <c r="S31" s="239"/>
      <c r="T31" s="239"/>
      <c r="U31" s="239"/>
      <c r="V31" s="239"/>
      <c r="W31" s="239"/>
      <c r="X31" s="240"/>
      <c r="Y31" s="239"/>
      <c r="Z31" s="239"/>
      <c r="AA31" s="239"/>
      <c r="AB31" s="239"/>
      <c r="AC31" s="239"/>
      <c r="AD31" s="239"/>
      <c r="AE31" s="239"/>
      <c r="AF31" s="239"/>
      <c r="AG31" s="239"/>
      <c r="AH31" s="240"/>
      <c r="AI31" s="239"/>
      <c r="AJ31" s="239"/>
      <c r="AK31" s="239"/>
      <c r="AL31" s="239"/>
      <c r="AM31" s="239"/>
      <c r="AN31" s="239"/>
      <c r="AO31" s="239"/>
      <c r="AP31" s="239"/>
      <c r="AQ31" s="239"/>
      <c r="AR31" s="240"/>
      <c r="AS31" s="239"/>
      <c r="AT31" s="239"/>
      <c r="AU31" s="239"/>
      <c r="AV31" s="239"/>
      <c r="AW31" s="239"/>
      <c r="AX31" s="239"/>
      <c r="AY31" s="239"/>
      <c r="AZ31" s="239"/>
      <c r="BA31" s="239"/>
      <c r="BB31" s="240"/>
    </row>
    <row r="32" ht="60.75" customHeight="1" spans="1:54" x14ac:dyDescent="0.25">
      <c r="A32" s="223" t="s">
        <v>609</v>
      </c>
      <c r="B32" s="224" t="s">
        <v>610</v>
      </c>
      <c r="C32" s="236" t="s">
        <v>611</v>
      </c>
      <c r="D32" s="229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7"/>
      <c r="AZ32" s="227"/>
      <c r="BA32" s="227"/>
      <c r="BB32" s="227"/>
    </row>
    <row r="33" ht="71.25" customHeight="1" spans="1:54" x14ac:dyDescent="0.25">
      <c r="A33" s="223" t="s">
        <v>612</v>
      </c>
      <c r="B33" s="224" t="s">
        <v>613</v>
      </c>
      <c r="C33" s="236" t="s">
        <v>614</v>
      </c>
      <c r="D33" s="229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27"/>
    </row>
    <row r="34" ht="44.25" customHeight="1" spans="1:54" x14ac:dyDescent="0.25">
      <c r="A34" s="223" t="s">
        <v>615</v>
      </c>
      <c r="B34" s="224" t="s">
        <v>616</v>
      </c>
      <c r="C34" s="237" t="s">
        <v>617</v>
      </c>
      <c r="D34" s="229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7"/>
      <c r="AX34" s="227"/>
      <c r="AY34" s="227"/>
      <c r="AZ34" s="227"/>
      <c r="BA34" s="227"/>
      <c r="BB34" s="227"/>
    </row>
    <row r="35" ht="44.25" customHeight="1" spans="1:54" x14ac:dyDescent="0.25">
      <c r="A35" s="223" t="s">
        <v>618</v>
      </c>
      <c r="B35" s="224" t="s">
        <v>619</v>
      </c>
      <c r="C35" s="237" t="s">
        <v>620</v>
      </c>
      <c r="D35" s="229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7"/>
      <c r="AT35" s="227"/>
      <c r="AU35" s="227"/>
      <c r="AV35" s="227"/>
      <c r="AW35" s="227"/>
      <c r="AX35" s="227"/>
      <c r="AY35" s="227"/>
      <c r="AZ35" s="227"/>
      <c r="BA35" s="227"/>
      <c r="BB35" s="227"/>
    </row>
    <row r="36" ht="44.25" customHeight="1" spans="1:54" x14ac:dyDescent="0.25">
      <c r="A36" s="223" t="s">
        <v>621</v>
      </c>
      <c r="B36" s="224" t="s">
        <v>622</v>
      </c>
      <c r="C36" s="237" t="s">
        <v>623</v>
      </c>
      <c r="D36" s="229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7"/>
      <c r="AX36" s="227"/>
      <c r="AY36" s="227"/>
      <c r="AZ36" s="227"/>
      <c r="BA36" s="227"/>
      <c r="BB36" s="227"/>
    </row>
    <row r="37" ht="44.25" customHeight="1" spans="1:54" x14ac:dyDescent="0.25">
      <c r="A37" s="223" t="s">
        <v>471</v>
      </c>
      <c r="B37" s="241" t="s">
        <v>624</v>
      </c>
      <c r="C37" s="242" t="s">
        <v>625</v>
      </c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7"/>
      <c r="AX37" s="227"/>
      <c r="AY37" s="227"/>
      <c r="AZ37" s="227"/>
      <c r="BA37" s="227"/>
      <c r="BB37" s="227"/>
    </row>
    <row r="38" ht="12.75" customHeight="1" spans="1:54" x14ac:dyDescent="0.25">
      <c r="A38" s="232"/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5"/>
      <c r="O38" s="233"/>
      <c r="P38" s="233"/>
      <c r="Q38" s="233"/>
      <c r="R38" s="233"/>
      <c r="S38" s="233"/>
      <c r="T38" s="233"/>
      <c r="U38" s="233"/>
      <c r="V38" s="233"/>
      <c r="W38" s="233"/>
      <c r="X38" s="235"/>
      <c r="Y38" s="233"/>
      <c r="Z38" s="233"/>
      <c r="AA38" s="233"/>
      <c r="AB38" s="233"/>
      <c r="AC38" s="233"/>
      <c r="AD38" s="233"/>
      <c r="AE38" s="233"/>
      <c r="AF38" s="233"/>
      <c r="AG38" s="233"/>
      <c r="AH38" s="235"/>
      <c r="AI38" s="233"/>
      <c r="AJ38" s="233"/>
      <c r="AK38" s="233"/>
      <c r="AL38" s="233"/>
      <c r="AM38" s="233"/>
      <c r="AN38" s="233"/>
      <c r="AO38" s="233"/>
      <c r="AP38" s="233"/>
      <c r="AQ38" s="233"/>
      <c r="AR38" s="235"/>
      <c r="AS38" s="233"/>
      <c r="AT38" s="233"/>
      <c r="AU38" s="233"/>
      <c r="AV38" s="233"/>
      <c r="AW38" s="233"/>
      <c r="AX38" s="233"/>
      <c r="AY38" s="233"/>
      <c r="AZ38" s="233"/>
      <c r="BA38" s="233"/>
      <c r="BB38" s="235"/>
    </row>
    <row r="39" ht="27.75" customHeight="1" spans="1:54" x14ac:dyDescent="0.25">
      <c r="A39" s="223"/>
      <c r="B39" s="221"/>
      <c r="C39" s="238" t="s">
        <v>626</v>
      </c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40"/>
      <c r="O39" s="239"/>
      <c r="P39" s="239"/>
      <c r="Q39" s="239"/>
      <c r="R39" s="239"/>
      <c r="S39" s="239"/>
      <c r="T39" s="239"/>
      <c r="U39" s="239"/>
      <c r="V39" s="239"/>
      <c r="W39" s="239"/>
      <c r="X39" s="240"/>
      <c r="Y39" s="239"/>
      <c r="Z39" s="239"/>
      <c r="AA39" s="239"/>
      <c r="AB39" s="239"/>
      <c r="AC39" s="239"/>
      <c r="AD39" s="239"/>
      <c r="AE39" s="239"/>
      <c r="AF39" s="239"/>
      <c r="AG39" s="239"/>
      <c r="AH39" s="240"/>
      <c r="AI39" s="239"/>
      <c r="AJ39" s="239"/>
      <c r="AK39" s="239"/>
      <c r="AL39" s="239"/>
      <c r="AM39" s="239"/>
      <c r="AN39" s="239"/>
      <c r="AO39" s="239"/>
      <c r="AP39" s="239"/>
      <c r="AQ39" s="239"/>
      <c r="AR39" s="240"/>
      <c r="AS39" s="239"/>
      <c r="AT39" s="239"/>
      <c r="AU39" s="239"/>
      <c r="AV39" s="239"/>
      <c r="AW39" s="239"/>
      <c r="AX39" s="239"/>
      <c r="AY39" s="239"/>
      <c r="AZ39" s="239"/>
      <c r="BA39" s="239"/>
      <c r="BB39" s="240"/>
    </row>
    <row r="40" ht="55.5" customHeight="1" spans="1:54" x14ac:dyDescent="0.25">
      <c r="A40" s="223" t="s">
        <v>627</v>
      </c>
      <c r="B40" s="224" t="s">
        <v>628</v>
      </c>
      <c r="C40" s="236" t="s">
        <v>629</v>
      </c>
      <c r="D40" s="229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7"/>
    </row>
    <row r="41" ht="70.5" customHeight="1" spans="1:54" x14ac:dyDescent="0.25">
      <c r="A41" s="223" t="s">
        <v>630</v>
      </c>
      <c r="B41" s="224" t="s">
        <v>631</v>
      </c>
      <c r="C41" s="236" t="s">
        <v>632</v>
      </c>
      <c r="D41" s="229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</row>
    <row r="42" ht="48" customHeight="1" spans="1:54" x14ac:dyDescent="0.25">
      <c r="A42" s="223" t="s">
        <v>633</v>
      </c>
      <c r="B42" s="224" t="s">
        <v>634</v>
      </c>
      <c r="C42" s="237" t="s">
        <v>635</v>
      </c>
      <c r="D42" s="229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</row>
    <row r="43" ht="55.5" customHeight="1" spans="1:54" x14ac:dyDescent="0.25">
      <c r="A43" s="223" t="s">
        <v>636</v>
      </c>
      <c r="B43" s="224" t="s">
        <v>637</v>
      </c>
      <c r="C43" s="237" t="s">
        <v>638</v>
      </c>
      <c r="D43" s="229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27"/>
    </row>
    <row r="44" ht="60" customHeight="1" spans="1:54" x14ac:dyDescent="0.25">
      <c r="A44" s="223" t="s">
        <v>639</v>
      </c>
      <c r="B44" s="224" t="s">
        <v>640</v>
      </c>
      <c r="C44" s="237" t="s">
        <v>641</v>
      </c>
      <c r="D44" s="229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</row>
    <row r="45" ht="48" customHeight="1" spans="1:54" x14ac:dyDescent="0.25">
      <c r="A45" s="223" t="s">
        <v>486</v>
      </c>
      <c r="B45" s="241" t="s">
        <v>642</v>
      </c>
      <c r="C45" s="242" t="s">
        <v>643</v>
      </c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</row>
    <row r="46" ht="13.5" customHeight="1" x14ac:dyDescent="0.25"/>
    <row r="47" ht="23.25" customHeight="1" spans="1:3" x14ac:dyDescent="0.25">
      <c r="A47" s="243" t="s">
        <v>644</v>
      </c>
      <c r="B47" s="243"/>
      <c r="C47" s="243"/>
    </row>
    <row r="48" ht="23.25" customHeight="1" spans="1:3" x14ac:dyDescent="0.25">
      <c r="A48" s="243" t="s">
        <v>645</v>
      </c>
      <c r="B48" s="243"/>
      <c r="C48" s="243"/>
    </row>
    <row r="49" ht="23.25" customHeight="1" spans="1:3" x14ac:dyDescent="0.25">
      <c r="A49" s="243" t="s">
        <v>646</v>
      </c>
      <c r="B49" s="243"/>
      <c r="C49" s="243"/>
    </row>
  </sheetData>
  <sheetProtection sheet="1" algorithmName="SHA-512" hashValue="jtEdeAOHksgNKFN9nzzaFdI6w5iRFnwmqtF+FD+g96yY7TY7xg+vxLpCWWQOnGdWAUjt1ltdl7oy+qhc+BEqSQ==" saltValue="G3P0NOHHIn6clfYOdil10A==" spinCount="100000" objects="1" scenarios="1"/>
  <mergeCells count="4">
    <mergeCell ref="A1:M1"/>
    <mergeCell ref="A47:C47"/>
    <mergeCell ref="A48:C48"/>
    <mergeCell ref="A49:C49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37" fitToWidth="1" fitToHeight="1" firstPageNumber="1" useFirstPageNumber="1" copies="1"/>
  <headerFooter>
    <oddFooter>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 zoomScale="70" zoomScaleNormal="70" view="pageBreakPreview">
      <selection activeCell="A34" sqref="A34"/>
    </sheetView>
  </sheetViews>
  <sheetFormatPr defaultRowHeight="30" outlineLevelRow="0" outlineLevelCol="0" x14ac:dyDescent="0" defaultColWidth="10" customHeight="1"/>
  <cols>
    <col min="1" max="1" width="11.08984375" style="91" customWidth="1"/>
    <col min="2" max="2" width="18.6328125" style="91" customWidth="1"/>
    <col min="3" max="3" width="54.26953125" style="91" customWidth="1"/>
    <col min="4" max="5" width="14.81640625" style="91" customWidth="1"/>
    <col min="6" max="6" width="3.08984375" style="91" customWidth="1"/>
    <col min="7" max="16384" width="10" style="91" customWidth="1"/>
  </cols>
  <sheetData>
    <row r="1" ht="30" customHeight="1" spans="1:6" x14ac:dyDescent="0.25">
      <c r="A1" s="92" t="s">
        <v>647</v>
      </c>
      <c r="B1" s="92"/>
      <c r="C1" s="92"/>
      <c r="D1" s="92"/>
      <c r="E1" s="244" t="s">
        <v>48</v>
      </c>
      <c r="F1" s="245"/>
    </row>
    <row r="2" ht="30" customHeight="1" s="246" customFormat="1" x14ac:dyDescent="0.25"/>
    <row r="3" ht="17.5" customHeight="1" spans="1:12" s="122" customFormat="1" x14ac:dyDescent="0.25">
      <c r="A3" s="150"/>
      <c r="B3" s="151"/>
      <c r="E3" s="125"/>
      <c r="F3" s="125"/>
      <c r="G3" s="125"/>
      <c r="H3" s="125"/>
      <c r="I3" s="125"/>
      <c r="J3" s="125"/>
      <c r="K3" s="125"/>
      <c r="L3" s="125"/>
    </row>
    <row r="4" ht="9.75" customHeight="1" spans="1:2" s="122" customFormat="1" x14ac:dyDescent="0.25">
      <c r="A4" s="153"/>
      <c r="B4" s="154"/>
    </row>
    <row r="5" ht="17.5" customHeight="1" spans="1:2" s="122" customFormat="1" x14ac:dyDescent="0.25">
      <c r="A5" s="153"/>
      <c r="B5" s="154"/>
    </row>
    <row r="6" ht="17.5" customHeight="1" spans="1:2" s="122" customFormat="1" x14ac:dyDescent="0.25">
      <c r="A6" s="150"/>
      <c r="B6" s="154"/>
    </row>
    <row r="7" ht="30" customHeight="1" spans="1:10" x14ac:dyDescent="0.25">
      <c r="A7" s="91"/>
      <c r="B7" s="91"/>
      <c r="C7" s="91"/>
      <c r="D7" s="91"/>
      <c r="E7" s="91"/>
      <c r="F7" s="91"/>
      <c r="G7" s="91"/>
      <c r="H7" s="91"/>
      <c r="I7" s="91"/>
      <c r="J7" s="91"/>
    </row>
    <row r="8" ht="30" customHeight="1" spans="1:5" s="247" customFormat="1" x14ac:dyDescent="0.25">
      <c r="A8" s="248" t="s">
        <v>113</v>
      </c>
      <c r="B8" s="249" t="s">
        <v>145</v>
      </c>
      <c r="C8" s="249"/>
      <c r="D8" s="248" t="s">
        <v>115</v>
      </c>
      <c r="E8" s="249" t="s">
        <v>166</v>
      </c>
    </row>
    <row r="9" ht="24.75" customHeight="1" spans="1:5" x14ac:dyDescent="0.25">
      <c r="A9" s="250"/>
      <c r="B9" s="251" t="s">
        <v>648</v>
      </c>
      <c r="C9" s="251"/>
      <c r="D9" s="251"/>
      <c r="E9" s="251"/>
    </row>
    <row r="10" ht="24.75" customHeight="1" spans="1:5" x14ac:dyDescent="0.25">
      <c r="A10" s="252" t="s">
        <v>649</v>
      </c>
      <c r="B10" s="253" t="s">
        <v>650</v>
      </c>
      <c r="C10" s="253"/>
      <c r="D10" s="254" t="s">
        <v>56</v>
      </c>
      <c r="E10" s="255">
        <f>'EP12'!J43</f>
        <v>0</v>
      </c>
    </row>
    <row r="11" ht="24.75" customHeight="1" spans="1:5" x14ac:dyDescent="0.25">
      <c r="A11" s="252" t="s">
        <v>651</v>
      </c>
      <c r="B11" s="253" t="s">
        <v>652</v>
      </c>
      <c r="C11" s="253"/>
      <c r="D11" s="254" t="s">
        <v>58</v>
      </c>
      <c r="E11" s="255">
        <f>'EP13'!J43</f>
        <v>202.8</v>
      </c>
    </row>
    <row r="12" ht="24.75" customHeight="1" spans="1:5" x14ac:dyDescent="0.25">
      <c r="A12" s="252" t="s">
        <v>653</v>
      </c>
      <c r="B12" s="253" t="s">
        <v>654</v>
      </c>
      <c r="C12" s="253"/>
      <c r="D12" s="254" t="s">
        <v>60</v>
      </c>
      <c r="E12" s="255">
        <f>'EP14'!J43</f>
        <v>0</v>
      </c>
    </row>
    <row r="13" ht="24.75" customHeight="1" spans="1:5" x14ac:dyDescent="0.25">
      <c r="A13" s="252" t="s">
        <v>655</v>
      </c>
      <c r="B13" s="253" t="s">
        <v>656</v>
      </c>
      <c r="C13" s="253"/>
      <c r="D13" s="254" t="s">
        <v>62</v>
      </c>
      <c r="E13" s="255">
        <f>'EP15'!J43</f>
        <v>38381.6</v>
      </c>
    </row>
    <row r="14" ht="24.75" customHeight="1" spans="1:5" x14ac:dyDescent="0.25">
      <c r="A14" s="252" t="s">
        <v>657</v>
      </c>
      <c r="B14" s="253" t="s">
        <v>658</v>
      </c>
      <c r="C14" s="253"/>
      <c r="D14" s="254" t="s">
        <v>64</v>
      </c>
      <c r="E14" s="255">
        <f>'EP16'!J47</f>
        <v>147366.7</v>
      </c>
    </row>
    <row r="15" ht="24.75" customHeight="1" spans="1:5" x14ac:dyDescent="0.25">
      <c r="A15" s="252" t="s">
        <v>659</v>
      </c>
      <c r="B15" s="253" t="s">
        <v>660</v>
      </c>
      <c r="C15" s="253"/>
      <c r="D15" s="254" t="s">
        <v>66</v>
      </c>
      <c r="E15" s="255">
        <f>'EP17'!J38</f>
        <v>13353.875</v>
      </c>
    </row>
    <row r="16" ht="24.75" customHeight="1" spans="1:5" x14ac:dyDescent="0.25">
      <c r="A16" s="252" t="s">
        <v>661</v>
      </c>
      <c r="B16" s="253" t="s">
        <v>662</v>
      </c>
      <c r="C16" s="253"/>
      <c r="D16" s="254" t="s">
        <v>68</v>
      </c>
      <c r="E16" s="255">
        <f>'EP18'!J35</f>
        <v>980.9499999999999</v>
      </c>
    </row>
    <row r="17" ht="24.75" customHeight="1" spans="1:5" x14ac:dyDescent="0.25">
      <c r="A17" s="252" t="s">
        <v>663</v>
      </c>
      <c r="B17" s="253" t="s">
        <v>664</v>
      </c>
      <c r="C17" s="253"/>
      <c r="D17" s="254" t="s">
        <v>70</v>
      </c>
      <c r="E17" s="255">
        <f>'EP19'!J38</f>
        <v>17108.625</v>
      </c>
    </row>
    <row r="18" ht="24.75" customHeight="1" spans="1:5" x14ac:dyDescent="0.25">
      <c r="A18" s="252" t="s">
        <v>665</v>
      </c>
      <c r="B18" s="253" t="s">
        <v>666</v>
      </c>
      <c r="C18" s="253"/>
      <c r="D18" s="254" t="s">
        <v>72</v>
      </c>
      <c r="E18" s="255">
        <f>-'EP20'!E27</f>
        <v>18846.2</v>
      </c>
    </row>
    <row r="19" ht="24.75" customHeight="1" spans="1:5" x14ac:dyDescent="0.25">
      <c r="A19" s="252" t="s">
        <v>667</v>
      </c>
      <c r="B19" s="256" t="s">
        <v>668</v>
      </c>
      <c r="C19" s="256"/>
      <c r="D19" s="256"/>
      <c r="E19" s="255">
        <f>E10+E11+E12+E13+E14+E15+E16+E17+E18</f>
        <v>236240.75000000003</v>
      </c>
    </row>
    <row r="20" ht="11.25" customHeight="1" spans="1:5" x14ac:dyDescent="0.25">
      <c r="A20" s="80"/>
      <c r="B20" s="80"/>
      <c r="C20" s="80"/>
      <c r="D20" s="80"/>
      <c r="E20" s="80"/>
    </row>
    <row r="21" ht="24.75" customHeight="1" spans="1:5" x14ac:dyDescent="0.25">
      <c r="A21" s="250"/>
      <c r="B21" s="257" t="s">
        <v>669</v>
      </c>
      <c r="C21" s="257"/>
      <c r="D21" s="257"/>
      <c r="E21" s="257"/>
    </row>
    <row r="22" ht="24.75" customHeight="1" spans="1:5" x14ac:dyDescent="0.25">
      <c r="A22" s="250" t="s">
        <v>670</v>
      </c>
      <c r="B22" s="253" t="s">
        <v>671</v>
      </c>
      <c r="C22" s="253"/>
      <c r="D22" s="254" t="s">
        <v>82</v>
      </c>
      <c r="E22" s="255">
        <v>0</v>
      </c>
    </row>
    <row r="23" ht="24.75" customHeight="1" spans="1:5" x14ac:dyDescent="0.25">
      <c r="A23" s="250" t="s">
        <v>672</v>
      </c>
      <c r="B23" s="253" t="s">
        <v>673</v>
      </c>
      <c r="C23" s="253"/>
      <c r="D23" s="254" t="s">
        <v>84</v>
      </c>
      <c r="E23" s="255">
        <v>0</v>
      </c>
    </row>
    <row r="24" ht="24.75" customHeight="1" spans="1:5" x14ac:dyDescent="0.25">
      <c r="A24" s="250" t="s">
        <v>674</v>
      </c>
      <c r="B24" s="253" t="s">
        <v>675</v>
      </c>
      <c r="C24" s="253"/>
      <c r="D24" s="254" t="s">
        <v>86</v>
      </c>
      <c r="E24" s="255">
        <v>0</v>
      </c>
    </row>
    <row r="25" ht="24.75" customHeight="1" spans="1:5" x14ac:dyDescent="0.25">
      <c r="A25" s="250" t="s">
        <v>676</v>
      </c>
      <c r="B25" s="253" t="s">
        <v>677</v>
      </c>
      <c r="C25" s="253"/>
      <c r="D25" s="254" t="s">
        <v>88</v>
      </c>
      <c r="E25" s="255">
        <v>0</v>
      </c>
    </row>
    <row r="26" ht="24.75" customHeight="1" spans="1:5" x14ac:dyDescent="0.25">
      <c r="A26" s="252" t="s">
        <v>678</v>
      </c>
      <c r="B26" s="256" t="s">
        <v>679</v>
      </c>
      <c r="C26" s="256"/>
      <c r="D26" s="256"/>
      <c r="E26" s="255">
        <v>0</v>
      </c>
    </row>
    <row r="27" ht="11.25" customHeight="1" spans="1:5" x14ac:dyDescent="0.25">
      <c r="A27" s="80"/>
      <c r="B27" s="80"/>
      <c r="C27" s="80"/>
      <c r="D27" s="80"/>
      <c r="E27" s="80"/>
    </row>
    <row r="28" ht="24.75" customHeight="1" spans="1:5" x14ac:dyDescent="0.25">
      <c r="A28" s="250"/>
      <c r="B28" s="257" t="s">
        <v>680</v>
      </c>
      <c r="C28" s="257"/>
      <c r="D28" s="257"/>
      <c r="E28" s="257"/>
    </row>
    <row r="29" ht="24.75" customHeight="1" spans="1:5" x14ac:dyDescent="0.25">
      <c r="A29" s="80"/>
      <c r="B29" s="253" t="s">
        <v>681</v>
      </c>
      <c r="C29" s="253"/>
      <c r="D29" s="254"/>
      <c r="E29" s="256"/>
    </row>
    <row r="30" ht="24.75" customHeight="1" spans="1:5" x14ac:dyDescent="0.25">
      <c r="A30" s="258" t="s">
        <v>682</v>
      </c>
      <c r="B30" s="253" t="s">
        <v>683</v>
      </c>
      <c r="C30" s="253"/>
      <c r="D30" s="254" t="s">
        <v>74</v>
      </c>
      <c r="E30" s="255">
        <f>'EP21'!I26</f>
        <v>50373.74999999999</v>
      </c>
    </row>
    <row r="31" ht="24.75" customHeight="1" spans="1:5" x14ac:dyDescent="0.25">
      <c r="A31" s="80" t="s">
        <v>684</v>
      </c>
      <c r="B31" s="253" t="s">
        <v>685</v>
      </c>
      <c r="C31" s="253"/>
      <c r="D31" s="254" t="s">
        <v>78</v>
      </c>
      <c r="E31" s="255"/>
    </row>
    <row r="32" ht="24.75" customHeight="1" spans="1:5" s="246" customFormat="1" x14ac:dyDescent="0.25">
      <c r="A32" s="252" t="s">
        <v>686</v>
      </c>
      <c r="B32" s="259" t="s">
        <v>687</v>
      </c>
      <c r="C32" s="259"/>
      <c r="D32" s="249"/>
      <c r="E32" s="255">
        <f>E30+E31</f>
        <v>50373.74999999999</v>
      </c>
    </row>
    <row r="33" ht="11.25" customHeight="1" spans="1:5" x14ac:dyDescent="0.25">
      <c r="A33" s="80"/>
      <c r="B33" s="80"/>
      <c r="C33" s="80"/>
      <c r="D33" s="80"/>
      <c r="E33" s="80"/>
    </row>
    <row r="34" ht="24.75" customHeight="1" spans="1:5" x14ac:dyDescent="0.25">
      <c r="A34" s="252" t="s">
        <v>162</v>
      </c>
      <c r="B34" s="256" t="s">
        <v>688</v>
      </c>
      <c r="C34" s="256"/>
      <c r="D34" s="256"/>
      <c r="E34" s="255">
        <f>E19+E26+E32</f>
        <v>286614.5</v>
      </c>
    </row>
  </sheetData>
  <sheetProtection sheet="1" algorithmName="SHA-512" hashValue="5lNieIejPgAx7AmZQsjOj3wxhskm01w9UylOrtwPYGxS0QGiz4Q/wArgz0DjAJ7pP8psPB2tne55to+mKz9uQA==" saltValue="weE0eTebRiiCpkVLof9asw==" spinCount="100000" objects="1" scenarios="1"/>
  <mergeCells count="25">
    <mergeCell ref="A1:D1"/>
    <mergeCell ref="B8:C8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20:E20"/>
    <mergeCell ref="B21:E21"/>
    <mergeCell ref="B22:C22"/>
    <mergeCell ref="B23:C23"/>
    <mergeCell ref="B24:C24"/>
    <mergeCell ref="B25:C25"/>
    <mergeCell ref="A27:E27"/>
    <mergeCell ref="B28:E28"/>
    <mergeCell ref="B29:C29"/>
    <mergeCell ref="B30:C30"/>
    <mergeCell ref="B31:C31"/>
    <mergeCell ref="B32:C32"/>
    <mergeCell ref="A33:E33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64" fitToWidth="1" fitToHeight="1" firstPageNumber="1" useFirstPageNumber="1" copies="1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D29"/>
  <sheetViews>
    <sheetView workbookViewId="0" zoomScale="47" zoomScaleNormal="70" view="pageBreakPreview">
      <selection activeCell="A15" sqref="A15"/>
    </sheetView>
  </sheetViews>
  <sheetFormatPr defaultRowHeight="10.5" outlineLevelRow="0" outlineLevelCol="0" x14ac:dyDescent="0" defaultColWidth="10" customHeight="1"/>
  <cols>
    <col min="1" max="1" width="11.08984375" style="260" customWidth="1"/>
    <col min="2" max="2" width="18.6328125" style="260" customWidth="1"/>
    <col min="3" max="3" width="51.90625" style="260" customWidth="1"/>
    <col min="4" max="9" width="20.7265625" style="260" customWidth="1"/>
    <col min="10" max="16384" width="10" style="260" customWidth="1"/>
  </cols>
  <sheetData>
    <row r="1" ht="19.5" customHeight="1" spans="1:9" x14ac:dyDescent="0.25">
      <c r="A1" s="261" t="s">
        <v>689</v>
      </c>
      <c r="B1" s="261"/>
      <c r="C1" s="261"/>
      <c r="D1" s="261"/>
      <c r="E1" s="261"/>
      <c r="F1" s="261"/>
      <c r="G1" s="261"/>
      <c r="H1" s="261"/>
      <c r="I1" s="262" t="s">
        <v>50</v>
      </c>
    </row>
    <row r="2" ht="31.5" customHeight="1" x14ac:dyDescent="0.25"/>
    <row r="3" ht="17.5" customHeight="1" spans="1:12" s="122" customFormat="1" x14ac:dyDescent="0.25">
      <c r="A3" s="150"/>
      <c r="B3" s="151"/>
      <c r="E3" s="125"/>
      <c r="F3" s="125"/>
      <c r="G3" s="125"/>
      <c r="H3" s="125"/>
      <c r="I3" s="125"/>
      <c r="J3" s="125"/>
      <c r="K3" s="125"/>
      <c r="L3" s="125"/>
    </row>
    <row r="4" ht="9.75" customHeight="1" spans="1:2" s="122" customFormat="1" x14ac:dyDescent="0.25">
      <c r="A4" s="153"/>
      <c r="B4" s="154"/>
    </row>
    <row r="5" ht="17.5" customHeight="1" spans="1:2" s="122" customFormat="1" x14ac:dyDescent="0.25">
      <c r="A5" s="153"/>
      <c r="B5" s="154"/>
    </row>
    <row r="6" ht="17.5" customHeight="1" spans="1:2" s="122" customFormat="1" x14ac:dyDescent="0.25">
      <c r="A6" s="150"/>
      <c r="B6" s="154"/>
    </row>
    <row r="7" ht="13.5" customHeight="1" spans="1:11" s="95" customFormat="1" x14ac:dyDescent="0.25">
      <c r="A7" s="263"/>
      <c r="B7" s="263"/>
      <c r="C7" s="263"/>
      <c r="D7" s="263"/>
      <c r="E7" s="263"/>
      <c r="F7" s="263"/>
      <c r="G7" s="95"/>
      <c r="H7" s="95"/>
      <c r="I7" s="264"/>
      <c r="J7" s="95"/>
      <c r="K7" s="95"/>
    </row>
    <row r="8" ht="25.5" customHeight="1" spans="1:1018" x14ac:dyDescent="0.25">
      <c r="A8" s="265" t="s">
        <v>113</v>
      </c>
      <c r="B8" s="266" t="s">
        <v>145</v>
      </c>
      <c r="C8" s="266"/>
      <c r="D8" s="267" t="s">
        <v>690</v>
      </c>
      <c r="E8" s="267"/>
      <c r="F8" s="267"/>
      <c r="G8" s="266" t="s">
        <v>691</v>
      </c>
      <c r="H8" s="266" t="s">
        <v>692</v>
      </c>
      <c r="I8" s="266" t="s">
        <v>693</v>
      </c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  <c r="AX8" s="268"/>
      <c r="AY8" s="268"/>
      <c r="AZ8" s="268"/>
      <c r="BA8" s="268"/>
      <c r="BB8" s="268"/>
      <c r="BC8" s="268"/>
      <c r="BD8" s="268"/>
      <c r="BE8" s="268"/>
      <c r="BF8" s="268"/>
      <c r="BG8" s="268"/>
      <c r="BH8" s="268"/>
      <c r="BI8" s="268"/>
      <c r="BJ8" s="268"/>
      <c r="BK8" s="268"/>
      <c r="BL8" s="268"/>
      <c r="BM8" s="268"/>
      <c r="BN8" s="268"/>
      <c r="BO8" s="268"/>
      <c r="BP8" s="268"/>
      <c r="BQ8" s="268"/>
      <c r="BR8" s="268"/>
      <c r="BS8" s="268"/>
      <c r="BT8" s="268"/>
      <c r="BU8" s="268"/>
      <c r="BV8" s="268"/>
      <c r="BW8" s="268"/>
      <c r="BX8" s="268"/>
      <c r="BY8" s="268"/>
      <c r="BZ8" s="268"/>
      <c r="CA8" s="268"/>
      <c r="CB8" s="268"/>
      <c r="CC8" s="268"/>
      <c r="CD8" s="268"/>
      <c r="CE8" s="268"/>
      <c r="CF8" s="268"/>
      <c r="CG8" s="268"/>
      <c r="CH8" s="268"/>
      <c r="CI8" s="268"/>
      <c r="CJ8" s="268"/>
      <c r="CK8" s="268"/>
      <c r="CL8" s="268"/>
      <c r="CM8" s="268"/>
      <c r="CN8" s="268"/>
      <c r="CO8" s="268"/>
      <c r="CP8" s="268"/>
      <c r="CQ8" s="268"/>
      <c r="CR8" s="268"/>
      <c r="CS8" s="268"/>
      <c r="CT8" s="268"/>
      <c r="CU8" s="268"/>
      <c r="CV8" s="268"/>
      <c r="CW8" s="268"/>
      <c r="CX8" s="268"/>
      <c r="CY8" s="268"/>
      <c r="CZ8" s="268"/>
      <c r="DA8" s="268"/>
      <c r="DB8" s="268"/>
      <c r="DC8" s="268"/>
      <c r="DD8" s="268"/>
      <c r="DE8" s="268"/>
      <c r="DF8" s="268"/>
      <c r="DG8" s="268"/>
      <c r="DH8" s="268"/>
      <c r="DI8" s="268"/>
      <c r="DJ8" s="268"/>
      <c r="DK8" s="268"/>
      <c r="DL8" s="268"/>
      <c r="DM8" s="268"/>
      <c r="DN8" s="268"/>
      <c r="DO8" s="268"/>
      <c r="DP8" s="268"/>
      <c r="DQ8" s="268"/>
      <c r="DR8" s="268"/>
      <c r="DS8" s="268"/>
      <c r="DT8" s="268"/>
      <c r="DU8" s="268"/>
      <c r="DV8" s="268"/>
      <c r="DW8" s="268"/>
      <c r="DX8" s="268"/>
      <c r="DY8" s="268"/>
      <c r="DZ8" s="268"/>
      <c r="EA8" s="268"/>
      <c r="EB8" s="268"/>
      <c r="EC8" s="268"/>
      <c r="ED8" s="268"/>
      <c r="EE8" s="268"/>
      <c r="EF8" s="268"/>
      <c r="EG8" s="268"/>
      <c r="EH8" s="268"/>
      <c r="EI8" s="268"/>
      <c r="EJ8" s="268"/>
      <c r="EK8" s="268"/>
      <c r="EL8" s="268"/>
      <c r="EM8" s="268"/>
      <c r="EN8" s="268"/>
      <c r="EO8" s="268"/>
      <c r="EP8" s="268"/>
      <c r="EQ8" s="268"/>
      <c r="ER8" s="268"/>
      <c r="ES8" s="268"/>
      <c r="ET8" s="268"/>
      <c r="EU8" s="268"/>
      <c r="EV8" s="268"/>
      <c r="EW8" s="268"/>
      <c r="EX8" s="268"/>
      <c r="EY8" s="268"/>
      <c r="EZ8" s="268"/>
      <c r="FA8" s="268"/>
      <c r="FB8" s="268"/>
      <c r="FC8" s="268"/>
      <c r="FD8" s="268"/>
      <c r="FE8" s="268"/>
      <c r="FF8" s="268"/>
      <c r="FG8" s="268"/>
      <c r="FH8" s="268"/>
      <c r="FI8" s="268"/>
      <c r="FJ8" s="268"/>
      <c r="FK8" s="268"/>
      <c r="FL8" s="268"/>
      <c r="FM8" s="268"/>
      <c r="FN8" s="268"/>
      <c r="FO8" s="268"/>
      <c r="FP8" s="268"/>
      <c r="FQ8" s="268"/>
      <c r="FR8" s="268"/>
      <c r="FS8" s="268"/>
      <c r="FT8" s="268"/>
      <c r="FU8" s="268"/>
      <c r="FV8" s="268"/>
      <c r="FW8" s="268"/>
      <c r="FX8" s="268"/>
      <c r="FY8" s="268"/>
      <c r="FZ8" s="268"/>
      <c r="GA8" s="268"/>
      <c r="GB8" s="268"/>
      <c r="GC8" s="268"/>
      <c r="GD8" s="268"/>
      <c r="GE8" s="268"/>
      <c r="GF8" s="268"/>
      <c r="GG8" s="268"/>
      <c r="GH8" s="268"/>
      <c r="GI8" s="268"/>
      <c r="GJ8" s="268"/>
      <c r="GK8" s="268"/>
      <c r="GL8" s="268"/>
      <c r="GM8" s="268"/>
      <c r="GN8" s="268"/>
      <c r="GO8" s="268"/>
      <c r="GP8" s="268"/>
      <c r="GQ8" s="268"/>
      <c r="GR8" s="268"/>
      <c r="GS8" s="268"/>
      <c r="GT8" s="268"/>
      <c r="GU8" s="268"/>
      <c r="GV8" s="268"/>
      <c r="GW8" s="268"/>
      <c r="GX8" s="268"/>
      <c r="GY8" s="268"/>
      <c r="GZ8" s="268"/>
      <c r="HA8" s="268"/>
      <c r="HB8" s="268"/>
      <c r="HC8" s="268"/>
      <c r="HD8" s="268"/>
      <c r="HE8" s="268"/>
      <c r="HF8" s="268"/>
      <c r="HG8" s="268"/>
      <c r="HH8" s="268"/>
      <c r="HI8" s="268"/>
      <c r="HJ8" s="268"/>
      <c r="HK8" s="268"/>
      <c r="HL8" s="268"/>
      <c r="HM8" s="268"/>
      <c r="HN8" s="268"/>
      <c r="HO8" s="268"/>
      <c r="HP8" s="268"/>
      <c r="HQ8" s="268"/>
      <c r="HR8" s="268"/>
      <c r="HS8" s="268"/>
      <c r="HT8" s="268"/>
      <c r="HU8" s="268"/>
      <c r="HV8" s="268"/>
      <c r="HW8" s="268"/>
      <c r="HX8" s="268"/>
      <c r="HY8" s="268"/>
      <c r="HZ8" s="268"/>
      <c r="IA8" s="268"/>
      <c r="IB8" s="268"/>
      <c r="IC8" s="268"/>
      <c r="ID8" s="268"/>
      <c r="IE8" s="268"/>
      <c r="IF8" s="268"/>
      <c r="IG8" s="268"/>
      <c r="IH8" s="268"/>
      <c r="II8" s="268"/>
      <c r="IJ8" s="268"/>
      <c r="IK8" s="268"/>
      <c r="IL8" s="268"/>
      <c r="IM8" s="268"/>
      <c r="IN8" s="268"/>
      <c r="IO8" s="268"/>
      <c r="IP8" s="268"/>
      <c r="IQ8" s="268"/>
      <c r="IR8" s="268"/>
      <c r="IS8" s="268"/>
      <c r="IT8" s="268"/>
      <c r="IU8" s="268"/>
      <c r="IV8" s="268"/>
      <c r="IW8" s="268"/>
      <c r="IX8" s="268"/>
      <c r="IY8" s="268"/>
      <c r="IZ8" s="268"/>
      <c r="JA8" s="268"/>
      <c r="JB8" s="268"/>
      <c r="JC8" s="268"/>
      <c r="JD8" s="268"/>
      <c r="JE8" s="268"/>
      <c r="JF8" s="268"/>
      <c r="JG8" s="268"/>
      <c r="JH8" s="268"/>
      <c r="JI8" s="268"/>
      <c r="JJ8" s="268"/>
      <c r="JK8" s="268"/>
      <c r="JL8" s="268"/>
      <c r="JM8" s="268"/>
      <c r="JN8" s="268"/>
      <c r="JO8" s="268"/>
      <c r="JP8" s="268"/>
      <c r="JQ8" s="268"/>
      <c r="JR8" s="268"/>
      <c r="JS8" s="268"/>
      <c r="JT8" s="268"/>
      <c r="JU8" s="268"/>
      <c r="JV8" s="268"/>
      <c r="JW8" s="268"/>
      <c r="JX8" s="268"/>
      <c r="JY8" s="268"/>
      <c r="JZ8" s="268"/>
      <c r="KA8" s="268"/>
      <c r="KB8" s="268"/>
      <c r="KC8" s="268"/>
      <c r="KD8" s="268"/>
      <c r="KE8" s="268"/>
      <c r="KF8" s="268"/>
      <c r="KG8" s="268"/>
      <c r="KH8" s="268"/>
      <c r="KI8" s="268"/>
      <c r="KJ8" s="268"/>
      <c r="KK8" s="268"/>
      <c r="KL8" s="268"/>
      <c r="KM8" s="268"/>
      <c r="KN8" s="268"/>
      <c r="KO8" s="268"/>
      <c r="KP8" s="268"/>
      <c r="KQ8" s="268"/>
      <c r="KR8" s="268"/>
      <c r="KS8" s="268"/>
      <c r="KT8" s="268"/>
      <c r="KU8" s="268"/>
      <c r="KV8" s="268"/>
      <c r="KW8" s="268"/>
      <c r="KX8" s="268"/>
      <c r="KY8" s="268"/>
      <c r="KZ8" s="268"/>
      <c r="LA8" s="268"/>
      <c r="LB8" s="268"/>
      <c r="LC8" s="268"/>
      <c r="LD8" s="268"/>
      <c r="LE8" s="268"/>
      <c r="LF8" s="268"/>
      <c r="LG8" s="268"/>
      <c r="LH8" s="268"/>
      <c r="LI8" s="268"/>
      <c r="LJ8" s="268"/>
      <c r="LK8" s="268"/>
      <c r="LL8" s="268"/>
      <c r="LM8" s="268"/>
      <c r="LN8" s="268"/>
      <c r="LO8" s="268"/>
      <c r="LP8" s="268"/>
      <c r="LQ8" s="268"/>
      <c r="LR8" s="268"/>
      <c r="LS8" s="268"/>
      <c r="LT8" s="268"/>
      <c r="LU8" s="268"/>
      <c r="LV8" s="268"/>
      <c r="LW8" s="268"/>
      <c r="LX8" s="268"/>
      <c r="LY8" s="268"/>
      <c r="LZ8" s="268"/>
      <c r="MA8" s="268"/>
      <c r="MB8" s="268"/>
      <c r="MC8" s="268"/>
      <c r="MD8" s="268"/>
      <c r="ME8" s="268"/>
      <c r="MF8" s="268"/>
      <c r="MG8" s="268"/>
      <c r="MH8" s="268"/>
      <c r="MI8" s="268"/>
      <c r="MJ8" s="268"/>
      <c r="MK8" s="268"/>
      <c r="ML8" s="268"/>
      <c r="MM8" s="268"/>
      <c r="MN8" s="268"/>
      <c r="MO8" s="268"/>
      <c r="MP8" s="268"/>
      <c r="MQ8" s="268"/>
      <c r="MR8" s="268"/>
      <c r="MS8" s="268"/>
      <c r="MT8" s="268"/>
      <c r="MU8" s="268"/>
      <c r="MV8" s="268"/>
      <c r="MW8" s="268"/>
      <c r="MX8" s="268"/>
      <c r="MY8" s="268"/>
      <c r="MZ8" s="268"/>
      <c r="NA8" s="268"/>
      <c r="NB8" s="268"/>
      <c r="NC8" s="268"/>
      <c r="ND8" s="268"/>
      <c r="NE8" s="268"/>
      <c r="NF8" s="268"/>
      <c r="NG8" s="268"/>
      <c r="NH8" s="268"/>
      <c r="NI8" s="268"/>
      <c r="NJ8" s="268"/>
      <c r="NK8" s="268"/>
      <c r="NL8" s="268"/>
      <c r="NM8" s="268"/>
      <c r="NN8" s="268"/>
      <c r="NO8" s="268"/>
      <c r="NP8" s="268"/>
      <c r="NQ8" s="268"/>
      <c r="NR8" s="268"/>
      <c r="NS8" s="268"/>
      <c r="NT8" s="268"/>
      <c r="NU8" s="268"/>
      <c r="NV8" s="268"/>
      <c r="NW8" s="268"/>
      <c r="NX8" s="268"/>
      <c r="NY8" s="268"/>
      <c r="NZ8" s="268"/>
      <c r="OA8" s="268"/>
      <c r="OB8" s="268"/>
      <c r="OC8" s="268"/>
      <c r="OD8" s="268"/>
      <c r="OE8" s="268"/>
      <c r="OF8" s="268"/>
      <c r="OG8" s="268"/>
      <c r="OH8" s="268"/>
      <c r="OI8" s="268"/>
      <c r="OJ8" s="268"/>
      <c r="OK8" s="268"/>
      <c r="OL8" s="268"/>
      <c r="OM8" s="268"/>
      <c r="ON8" s="268"/>
      <c r="OO8" s="268"/>
      <c r="OP8" s="268"/>
      <c r="OQ8" s="268"/>
      <c r="OR8" s="268"/>
      <c r="OS8" s="268"/>
      <c r="OT8" s="268"/>
      <c r="OU8" s="268"/>
      <c r="OV8" s="268"/>
      <c r="OW8" s="268"/>
      <c r="OX8" s="268"/>
      <c r="OY8" s="268"/>
      <c r="OZ8" s="268"/>
      <c r="PA8" s="268"/>
      <c r="PB8" s="268"/>
      <c r="PC8" s="268"/>
      <c r="PD8" s="268"/>
      <c r="PE8" s="268"/>
      <c r="PF8" s="268"/>
      <c r="PG8" s="268"/>
      <c r="PH8" s="268"/>
      <c r="PI8" s="268"/>
      <c r="PJ8" s="268"/>
      <c r="PK8" s="268"/>
      <c r="PL8" s="268"/>
      <c r="PM8" s="268"/>
      <c r="PN8" s="268"/>
      <c r="PO8" s="268"/>
      <c r="PP8" s="268"/>
      <c r="PQ8" s="268"/>
      <c r="PR8" s="268"/>
      <c r="PS8" s="268"/>
      <c r="PT8" s="268"/>
      <c r="PU8" s="268"/>
      <c r="PV8" s="268"/>
      <c r="PW8" s="268"/>
      <c r="PX8" s="268"/>
      <c r="PY8" s="268"/>
      <c r="PZ8" s="268"/>
      <c r="QA8" s="268"/>
      <c r="QB8" s="268"/>
      <c r="QC8" s="268"/>
      <c r="QD8" s="268"/>
      <c r="QE8" s="268"/>
      <c r="QF8" s="268"/>
      <c r="QG8" s="268"/>
      <c r="QH8" s="268"/>
      <c r="QI8" s="268"/>
      <c r="QJ8" s="268"/>
      <c r="QK8" s="268"/>
      <c r="QL8" s="268"/>
      <c r="QM8" s="268"/>
      <c r="QN8" s="268"/>
      <c r="QO8" s="268"/>
      <c r="QP8" s="268"/>
      <c r="QQ8" s="268"/>
      <c r="QR8" s="268"/>
      <c r="QS8" s="268"/>
      <c r="QT8" s="268"/>
      <c r="QU8" s="268"/>
      <c r="QV8" s="268"/>
      <c r="QW8" s="268"/>
      <c r="QX8" s="268"/>
      <c r="QY8" s="268"/>
      <c r="QZ8" s="268"/>
      <c r="RA8" s="268"/>
      <c r="RB8" s="268"/>
      <c r="RC8" s="268"/>
      <c r="RD8" s="268"/>
      <c r="RE8" s="268"/>
      <c r="RF8" s="268"/>
      <c r="RG8" s="268"/>
      <c r="RH8" s="268"/>
      <c r="RI8" s="268"/>
      <c r="RJ8" s="268"/>
      <c r="RK8" s="268"/>
      <c r="RL8" s="268"/>
      <c r="RM8" s="268"/>
      <c r="RN8" s="268"/>
      <c r="RO8" s="268"/>
      <c r="RP8" s="268"/>
      <c r="RQ8" s="268"/>
      <c r="RR8" s="268"/>
      <c r="RS8" s="268"/>
      <c r="RT8" s="268"/>
      <c r="RU8" s="268"/>
      <c r="RV8" s="268"/>
      <c r="RW8" s="268"/>
      <c r="RX8" s="268"/>
      <c r="RY8" s="268"/>
      <c r="RZ8" s="268"/>
      <c r="SA8" s="268"/>
      <c r="SB8" s="268"/>
      <c r="SC8" s="268"/>
      <c r="SD8" s="268"/>
      <c r="SE8" s="268"/>
      <c r="SF8" s="268"/>
      <c r="SG8" s="268"/>
      <c r="SH8" s="268"/>
      <c r="SI8" s="268"/>
      <c r="SJ8" s="268"/>
      <c r="SK8" s="268"/>
      <c r="SL8" s="268"/>
      <c r="SM8" s="268"/>
      <c r="SN8" s="268"/>
      <c r="SO8" s="268"/>
      <c r="SP8" s="268"/>
      <c r="SQ8" s="268"/>
      <c r="SR8" s="268"/>
      <c r="SS8" s="268"/>
      <c r="ST8" s="268"/>
      <c r="SU8" s="268"/>
      <c r="SV8" s="268"/>
      <c r="SW8" s="268"/>
      <c r="SX8" s="268"/>
      <c r="SY8" s="268"/>
      <c r="SZ8" s="268"/>
      <c r="TA8" s="268"/>
      <c r="TB8" s="268"/>
      <c r="TC8" s="268"/>
      <c r="TD8" s="268"/>
      <c r="TE8" s="268"/>
      <c r="TF8" s="268"/>
      <c r="TG8" s="268"/>
      <c r="TH8" s="268"/>
      <c r="TI8" s="268"/>
      <c r="TJ8" s="268"/>
      <c r="TK8" s="268"/>
      <c r="TL8" s="268"/>
      <c r="TM8" s="268"/>
      <c r="TN8" s="268"/>
      <c r="TO8" s="268"/>
      <c r="TP8" s="268"/>
      <c r="TQ8" s="268"/>
      <c r="TR8" s="268"/>
      <c r="TS8" s="268"/>
      <c r="TT8" s="268"/>
      <c r="TU8" s="268"/>
      <c r="TV8" s="268"/>
      <c r="TW8" s="268"/>
      <c r="TX8" s="268"/>
      <c r="TY8" s="268"/>
      <c r="TZ8" s="268"/>
      <c r="UA8" s="268"/>
      <c r="UB8" s="268"/>
      <c r="UC8" s="268"/>
      <c r="UD8" s="268"/>
      <c r="UE8" s="268"/>
      <c r="UF8" s="268"/>
      <c r="UG8" s="268"/>
      <c r="UH8" s="268"/>
      <c r="UI8" s="268"/>
      <c r="UJ8" s="268"/>
      <c r="UK8" s="268"/>
      <c r="UL8" s="268"/>
      <c r="UM8" s="268"/>
      <c r="UN8" s="268"/>
      <c r="UO8" s="268"/>
      <c r="UP8" s="268"/>
      <c r="UQ8" s="268"/>
      <c r="UR8" s="268"/>
      <c r="US8" s="268"/>
      <c r="UT8" s="268"/>
      <c r="UU8" s="268"/>
      <c r="UV8" s="268"/>
      <c r="UW8" s="268"/>
      <c r="UX8" s="268"/>
      <c r="UY8" s="268"/>
      <c r="UZ8" s="268"/>
      <c r="VA8" s="268"/>
      <c r="VB8" s="268"/>
      <c r="VC8" s="268"/>
      <c r="VD8" s="268"/>
      <c r="VE8" s="268"/>
      <c r="VF8" s="268"/>
      <c r="VG8" s="268"/>
      <c r="VH8" s="268"/>
      <c r="VI8" s="268"/>
      <c r="VJ8" s="268"/>
      <c r="VK8" s="268"/>
      <c r="VL8" s="268"/>
      <c r="VM8" s="268"/>
      <c r="VN8" s="268"/>
      <c r="VO8" s="268"/>
      <c r="VP8" s="268"/>
      <c r="VQ8" s="268"/>
      <c r="VR8" s="268"/>
      <c r="VS8" s="268"/>
      <c r="VT8" s="268"/>
      <c r="VU8" s="268"/>
      <c r="VV8" s="268"/>
      <c r="VW8" s="268"/>
      <c r="VX8" s="268"/>
      <c r="VY8" s="268"/>
      <c r="VZ8" s="268"/>
      <c r="WA8" s="268"/>
      <c r="WB8" s="268"/>
      <c r="WC8" s="268"/>
      <c r="WD8" s="268"/>
      <c r="WE8" s="268"/>
      <c r="WF8" s="268"/>
      <c r="WG8" s="268"/>
      <c r="WH8" s="268"/>
      <c r="WI8" s="268"/>
      <c r="WJ8" s="268"/>
      <c r="WK8" s="268"/>
      <c r="WL8" s="268"/>
      <c r="WM8" s="268"/>
      <c r="WN8" s="268"/>
      <c r="WO8" s="268"/>
      <c r="WP8" s="268"/>
      <c r="WQ8" s="268"/>
      <c r="WR8" s="268"/>
      <c r="WS8" s="268"/>
      <c r="WT8" s="268"/>
      <c r="WU8" s="268"/>
      <c r="WV8" s="268"/>
      <c r="WW8" s="268"/>
      <c r="WX8" s="268"/>
      <c r="WY8" s="268"/>
      <c r="WZ8" s="268"/>
      <c r="XA8" s="268"/>
      <c r="XB8" s="268"/>
      <c r="XC8" s="268"/>
      <c r="XD8" s="268"/>
      <c r="XE8" s="268"/>
      <c r="XF8" s="268"/>
      <c r="XG8" s="268"/>
      <c r="XH8" s="268"/>
      <c r="XI8" s="268"/>
      <c r="XJ8" s="268"/>
      <c r="XK8" s="268"/>
      <c r="XL8" s="268"/>
      <c r="XM8" s="268"/>
      <c r="XN8" s="268"/>
      <c r="XO8" s="268"/>
      <c r="XP8" s="268"/>
      <c r="XQ8" s="268"/>
      <c r="XR8" s="268"/>
      <c r="XS8" s="268"/>
      <c r="XT8" s="268"/>
      <c r="XU8" s="268"/>
      <c r="XV8" s="268"/>
      <c r="XW8" s="268"/>
      <c r="XX8" s="268"/>
      <c r="XY8" s="268"/>
      <c r="XZ8" s="268"/>
      <c r="YA8" s="268"/>
      <c r="YB8" s="268"/>
      <c r="YC8" s="268"/>
      <c r="YD8" s="268"/>
      <c r="YE8" s="268"/>
      <c r="YF8" s="268"/>
      <c r="YG8" s="268"/>
      <c r="YH8" s="268"/>
      <c r="YI8" s="268"/>
      <c r="YJ8" s="268"/>
      <c r="YK8" s="268"/>
      <c r="YL8" s="268"/>
      <c r="YM8" s="268"/>
      <c r="YN8" s="268"/>
      <c r="YO8" s="268"/>
      <c r="YP8" s="268"/>
      <c r="YQ8" s="268"/>
      <c r="YR8" s="268"/>
      <c r="YS8" s="268"/>
      <c r="YT8" s="268"/>
      <c r="YU8" s="268"/>
      <c r="YV8" s="268"/>
      <c r="YW8" s="268"/>
      <c r="YX8" s="268"/>
      <c r="YY8" s="268"/>
      <c r="YZ8" s="268"/>
      <c r="ZA8" s="268"/>
      <c r="ZB8" s="268"/>
      <c r="ZC8" s="268"/>
      <c r="ZD8" s="268"/>
      <c r="ZE8" s="268"/>
      <c r="ZF8" s="268"/>
      <c r="ZG8" s="268"/>
      <c r="ZH8" s="268"/>
      <c r="ZI8" s="268"/>
      <c r="ZJ8" s="268"/>
      <c r="ZK8" s="268"/>
      <c r="ZL8" s="268"/>
      <c r="ZM8" s="268"/>
      <c r="ZN8" s="268"/>
      <c r="ZO8" s="268"/>
      <c r="ZP8" s="268"/>
      <c r="ZQ8" s="268"/>
      <c r="ZR8" s="268"/>
      <c r="ZS8" s="268"/>
      <c r="ZT8" s="268"/>
      <c r="ZU8" s="268"/>
      <c r="ZV8" s="268"/>
      <c r="ZW8" s="268"/>
      <c r="ZX8" s="268"/>
      <c r="ZY8" s="268"/>
      <c r="ZZ8" s="268"/>
      <c r="AAA8" s="268"/>
      <c r="AAB8" s="268"/>
      <c r="AAC8" s="268"/>
      <c r="AAD8" s="268"/>
      <c r="AAE8" s="268"/>
      <c r="AAF8" s="268"/>
      <c r="AAG8" s="268"/>
      <c r="AAH8" s="268"/>
      <c r="AAI8" s="268"/>
      <c r="AAJ8" s="268"/>
      <c r="AAK8" s="268"/>
      <c r="AAL8" s="268"/>
      <c r="AAM8" s="268"/>
      <c r="AAN8" s="268"/>
      <c r="AAO8" s="268"/>
      <c r="AAP8" s="268"/>
      <c r="AAQ8" s="268"/>
      <c r="AAR8" s="268"/>
      <c r="AAS8" s="268"/>
      <c r="AAT8" s="268"/>
      <c r="AAU8" s="268"/>
      <c r="AAV8" s="268"/>
      <c r="AAW8" s="268"/>
      <c r="AAX8" s="268"/>
      <c r="AAY8" s="268"/>
      <c r="AAZ8" s="268"/>
      <c r="ABA8" s="268"/>
      <c r="ABB8" s="268"/>
      <c r="ABC8" s="268"/>
      <c r="ABD8" s="268"/>
      <c r="ABE8" s="268"/>
      <c r="ABF8" s="268"/>
      <c r="ABG8" s="268"/>
      <c r="ABH8" s="268"/>
      <c r="ABI8" s="268"/>
      <c r="ABJ8" s="268"/>
      <c r="ABK8" s="268"/>
      <c r="ABL8" s="268"/>
      <c r="ABM8" s="268"/>
      <c r="ABN8" s="268"/>
      <c r="ABO8" s="268"/>
      <c r="ABP8" s="268"/>
      <c r="ABQ8" s="268"/>
      <c r="ABR8" s="268"/>
      <c r="ABS8" s="268"/>
      <c r="ABT8" s="268"/>
      <c r="ABU8" s="268"/>
      <c r="ABV8" s="268"/>
      <c r="ABW8" s="268"/>
      <c r="ABX8" s="268"/>
      <c r="ABY8" s="268"/>
      <c r="ABZ8" s="268"/>
      <c r="ACA8" s="268"/>
      <c r="ACB8" s="268"/>
      <c r="ACC8" s="268"/>
      <c r="ACD8" s="268"/>
      <c r="ACE8" s="268"/>
      <c r="ACF8" s="268"/>
      <c r="ACG8" s="268"/>
      <c r="ACH8" s="268"/>
      <c r="ACI8" s="268"/>
      <c r="ACJ8" s="268"/>
      <c r="ACK8" s="268"/>
      <c r="ACL8" s="268"/>
      <c r="ACM8" s="268"/>
      <c r="ACN8" s="268"/>
      <c r="ACO8" s="268"/>
      <c r="ACP8" s="268"/>
      <c r="ACQ8" s="268"/>
      <c r="ACR8" s="268"/>
      <c r="ACS8" s="268"/>
      <c r="ACT8" s="268"/>
      <c r="ACU8" s="268"/>
      <c r="ACV8" s="268"/>
      <c r="ACW8" s="268"/>
      <c r="ACX8" s="268"/>
      <c r="ACY8" s="268"/>
      <c r="ACZ8" s="268"/>
      <c r="ADA8" s="268"/>
      <c r="ADB8" s="268"/>
      <c r="ADC8" s="268"/>
      <c r="ADD8" s="268"/>
      <c r="ADE8" s="268"/>
      <c r="ADF8" s="268"/>
      <c r="ADG8" s="268"/>
      <c r="ADH8" s="268"/>
      <c r="ADI8" s="268"/>
      <c r="ADJ8" s="268"/>
      <c r="ADK8" s="268"/>
      <c r="ADL8" s="268"/>
      <c r="ADM8" s="268"/>
      <c r="ADN8" s="268"/>
      <c r="ADO8" s="268"/>
      <c r="ADP8" s="268"/>
      <c r="ADQ8" s="268"/>
      <c r="ADR8" s="268"/>
      <c r="ADS8" s="268"/>
      <c r="ADT8" s="268"/>
      <c r="ADU8" s="268"/>
      <c r="ADV8" s="268"/>
      <c r="ADW8" s="268"/>
      <c r="ADX8" s="268"/>
      <c r="ADY8" s="268"/>
      <c r="ADZ8" s="268"/>
      <c r="AEA8" s="268"/>
      <c r="AEB8" s="268"/>
      <c r="AEC8" s="268"/>
      <c r="AED8" s="268"/>
      <c r="AEE8" s="268"/>
      <c r="AEF8" s="268"/>
      <c r="AEG8" s="268"/>
      <c r="AEH8" s="268"/>
      <c r="AEI8" s="268"/>
      <c r="AEJ8" s="268"/>
      <c r="AEK8" s="268"/>
      <c r="AEL8" s="268"/>
      <c r="AEM8" s="268"/>
      <c r="AEN8" s="268"/>
      <c r="AEO8" s="268"/>
      <c r="AEP8" s="268"/>
      <c r="AEQ8" s="268"/>
      <c r="AER8" s="268"/>
      <c r="AES8" s="268"/>
      <c r="AET8" s="268"/>
      <c r="AEU8" s="268"/>
      <c r="AEV8" s="268"/>
      <c r="AEW8" s="268"/>
      <c r="AEX8" s="268"/>
      <c r="AEY8" s="268"/>
      <c r="AEZ8" s="268"/>
      <c r="AFA8" s="268"/>
      <c r="AFB8" s="268"/>
      <c r="AFC8" s="268"/>
      <c r="AFD8" s="268"/>
      <c r="AFE8" s="268"/>
      <c r="AFF8" s="268"/>
      <c r="AFG8" s="268"/>
      <c r="AFH8" s="268"/>
      <c r="AFI8" s="268"/>
      <c r="AFJ8" s="268"/>
      <c r="AFK8" s="268"/>
      <c r="AFL8" s="268"/>
      <c r="AFM8" s="268"/>
      <c r="AFN8" s="268"/>
      <c r="AFO8" s="268"/>
      <c r="AFP8" s="268"/>
      <c r="AFQ8" s="268"/>
      <c r="AFR8" s="268"/>
      <c r="AFS8" s="268"/>
      <c r="AFT8" s="268"/>
      <c r="AFU8" s="268"/>
      <c r="AFV8" s="268"/>
      <c r="AFW8" s="268"/>
      <c r="AFX8" s="268"/>
      <c r="AFY8" s="268"/>
      <c r="AFZ8" s="268"/>
      <c r="AGA8" s="268"/>
      <c r="AGB8" s="268"/>
      <c r="AGC8" s="268"/>
      <c r="AGD8" s="268"/>
      <c r="AGE8" s="268"/>
      <c r="AGF8" s="268"/>
      <c r="AGG8" s="268"/>
      <c r="AGH8" s="268"/>
      <c r="AGI8" s="268"/>
      <c r="AGJ8" s="268"/>
      <c r="AGK8" s="268"/>
      <c r="AGL8" s="268"/>
      <c r="AGM8" s="268"/>
      <c r="AGN8" s="268"/>
      <c r="AGO8" s="268"/>
      <c r="AGP8" s="268"/>
      <c r="AGQ8" s="268"/>
      <c r="AGR8" s="268"/>
      <c r="AGS8" s="268"/>
      <c r="AGT8" s="268"/>
      <c r="AGU8" s="268"/>
      <c r="AGV8" s="268"/>
      <c r="AGW8" s="268"/>
      <c r="AGX8" s="268"/>
      <c r="AGY8" s="268"/>
      <c r="AGZ8" s="268"/>
      <c r="AHA8" s="268"/>
      <c r="AHB8" s="268"/>
      <c r="AHC8" s="268"/>
      <c r="AHD8" s="268"/>
      <c r="AHE8" s="268"/>
      <c r="AHF8" s="268"/>
      <c r="AHG8" s="268"/>
      <c r="AHH8" s="268"/>
      <c r="AHI8" s="268"/>
      <c r="AHJ8" s="268"/>
      <c r="AHK8" s="268"/>
      <c r="AHL8" s="268"/>
      <c r="AHM8" s="268"/>
      <c r="AHN8" s="268"/>
      <c r="AHO8" s="268"/>
      <c r="AHP8" s="268"/>
      <c r="AHQ8" s="268"/>
      <c r="AHR8" s="268"/>
      <c r="AHS8" s="268"/>
      <c r="AHT8" s="268"/>
      <c r="AHU8" s="268"/>
      <c r="AHV8" s="268"/>
      <c r="AHW8" s="268"/>
      <c r="AHX8" s="268"/>
      <c r="AHY8" s="268"/>
      <c r="AHZ8" s="268"/>
      <c r="AIA8" s="268"/>
      <c r="AIB8" s="268"/>
      <c r="AIC8" s="268"/>
      <c r="AID8" s="268"/>
      <c r="AIE8" s="268"/>
      <c r="AIF8" s="268"/>
      <c r="AIG8" s="268"/>
      <c r="AIH8" s="268"/>
      <c r="AII8" s="268"/>
      <c r="AIJ8" s="268"/>
      <c r="AIK8" s="268"/>
      <c r="AIL8" s="268"/>
      <c r="AIM8" s="268"/>
      <c r="AIN8" s="268"/>
      <c r="AIO8" s="268"/>
      <c r="AIP8" s="268"/>
      <c r="AIQ8" s="268"/>
      <c r="AIR8" s="268"/>
      <c r="AIS8" s="268"/>
      <c r="AIT8" s="268"/>
      <c r="AIU8" s="268"/>
      <c r="AIV8" s="268"/>
      <c r="AIW8" s="268"/>
      <c r="AIX8" s="268"/>
      <c r="AIY8" s="268"/>
      <c r="AIZ8" s="268"/>
      <c r="AJA8" s="268"/>
      <c r="AJB8" s="268"/>
      <c r="AJC8" s="268"/>
      <c r="AJD8" s="268"/>
      <c r="AJE8" s="268"/>
      <c r="AJF8" s="268"/>
      <c r="AJG8" s="268"/>
      <c r="AJH8" s="268"/>
      <c r="AJI8" s="268"/>
      <c r="AJJ8" s="268"/>
      <c r="AJK8" s="268"/>
      <c r="AJL8" s="268"/>
      <c r="AJM8" s="268"/>
      <c r="AJN8" s="268"/>
      <c r="AJO8" s="268"/>
      <c r="AJP8" s="268"/>
      <c r="AJQ8" s="268"/>
      <c r="AJR8" s="268"/>
      <c r="AJS8" s="268"/>
      <c r="AJT8" s="268"/>
      <c r="AJU8" s="268"/>
      <c r="AJV8" s="268"/>
      <c r="AJW8" s="268"/>
      <c r="AJX8" s="268"/>
      <c r="AJY8" s="268"/>
      <c r="AJZ8" s="268"/>
      <c r="AKA8" s="268"/>
      <c r="AKB8" s="268"/>
      <c r="AKC8" s="268"/>
      <c r="AKD8" s="268"/>
      <c r="AKE8" s="268"/>
      <c r="AKF8" s="268"/>
      <c r="AKG8" s="268"/>
      <c r="AKH8" s="268"/>
      <c r="AKI8" s="268"/>
      <c r="AKJ8" s="268"/>
      <c r="AKK8" s="268"/>
      <c r="AKL8" s="268"/>
      <c r="AKM8" s="268"/>
      <c r="AKN8" s="268"/>
      <c r="AKO8" s="268"/>
      <c r="AKP8" s="268"/>
      <c r="AKQ8" s="268"/>
      <c r="AKR8" s="268"/>
      <c r="AKS8" s="268"/>
      <c r="AKT8" s="268"/>
      <c r="AKU8" s="268"/>
      <c r="AKV8" s="268"/>
      <c r="AKW8" s="268"/>
      <c r="AKX8" s="268"/>
      <c r="AKY8" s="268"/>
      <c r="AKZ8" s="268"/>
      <c r="ALA8" s="268"/>
      <c r="ALB8" s="268"/>
      <c r="ALC8" s="268"/>
      <c r="ALD8" s="268"/>
      <c r="ALE8" s="268"/>
      <c r="ALF8" s="268"/>
      <c r="ALG8" s="268"/>
      <c r="ALH8" s="268"/>
      <c r="ALI8" s="268"/>
      <c r="ALJ8" s="268"/>
      <c r="ALK8" s="268"/>
      <c r="ALL8" s="268"/>
      <c r="ALM8" s="268"/>
      <c r="ALN8" s="268"/>
      <c r="ALO8" s="268"/>
      <c r="ALP8" s="268"/>
      <c r="ALQ8" s="268"/>
      <c r="ALR8" s="268"/>
      <c r="ALS8" s="268"/>
      <c r="ALT8" s="268"/>
      <c r="ALU8" s="268"/>
      <c r="ALV8" s="268"/>
      <c r="ALW8" s="268"/>
      <c r="ALX8" s="268"/>
      <c r="ALY8" s="268"/>
      <c r="ALZ8" s="268"/>
      <c r="AMA8" s="268"/>
      <c r="AMB8" s="268"/>
      <c r="AMC8" s="268"/>
      <c r="AMD8" s="268"/>
    </row>
    <row r="9" ht="63" customHeight="1" spans="1:1018" x14ac:dyDescent="0.25">
      <c r="A9" s="265"/>
      <c r="B9" s="266"/>
      <c r="C9" s="266"/>
      <c r="D9" s="269"/>
      <c r="E9" s="270" t="s">
        <v>694</v>
      </c>
      <c r="F9" s="270" t="s">
        <v>695</v>
      </c>
      <c r="G9" s="266"/>
      <c r="H9" s="266"/>
      <c r="I9" s="266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  <c r="AX9" s="268"/>
      <c r="AY9" s="268"/>
      <c r="AZ9" s="268"/>
      <c r="BA9" s="268"/>
      <c r="BB9" s="268"/>
      <c r="BC9" s="268"/>
      <c r="BD9" s="268"/>
      <c r="BE9" s="268"/>
      <c r="BF9" s="268"/>
      <c r="BG9" s="268"/>
      <c r="BH9" s="268"/>
      <c r="BI9" s="268"/>
      <c r="BJ9" s="268"/>
      <c r="BK9" s="268"/>
      <c r="BL9" s="268"/>
      <c r="BM9" s="268"/>
      <c r="BN9" s="268"/>
      <c r="BO9" s="268"/>
      <c r="BP9" s="268"/>
      <c r="BQ9" s="268"/>
      <c r="BR9" s="268"/>
      <c r="BS9" s="268"/>
      <c r="BT9" s="268"/>
      <c r="BU9" s="268"/>
      <c r="BV9" s="268"/>
      <c r="BW9" s="268"/>
      <c r="BX9" s="268"/>
      <c r="BY9" s="268"/>
      <c r="BZ9" s="268"/>
      <c r="CA9" s="268"/>
      <c r="CB9" s="268"/>
      <c r="CC9" s="268"/>
      <c r="CD9" s="268"/>
      <c r="CE9" s="268"/>
      <c r="CF9" s="268"/>
      <c r="CG9" s="268"/>
      <c r="CH9" s="268"/>
      <c r="CI9" s="268"/>
      <c r="CJ9" s="268"/>
      <c r="CK9" s="268"/>
      <c r="CL9" s="268"/>
      <c r="CM9" s="268"/>
      <c r="CN9" s="268"/>
      <c r="CO9" s="268"/>
      <c r="CP9" s="268"/>
      <c r="CQ9" s="268"/>
      <c r="CR9" s="268"/>
      <c r="CS9" s="268"/>
      <c r="CT9" s="268"/>
      <c r="CU9" s="268"/>
      <c r="CV9" s="268"/>
      <c r="CW9" s="268"/>
      <c r="CX9" s="268"/>
      <c r="CY9" s="268"/>
      <c r="CZ9" s="268"/>
      <c r="DA9" s="268"/>
      <c r="DB9" s="268"/>
      <c r="DC9" s="268"/>
      <c r="DD9" s="268"/>
      <c r="DE9" s="268"/>
      <c r="DF9" s="268"/>
      <c r="DG9" s="268"/>
      <c r="DH9" s="268"/>
      <c r="DI9" s="268"/>
      <c r="DJ9" s="268"/>
      <c r="DK9" s="268"/>
      <c r="DL9" s="268"/>
      <c r="DM9" s="268"/>
      <c r="DN9" s="268"/>
      <c r="DO9" s="268"/>
      <c r="DP9" s="268"/>
      <c r="DQ9" s="268"/>
      <c r="DR9" s="268"/>
      <c r="DS9" s="268"/>
      <c r="DT9" s="268"/>
      <c r="DU9" s="268"/>
      <c r="DV9" s="268"/>
      <c r="DW9" s="268"/>
      <c r="DX9" s="268"/>
      <c r="DY9" s="268"/>
      <c r="DZ9" s="268"/>
      <c r="EA9" s="268"/>
      <c r="EB9" s="268"/>
      <c r="EC9" s="268"/>
      <c r="ED9" s="268"/>
      <c r="EE9" s="268"/>
      <c r="EF9" s="268"/>
      <c r="EG9" s="268"/>
      <c r="EH9" s="268"/>
      <c r="EI9" s="268"/>
      <c r="EJ9" s="268"/>
      <c r="EK9" s="268"/>
      <c r="EL9" s="268"/>
      <c r="EM9" s="268"/>
      <c r="EN9" s="268"/>
      <c r="EO9" s="268"/>
      <c r="EP9" s="268"/>
      <c r="EQ9" s="268"/>
      <c r="ER9" s="268"/>
      <c r="ES9" s="268"/>
      <c r="ET9" s="268"/>
      <c r="EU9" s="268"/>
      <c r="EV9" s="268"/>
      <c r="EW9" s="268"/>
      <c r="EX9" s="268"/>
      <c r="EY9" s="268"/>
      <c r="EZ9" s="268"/>
      <c r="FA9" s="268"/>
      <c r="FB9" s="268"/>
      <c r="FC9" s="268"/>
      <c r="FD9" s="268"/>
      <c r="FE9" s="268"/>
      <c r="FF9" s="268"/>
      <c r="FG9" s="268"/>
      <c r="FH9" s="268"/>
      <c r="FI9" s="268"/>
      <c r="FJ9" s="268"/>
      <c r="FK9" s="268"/>
      <c r="FL9" s="268"/>
      <c r="FM9" s="268"/>
      <c r="FN9" s="268"/>
      <c r="FO9" s="268"/>
      <c r="FP9" s="268"/>
      <c r="FQ9" s="268"/>
      <c r="FR9" s="268"/>
      <c r="FS9" s="268"/>
      <c r="FT9" s="268"/>
      <c r="FU9" s="268"/>
      <c r="FV9" s="268"/>
      <c r="FW9" s="268"/>
      <c r="FX9" s="268"/>
      <c r="FY9" s="268"/>
      <c r="FZ9" s="268"/>
      <c r="GA9" s="268"/>
      <c r="GB9" s="268"/>
      <c r="GC9" s="268"/>
      <c r="GD9" s="268"/>
      <c r="GE9" s="268"/>
      <c r="GF9" s="268"/>
      <c r="GG9" s="268"/>
      <c r="GH9" s="268"/>
      <c r="GI9" s="268"/>
      <c r="GJ9" s="268"/>
      <c r="GK9" s="268"/>
      <c r="GL9" s="268"/>
      <c r="GM9" s="268"/>
      <c r="GN9" s="268"/>
      <c r="GO9" s="268"/>
      <c r="GP9" s="268"/>
      <c r="GQ9" s="268"/>
      <c r="GR9" s="268"/>
      <c r="GS9" s="268"/>
      <c r="GT9" s="268"/>
      <c r="GU9" s="268"/>
      <c r="GV9" s="268"/>
      <c r="GW9" s="268"/>
      <c r="GX9" s="268"/>
      <c r="GY9" s="268"/>
      <c r="GZ9" s="268"/>
      <c r="HA9" s="268"/>
      <c r="HB9" s="268"/>
      <c r="HC9" s="268"/>
      <c r="HD9" s="268"/>
      <c r="HE9" s="268"/>
      <c r="HF9" s="268"/>
      <c r="HG9" s="268"/>
      <c r="HH9" s="268"/>
      <c r="HI9" s="268"/>
      <c r="HJ9" s="268"/>
      <c r="HK9" s="268"/>
      <c r="HL9" s="268"/>
      <c r="HM9" s="268"/>
      <c r="HN9" s="268"/>
      <c r="HO9" s="268"/>
      <c r="HP9" s="268"/>
      <c r="HQ9" s="268"/>
      <c r="HR9" s="268"/>
      <c r="HS9" s="268"/>
      <c r="HT9" s="268"/>
      <c r="HU9" s="268"/>
      <c r="HV9" s="268"/>
      <c r="HW9" s="268"/>
      <c r="HX9" s="268"/>
      <c r="HY9" s="268"/>
      <c r="HZ9" s="268"/>
      <c r="IA9" s="268"/>
      <c r="IB9" s="268"/>
      <c r="IC9" s="268"/>
      <c r="ID9" s="268"/>
      <c r="IE9" s="268"/>
      <c r="IF9" s="268"/>
      <c r="IG9" s="268"/>
      <c r="IH9" s="268"/>
      <c r="II9" s="268"/>
      <c r="IJ9" s="268"/>
      <c r="IK9" s="268"/>
      <c r="IL9" s="268"/>
      <c r="IM9" s="268"/>
      <c r="IN9" s="268"/>
      <c r="IO9" s="268"/>
      <c r="IP9" s="268"/>
      <c r="IQ9" s="268"/>
      <c r="IR9" s="268"/>
      <c r="IS9" s="268"/>
      <c r="IT9" s="268"/>
      <c r="IU9" s="268"/>
      <c r="IV9" s="268"/>
      <c r="IW9" s="268"/>
      <c r="IX9" s="268"/>
      <c r="IY9" s="268"/>
      <c r="IZ9" s="268"/>
      <c r="JA9" s="268"/>
      <c r="JB9" s="268"/>
      <c r="JC9" s="268"/>
      <c r="JD9" s="268"/>
      <c r="JE9" s="268"/>
      <c r="JF9" s="268"/>
      <c r="JG9" s="268"/>
      <c r="JH9" s="268"/>
      <c r="JI9" s="268"/>
      <c r="JJ9" s="268"/>
      <c r="JK9" s="268"/>
      <c r="JL9" s="268"/>
      <c r="JM9" s="268"/>
      <c r="JN9" s="268"/>
      <c r="JO9" s="268"/>
      <c r="JP9" s="268"/>
      <c r="JQ9" s="268"/>
      <c r="JR9" s="268"/>
      <c r="JS9" s="268"/>
      <c r="JT9" s="268"/>
      <c r="JU9" s="268"/>
      <c r="JV9" s="268"/>
      <c r="JW9" s="268"/>
      <c r="JX9" s="268"/>
      <c r="JY9" s="268"/>
      <c r="JZ9" s="268"/>
      <c r="KA9" s="268"/>
      <c r="KB9" s="268"/>
      <c r="KC9" s="268"/>
      <c r="KD9" s="268"/>
      <c r="KE9" s="268"/>
      <c r="KF9" s="268"/>
      <c r="KG9" s="268"/>
      <c r="KH9" s="268"/>
      <c r="KI9" s="268"/>
      <c r="KJ9" s="268"/>
      <c r="KK9" s="268"/>
      <c r="KL9" s="268"/>
      <c r="KM9" s="268"/>
      <c r="KN9" s="268"/>
      <c r="KO9" s="268"/>
      <c r="KP9" s="268"/>
      <c r="KQ9" s="268"/>
      <c r="KR9" s="268"/>
      <c r="KS9" s="268"/>
      <c r="KT9" s="268"/>
      <c r="KU9" s="268"/>
      <c r="KV9" s="268"/>
      <c r="KW9" s="268"/>
      <c r="KX9" s="268"/>
      <c r="KY9" s="268"/>
      <c r="KZ9" s="268"/>
      <c r="LA9" s="268"/>
      <c r="LB9" s="268"/>
      <c r="LC9" s="268"/>
      <c r="LD9" s="268"/>
      <c r="LE9" s="268"/>
      <c r="LF9" s="268"/>
      <c r="LG9" s="268"/>
      <c r="LH9" s="268"/>
      <c r="LI9" s="268"/>
      <c r="LJ9" s="268"/>
      <c r="LK9" s="268"/>
      <c r="LL9" s="268"/>
      <c r="LM9" s="268"/>
      <c r="LN9" s="268"/>
      <c r="LO9" s="268"/>
      <c r="LP9" s="268"/>
      <c r="LQ9" s="268"/>
      <c r="LR9" s="268"/>
      <c r="LS9" s="268"/>
      <c r="LT9" s="268"/>
      <c r="LU9" s="268"/>
      <c r="LV9" s="268"/>
      <c r="LW9" s="268"/>
      <c r="LX9" s="268"/>
      <c r="LY9" s="268"/>
      <c r="LZ9" s="268"/>
      <c r="MA9" s="268"/>
      <c r="MB9" s="268"/>
      <c r="MC9" s="268"/>
      <c r="MD9" s="268"/>
      <c r="ME9" s="268"/>
      <c r="MF9" s="268"/>
      <c r="MG9" s="268"/>
      <c r="MH9" s="268"/>
      <c r="MI9" s="268"/>
      <c r="MJ9" s="268"/>
      <c r="MK9" s="268"/>
      <c r="ML9" s="268"/>
      <c r="MM9" s="268"/>
      <c r="MN9" s="268"/>
      <c r="MO9" s="268"/>
      <c r="MP9" s="268"/>
      <c r="MQ9" s="268"/>
      <c r="MR9" s="268"/>
      <c r="MS9" s="268"/>
      <c r="MT9" s="268"/>
      <c r="MU9" s="268"/>
      <c r="MV9" s="268"/>
      <c r="MW9" s="268"/>
      <c r="MX9" s="268"/>
      <c r="MY9" s="268"/>
      <c r="MZ9" s="268"/>
      <c r="NA9" s="268"/>
      <c r="NB9" s="268"/>
      <c r="NC9" s="268"/>
      <c r="ND9" s="268"/>
      <c r="NE9" s="268"/>
      <c r="NF9" s="268"/>
      <c r="NG9" s="268"/>
      <c r="NH9" s="268"/>
      <c r="NI9" s="268"/>
      <c r="NJ9" s="268"/>
      <c r="NK9" s="268"/>
      <c r="NL9" s="268"/>
      <c r="NM9" s="268"/>
      <c r="NN9" s="268"/>
      <c r="NO9" s="268"/>
      <c r="NP9" s="268"/>
      <c r="NQ9" s="268"/>
      <c r="NR9" s="268"/>
      <c r="NS9" s="268"/>
      <c r="NT9" s="268"/>
      <c r="NU9" s="268"/>
      <c r="NV9" s="268"/>
      <c r="NW9" s="268"/>
      <c r="NX9" s="268"/>
      <c r="NY9" s="268"/>
      <c r="NZ9" s="268"/>
      <c r="OA9" s="268"/>
      <c r="OB9" s="268"/>
      <c r="OC9" s="268"/>
      <c r="OD9" s="268"/>
      <c r="OE9" s="268"/>
      <c r="OF9" s="268"/>
      <c r="OG9" s="268"/>
      <c r="OH9" s="268"/>
      <c r="OI9" s="268"/>
      <c r="OJ9" s="268"/>
      <c r="OK9" s="268"/>
      <c r="OL9" s="268"/>
      <c r="OM9" s="268"/>
      <c r="ON9" s="268"/>
      <c r="OO9" s="268"/>
      <c r="OP9" s="268"/>
      <c r="OQ9" s="268"/>
      <c r="OR9" s="268"/>
      <c r="OS9" s="268"/>
      <c r="OT9" s="268"/>
      <c r="OU9" s="268"/>
      <c r="OV9" s="268"/>
      <c r="OW9" s="268"/>
      <c r="OX9" s="268"/>
      <c r="OY9" s="268"/>
      <c r="OZ9" s="268"/>
      <c r="PA9" s="268"/>
      <c r="PB9" s="268"/>
      <c r="PC9" s="268"/>
      <c r="PD9" s="268"/>
      <c r="PE9" s="268"/>
      <c r="PF9" s="268"/>
      <c r="PG9" s="268"/>
      <c r="PH9" s="268"/>
      <c r="PI9" s="268"/>
      <c r="PJ9" s="268"/>
      <c r="PK9" s="268"/>
      <c r="PL9" s="268"/>
      <c r="PM9" s="268"/>
      <c r="PN9" s="268"/>
      <c r="PO9" s="268"/>
      <c r="PP9" s="268"/>
      <c r="PQ9" s="268"/>
      <c r="PR9" s="268"/>
      <c r="PS9" s="268"/>
      <c r="PT9" s="268"/>
      <c r="PU9" s="268"/>
      <c r="PV9" s="268"/>
      <c r="PW9" s="268"/>
      <c r="PX9" s="268"/>
      <c r="PY9" s="268"/>
      <c r="PZ9" s="268"/>
      <c r="QA9" s="268"/>
      <c r="QB9" s="268"/>
      <c r="QC9" s="268"/>
      <c r="QD9" s="268"/>
      <c r="QE9" s="268"/>
      <c r="QF9" s="268"/>
      <c r="QG9" s="268"/>
      <c r="QH9" s="268"/>
      <c r="QI9" s="268"/>
      <c r="QJ9" s="268"/>
      <c r="QK9" s="268"/>
      <c r="QL9" s="268"/>
      <c r="QM9" s="268"/>
      <c r="QN9" s="268"/>
      <c r="QO9" s="268"/>
      <c r="QP9" s="268"/>
      <c r="QQ9" s="268"/>
      <c r="QR9" s="268"/>
      <c r="QS9" s="268"/>
      <c r="QT9" s="268"/>
      <c r="QU9" s="268"/>
      <c r="QV9" s="268"/>
      <c r="QW9" s="268"/>
      <c r="QX9" s="268"/>
      <c r="QY9" s="268"/>
      <c r="QZ9" s="268"/>
      <c r="RA9" s="268"/>
      <c r="RB9" s="268"/>
      <c r="RC9" s="268"/>
      <c r="RD9" s="268"/>
      <c r="RE9" s="268"/>
      <c r="RF9" s="268"/>
      <c r="RG9" s="268"/>
      <c r="RH9" s="268"/>
      <c r="RI9" s="268"/>
      <c r="RJ9" s="268"/>
      <c r="RK9" s="268"/>
      <c r="RL9" s="268"/>
      <c r="RM9" s="268"/>
      <c r="RN9" s="268"/>
      <c r="RO9" s="268"/>
      <c r="RP9" s="268"/>
      <c r="RQ9" s="268"/>
      <c r="RR9" s="268"/>
      <c r="RS9" s="268"/>
      <c r="RT9" s="268"/>
      <c r="RU9" s="268"/>
      <c r="RV9" s="268"/>
      <c r="RW9" s="268"/>
      <c r="RX9" s="268"/>
      <c r="RY9" s="268"/>
      <c r="RZ9" s="268"/>
      <c r="SA9" s="268"/>
      <c r="SB9" s="268"/>
      <c r="SC9" s="268"/>
      <c r="SD9" s="268"/>
      <c r="SE9" s="268"/>
      <c r="SF9" s="268"/>
      <c r="SG9" s="268"/>
      <c r="SH9" s="268"/>
      <c r="SI9" s="268"/>
      <c r="SJ9" s="268"/>
      <c r="SK9" s="268"/>
      <c r="SL9" s="268"/>
      <c r="SM9" s="268"/>
      <c r="SN9" s="268"/>
      <c r="SO9" s="268"/>
      <c r="SP9" s="268"/>
      <c r="SQ9" s="268"/>
      <c r="SR9" s="268"/>
      <c r="SS9" s="268"/>
      <c r="ST9" s="268"/>
      <c r="SU9" s="268"/>
      <c r="SV9" s="268"/>
      <c r="SW9" s="268"/>
      <c r="SX9" s="268"/>
      <c r="SY9" s="268"/>
      <c r="SZ9" s="268"/>
      <c r="TA9" s="268"/>
      <c r="TB9" s="268"/>
      <c r="TC9" s="268"/>
      <c r="TD9" s="268"/>
      <c r="TE9" s="268"/>
      <c r="TF9" s="268"/>
      <c r="TG9" s="268"/>
      <c r="TH9" s="268"/>
      <c r="TI9" s="268"/>
      <c r="TJ9" s="268"/>
      <c r="TK9" s="268"/>
      <c r="TL9" s="268"/>
      <c r="TM9" s="268"/>
      <c r="TN9" s="268"/>
      <c r="TO9" s="268"/>
      <c r="TP9" s="268"/>
      <c r="TQ9" s="268"/>
      <c r="TR9" s="268"/>
      <c r="TS9" s="268"/>
      <c r="TT9" s="268"/>
      <c r="TU9" s="268"/>
      <c r="TV9" s="268"/>
      <c r="TW9" s="268"/>
      <c r="TX9" s="268"/>
      <c r="TY9" s="268"/>
      <c r="TZ9" s="268"/>
      <c r="UA9" s="268"/>
      <c r="UB9" s="268"/>
      <c r="UC9" s="268"/>
      <c r="UD9" s="268"/>
      <c r="UE9" s="268"/>
      <c r="UF9" s="268"/>
      <c r="UG9" s="268"/>
      <c r="UH9" s="268"/>
      <c r="UI9" s="268"/>
      <c r="UJ9" s="268"/>
      <c r="UK9" s="268"/>
      <c r="UL9" s="268"/>
      <c r="UM9" s="268"/>
      <c r="UN9" s="268"/>
      <c r="UO9" s="268"/>
      <c r="UP9" s="268"/>
      <c r="UQ9" s="268"/>
      <c r="UR9" s="268"/>
      <c r="US9" s="268"/>
      <c r="UT9" s="268"/>
      <c r="UU9" s="268"/>
      <c r="UV9" s="268"/>
      <c r="UW9" s="268"/>
      <c r="UX9" s="268"/>
      <c r="UY9" s="268"/>
      <c r="UZ9" s="268"/>
      <c r="VA9" s="268"/>
      <c r="VB9" s="268"/>
      <c r="VC9" s="268"/>
      <c r="VD9" s="268"/>
      <c r="VE9" s="268"/>
      <c r="VF9" s="268"/>
      <c r="VG9" s="268"/>
      <c r="VH9" s="268"/>
      <c r="VI9" s="268"/>
      <c r="VJ9" s="268"/>
      <c r="VK9" s="268"/>
      <c r="VL9" s="268"/>
      <c r="VM9" s="268"/>
      <c r="VN9" s="268"/>
      <c r="VO9" s="268"/>
      <c r="VP9" s="268"/>
      <c r="VQ9" s="268"/>
      <c r="VR9" s="268"/>
      <c r="VS9" s="268"/>
      <c r="VT9" s="268"/>
      <c r="VU9" s="268"/>
      <c r="VV9" s="268"/>
      <c r="VW9" s="268"/>
      <c r="VX9" s="268"/>
      <c r="VY9" s="268"/>
      <c r="VZ9" s="268"/>
      <c r="WA9" s="268"/>
      <c r="WB9" s="268"/>
      <c r="WC9" s="268"/>
      <c r="WD9" s="268"/>
      <c r="WE9" s="268"/>
      <c r="WF9" s="268"/>
      <c r="WG9" s="268"/>
      <c r="WH9" s="268"/>
      <c r="WI9" s="268"/>
      <c r="WJ9" s="268"/>
      <c r="WK9" s="268"/>
      <c r="WL9" s="268"/>
      <c r="WM9" s="268"/>
      <c r="WN9" s="268"/>
      <c r="WO9" s="268"/>
      <c r="WP9" s="268"/>
      <c r="WQ9" s="268"/>
      <c r="WR9" s="268"/>
      <c r="WS9" s="268"/>
      <c r="WT9" s="268"/>
      <c r="WU9" s="268"/>
      <c r="WV9" s="268"/>
      <c r="WW9" s="268"/>
      <c r="WX9" s="268"/>
      <c r="WY9" s="268"/>
      <c r="WZ9" s="268"/>
      <c r="XA9" s="268"/>
      <c r="XB9" s="268"/>
      <c r="XC9" s="268"/>
      <c r="XD9" s="268"/>
      <c r="XE9" s="268"/>
      <c r="XF9" s="268"/>
      <c r="XG9" s="268"/>
      <c r="XH9" s="268"/>
      <c r="XI9" s="268"/>
      <c r="XJ9" s="268"/>
      <c r="XK9" s="268"/>
      <c r="XL9" s="268"/>
      <c r="XM9" s="268"/>
      <c r="XN9" s="268"/>
      <c r="XO9" s="268"/>
      <c r="XP9" s="268"/>
      <c r="XQ9" s="268"/>
      <c r="XR9" s="268"/>
      <c r="XS9" s="268"/>
      <c r="XT9" s="268"/>
      <c r="XU9" s="268"/>
      <c r="XV9" s="268"/>
      <c r="XW9" s="268"/>
      <c r="XX9" s="268"/>
      <c r="XY9" s="268"/>
      <c r="XZ9" s="268"/>
      <c r="YA9" s="268"/>
      <c r="YB9" s="268"/>
      <c r="YC9" s="268"/>
      <c r="YD9" s="268"/>
      <c r="YE9" s="268"/>
      <c r="YF9" s="268"/>
      <c r="YG9" s="268"/>
      <c r="YH9" s="268"/>
      <c r="YI9" s="268"/>
      <c r="YJ9" s="268"/>
      <c r="YK9" s="268"/>
      <c r="YL9" s="268"/>
      <c r="YM9" s="268"/>
      <c r="YN9" s="268"/>
      <c r="YO9" s="268"/>
      <c r="YP9" s="268"/>
      <c r="YQ9" s="268"/>
      <c r="YR9" s="268"/>
      <c r="YS9" s="268"/>
      <c r="YT9" s="268"/>
      <c r="YU9" s="268"/>
      <c r="YV9" s="268"/>
      <c r="YW9" s="268"/>
      <c r="YX9" s="268"/>
      <c r="YY9" s="268"/>
      <c r="YZ9" s="268"/>
      <c r="ZA9" s="268"/>
      <c r="ZB9" s="268"/>
      <c r="ZC9" s="268"/>
      <c r="ZD9" s="268"/>
      <c r="ZE9" s="268"/>
      <c r="ZF9" s="268"/>
      <c r="ZG9" s="268"/>
      <c r="ZH9" s="268"/>
      <c r="ZI9" s="268"/>
      <c r="ZJ9" s="268"/>
      <c r="ZK9" s="268"/>
      <c r="ZL9" s="268"/>
      <c r="ZM9" s="268"/>
      <c r="ZN9" s="268"/>
      <c r="ZO9" s="268"/>
      <c r="ZP9" s="268"/>
      <c r="ZQ9" s="268"/>
      <c r="ZR9" s="268"/>
      <c r="ZS9" s="268"/>
      <c r="ZT9" s="268"/>
      <c r="ZU9" s="268"/>
      <c r="ZV9" s="268"/>
      <c r="ZW9" s="268"/>
      <c r="ZX9" s="268"/>
      <c r="ZY9" s="268"/>
      <c r="ZZ9" s="268"/>
      <c r="AAA9" s="268"/>
      <c r="AAB9" s="268"/>
      <c r="AAC9" s="268"/>
      <c r="AAD9" s="268"/>
      <c r="AAE9" s="268"/>
      <c r="AAF9" s="268"/>
      <c r="AAG9" s="268"/>
      <c r="AAH9" s="268"/>
      <c r="AAI9" s="268"/>
      <c r="AAJ9" s="268"/>
      <c r="AAK9" s="268"/>
      <c r="AAL9" s="268"/>
      <c r="AAM9" s="268"/>
      <c r="AAN9" s="268"/>
      <c r="AAO9" s="268"/>
      <c r="AAP9" s="268"/>
      <c r="AAQ9" s="268"/>
      <c r="AAR9" s="268"/>
      <c r="AAS9" s="268"/>
      <c r="AAT9" s="268"/>
      <c r="AAU9" s="268"/>
      <c r="AAV9" s="268"/>
      <c r="AAW9" s="268"/>
      <c r="AAX9" s="268"/>
      <c r="AAY9" s="268"/>
      <c r="AAZ9" s="268"/>
      <c r="ABA9" s="268"/>
      <c r="ABB9" s="268"/>
      <c r="ABC9" s="268"/>
      <c r="ABD9" s="268"/>
      <c r="ABE9" s="268"/>
      <c r="ABF9" s="268"/>
      <c r="ABG9" s="268"/>
      <c r="ABH9" s="268"/>
      <c r="ABI9" s="268"/>
      <c r="ABJ9" s="268"/>
      <c r="ABK9" s="268"/>
      <c r="ABL9" s="268"/>
      <c r="ABM9" s="268"/>
      <c r="ABN9" s="268"/>
      <c r="ABO9" s="268"/>
      <c r="ABP9" s="268"/>
      <c r="ABQ9" s="268"/>
      <c r="ABR9" s="268"/>
      <c r="ABS9" s="268"/>
      <c r="ABT9" s="268"/>
      <c r="ABU9" s="268"/>
      <c r="ABV9" s="268"/>
      <c r="ABW9" s="268"/>
      <c r="ABX9" s="268"/>
      <c r="ABY9" s="268"/>
      <c r="ABZ9" s="268"/>
      <c r="ACA9" s="268"/>
      <c r="ACB9" s="268"/>
      <c r="ACC9" s="268"/>
      <c r="ACD9" s="268"/>
      <c r="ACE9" s="268"/>
      <c r="ACF9" s="268"/>
      <c r="ACG9" s="268"/>
      <c r="ACH9" s="268"/>
      <c r="ACI9" s="268"/>
      <c r="ACJ9" s="268"/>
      <c r="ACK9" s="268"/>
      <c r="ACL9" s="268"/>
      <c r="ACM9" s="268"/>
      <c r="ACN9" s="268"/>
      <c r="ACO9" s="268"/>
      <c r="ACP9" s="268"/>
      <c r="ACQ9" s="268"/>
      <c r="ACR9" s="268"/>
      <c r="ACS9" s="268"/>
      <c r="ACT9" s="268"/>
      <c r="ACU9" s="268"/>
      <c r="ACV9" s="268"/>
      <c r="ACW9" s="268"/>
      <c r="ACX9" s="268"/>
      <c r="ACY9" s="268"/>
      <c r="ACZ9" s="268"/>
      <c r="ADA9" s="268"/>
      <c r="ADB9" s="268"/>
      <c r="ADC9" s="268"/>
      <c r="ADD9" s="268"/>
      <c r="ADE9" s="268"/>
      <c r="ADF9" s="268"/>
      <c r="ADG9" s="268"/>
      <c r="ADH9" s="268"/>
      <c r="ADI9" s="268"/>
      <c r="ADJ9" s="268"/>
      <c r="ADK9" s="268"/>
      <c r="ADL9" s="268"/>
      <c r="ADM9" s="268"/>
      <c r="ADN9" s="268"/>
      <c r="ADO9" s="268"/>
      <c r="ADP9" s="268"/>
      <c r="ADQ9" s="268"/>
      <c r="ADR9" s="268"/>
      <c r="ADS9" s="268"/>
      <c r="ADT9" s="268"/>
      <c r="ADU9" s="268"/>
      <c r="ADV9" s="268"/>
      <c r="ADW9" s="268"/>
      <c r="ADX9" s="268"/>
      <c r="ADY9" s="268"/>
      <c r="ADZ9" s="268"/>
      <c r="AEA9" s="268"/>
      <c r="AEB9" s="268"/>
      <c r="AEC9" s="268"/>
      <c r="AED9" s="268"/>
      <c r="AEE9" s="268"/>
      <c r="AEF9" s="268"/>
      <c r="AEG9" s="268"/>
      <c r="AEH9" s="268"/>
      <c r="AEI9" s="268"/>
      <c r="AEJ9" s="268"/>
      <c r="AEK9" s="268"/>
      <c r="AEL9" s="268"/>
      <c r="AEM9" s="268"/>
      <c r="AEN9" s="268"/>
      <c r="AEO9" s="268"/>
      <c r="AEP9" s="268"/>
      <c r="AEQ9" s="268"/>
      <c r="AER9" s="268"/>
      <c r="AES9" s="268"/>
      <c r="AET9" s="268"/>
      <c r="AEU9" s="268"/>
      <c r="AEV9" s="268"/>
      <c r="AEW9" s="268"/>
      <c r="AEX9" s="268"/>
      <c r="AEY9" s="268"/>
      <c r="AEZ9" s="268"/>
      <c r="AFA9" s="268"/>
      <c r="AFB9" s="268"/>
      <c r="AFC9" s="268"/>
      <c r="AFD9" s="268"/>
      <c r="AFE9" s="268"/>
      <c r="AFF9" s="268"/>
      <c r="AFG9" s="268"/>
      <c r="AFH9" s="268"/>
      <c r="AFI9" s="268"/>
      <c r="AFJ9" s="268"/>
      <c r="AFK9" s="268"/>
      <c r="AFL9" s="268"/>
      <c r="AFM9" s="268"/>
      <c r="AFN9" s="268"/>
      <c r="AFO9" s="268"/>
      <c r="AFP9" s="268"/>
      <c r="AFQ9" s="268"/>
      <c r="AFR9" s="268"/>
      <c r="AFS9" s="268"/>
      <c r="AFT9" s="268"/>
      <c r="AFU9" s="268"/>
      <c r="AFV9" s="268"/>
      <c r="AFW9" s="268"/>
      <c r="AFX9" s="268"/>
      <c r="AFY9" s="268"/>
      <c r="AFZ9" s="268"/>
      <c r="AGA9" s="268"/>
      <c r="AGB9" s="268"/>
      <c r="AGC9" s="268"/>
      <c r="AGD9" s="268"/>
      <c r="AGE9" s="268"/>
      <c r="AGF9" s="268"/>
      <c r="AGG9" s="268"/>
      <c r="AGH9" s="268"/>
      <c r="AGI9" s="268"/>
      <c r="AGJ9" s="268"/>
      <c r="AGK9" s="268"/>
      <c r="AGL9" s="268"/>
      <c r="AGM9" s="268"/>
      <c r="AGN9" s="268"/>
      <c r="AGO9" s="268"/>
      <c r="AGP9" s="268"/>
      <c r="AGQ9" s="268"/>
      <c r="AGR9" s="268"/>
      <c r="AGS9" s="268"/>
      <c r="AGT9" s="268"/>
      <c r="AGU9" s="268"/>
      <c r="AGV9" s="268"/>
      <c r="AGW9" s="268"/>
      <c r="AGX9" s="268"/>
      <c r="AGY9" s="268"/>
      <c r="AGZ9" s="268"/>
      <c r="AHA9" s="268"/>
      <c r="AHB9" s="268"/>
      <c r="AHC9" s="268"/>
      <c r="AHD9" s="268"/>
      <c r="AHE9" s="268"/>
      <c r="AHF9" s="268"/>
      <c r="AHG9" s="268"/>
      <c r="AHH9" s="268"/>
      <c r="AHI9" s="268"/>
      <c r="AHJ9" s="268"/>
      <c r="AHK9" s="268"/>
      <c r="AHL9" s="268"/>
      <c r="AHM9" s="268"/>
      <c r="AHN9" s="268"/>
      <c r="AHO9" s="268"/>
      <c r="AHP9" s="268"/>
      <c r="AHQ9" s="268"/>
      <c r="AHR9" s="268"/>
      <c r="AHS9" s="268"/>
      <c r="AHT9" s="268"/>
      <c r="AHU9" s="268"/>
      <c r="AHV9" s="268"/>
      <c r="AHW9" s="268"/>
      <c r="AHX9" s="268"/>
      <c r="AHY9" s="268"/>
      <c r="AHZ9" s="268"/>
      <c r="AIA9" s="268"/>
      <c r="AIB9" s="268"/>
      <c r="AIC9" s="268"/>
      <c r="AID9" s="268"/>
      <c r="AIE9" s="268"/>
      <c r="AIF9" s="268"/>
      <c r="AIG9" s="268"/>
      <c r="AIH9" s="268"/>
      <c r="AII9" s="268"/>
      <c r="AIJ9" s="268"/>
      <c r="AIK9" s="268"/>
      <c r="AIL9" s="268"/>
      <c r="AIM9" s="268"/>
      <c r="AIN9" s="268"/>
      <c r="AIO9" s="268"/>
      <c r="AIP9" s="268"/>
      <c r="AIQ9" s="268"/>
      <c r="AIR9" s="268"/>
      <c r="AIS9" s="268"/>
      <c r="AIT9" s="268"/>
      <c r="AIU9" s="268"/>
      <c r="AIV9" s="268"/>
      <c r="AIW9" s="268"/>
      <c r="AIX9" s="268"/>
      <c r="AIY9" s="268"/>
      <c r="AIZ9" s="268"/>
      <c r="AJA9" s="268"/>
      <c r="AJB9" s="268"/>
      <c r="AJC9" s="268"/>
      <c r="AJD9" s="268"/>
      <c r="AJE9" s="268"/>
      <c r="AJF9" s="268"/>
      <c r="AJG9" s="268"/>
      <c r="AJH9" s="268"/>
      <c r="AJI9" s="268"/>
      <c r="AJJ9" s="268"/>
      <c r="AJK9" s="268"/>
      <c r="AJL9" s="268"/>
      <c r="AJM9" s="268"/>
      <c r="AJN9" s="268"/>
      <c r="AJO9" s="268"/>
      <c r="AJP9" s="268"/>
      <c r="AJQ9" s="268"/>
      <c r="AJR9" s="268"/>
      <c r="AJS9" s="268"/>
      <c r="AJT9" s="268"/>
      <c r="AJU9" s="268"/>
      <c r="AJV9" s="268"/>
      <c r="AJW9" s="268"/>
      <c r="AJX9" s="268"/>
      <c r="AJY9" s="268"/>
      <c r="AJZ9" s="268"/>
      <c r="AKA9" s="268"/>
      <c r="AKB9" s="268"/>
      <c r="AKC9" s="268"/>
      <c r="AKD9" s="268"/>
      <c r="AKE9" s="268"/>
      <c r="AKF9" s="268"/>
      <c r="AKG9" s="268"/>
      <c r="AKH9" s="268"/>
      <c r="AKI9" s="268"/>
      <c r="AKJ9" s="268"/>
      <c r="AKK9" s="268"/>
      <c r="AKL9" s="268"/>
      <c r="AKM9" s="268"/>
      <c r="AKN9" s="268"/>
      <c r="AKO9" s="268"/>
      <c r="AKP9" s="268"/>
      <c r="AKQ9" s="268"/>
      <c r="AKR9" s="268"/>
      <c r="AKS9" s="268"/>
      <c r="AKT9" s="268"/>
      <c r="AKU9" s="268"/>
      <c r="AKV9" s="268"/>
      <c r="AKW9" s="268"/>
      <c r="AKX9" s="268"/>
      <c r="AKY9" s="268"/>
      <c r="AKZ9" s="268"/>
      <c r="ALA9" s="268"/>
      <c r="ALB9" s="268"/>
      <c r="ALC9" s="268"/>
      <c r="ALD9" s="268"/>
      <c r="ALE9" s="268"/>
      <c r="ALF9" s="268"/>
      <c r="ALG9" s="268"/>
      <c r="ALH9" s="268"/>
      <c r="ALI9" s="268"/>
      <c r="ALJ9" s="268"/>
      <c r="ALK9" s="268"/>
      <c r="ALL9" s="268"/>
      <c r="ALM9" s="268"/>
      <c r="ALN9" s="268"/>
      <c r="ALO9" s="268"/>
      <c r="ALP9" s="268"/>
      <c r="ALQ9" s="268"/>
      <c r="ALR9" s="268"/>
      <c r="ALS9" s="268"/>
      <c r="ALT9" s="268"/>
      <c r="ALU9" s="268"/>
      <c r="ALV9" s="268"/>
      <c r="ALW9" s="268"/>
      <c r="ALX9" s="268"/>
      <c r="ALY9" s="268"/>
      <c r="ALZ9" s="268"/>
      <c r="AMA9" s="268"/>
      <c r="AMB9" s="268"/>
      <c r="AMC9" s="268"/>
      <c r="AMD9" s="268"/>
    </row>
    <row r="10" ht="20.25" customHeight="1" spans="1:9" s="271" customFormat="1" x14ac:dyDescent="0.25">
      <c r="A10" s="272"/>
      <c r="B10" s="273"/>
      <c r="C10" s="273"/>
      <c r="D10" s="274" t="s">
        <v>154</v>
      </c>
      <c r="E10" s="274" t="s">
        <v>157</v>
      </c>
      <c r="F10" s="275" t="s">
        <v>160</v>
      </c>
      <c r="G10" s="274" t="s">
        <v>164</v>
      </c>
      <c r="H10" s="274" t="s">
        <v>321</v>
      </c>
      <c r="I10" s="274" t="s">
        <v>696</v>
      </c>
    </row>
    <row r="11" ht="20.25" customHeight="1" spans="1:9" x14ac:dyDescent="0.25">
      <c r="A11" s="276"/>
      <c r="B11" s="277" t="s">
        <v>697</v>
      </c>
      <c r="D11" s="278"/>
      <c r="E11" s="278"/>
      <c r="F11" s="279"/>
      <c r="G11" s="278"/>
      <c r="H11" s="278"/>
      <c r="I11" s="280"/>
    </row>
    <row r="12" ht="37.5" customHeight="1" spans="1:9" x14ac:dyDescent="0.25">
      <c r="A12" s="252" t="s">
        <v>698</v>
      </c>
      <c r="B12" s="116" t="s">
        <v>650</v>
      </c>
      <c r="C12" s="116"/>
      <c r="D12" s="281">
        <v>-204513</v>
      </c>
      <c r="E12" s="281">
        <v>0</v>
      </c>
      <c r="F12" s="281"/>
      <c r="G12" s="281">
        <v>0</v>
      </c>
      <c r="H12" s="281">
        <v>0</v>
      </c>
      <c r="I12" s="282">
        <f t="shared" ref="I12:I26" si="0">D12-G12-H12</f>
        <v>-204513</v>
      </c>
    </row>
    <row r="13" ht="37.5" customHeight="1" spans="1:9" x14ac:dyDescent="0.25">
      <c r="A13" s="252" t="s">
        <v>699</v>
      </c>
      <c r="B13" s="116" t="s">
        <v>700</v>
      </c>
      <c r="C13" s="116"/>
      <c r="D13" s="281">
        <v>-1014</v>
      </c>
      <c r="E13" s="281">
        <v>0</v>
      </c>
      <c r="F13" s="281"/>
      <c r="G13" s="281">
        <v>0</v>
      </c>
      <c r="H13" s="281">
        <v>0</v>
      </c>
      <c r="I13" s="282">
        <f t="shared" si="0"/>
        <v>-1014</v>
      </c>
    </row>
    <row r="14" ht="37.5" customHeight="1" spans="1:9" x14ac:dyDescent="0.25">
      <c r="A14" s="252" t="s">
        <v>701</v>
      </c>
      <c r="B14" s="116" t="s">
        <v>702</v>
      </c>
      <c r="C14" s="116"/>
      <c r="D14" s="281"/>
      <c r="E14" s="281"/>
      <c r="F14" s="281"/>
      <c r="G14" s="281">
        <v>0</v>
      </c>
      <c r="H14" s="281">
        <v>0</v>
      </c>
      <c r="I14" s="282">
        <f t="shared" si="0"/>
        <v>0</v>
      </c>
    </row>
    <row r="15" ht="37.5" customHeight="1" spans="1:9" x14ac:dyDescent="0.25">
      <c r="A15" s="252" t="s">
        <v>703</v>
      </c>
      <c r="B15" s="116" t="s">
        <v>656</v>
      </c>
      <c r="C15" s="116"/>
      <c r="D15" s="281">
        <v>-67441</v>
      </c>
      <c r="E15" s="281">
        <v>0</v>
      </c>
      <c r="F15" s="281"/>
      <c r="G15" s="281">
        <v>0</v>
      </c>
      <c r="H15" s="281">
        <v>0</v>
      </c>
      <c r="I15" s="282">
        <f t="shared" si="0"/>
        <v>-67441</v>
      </c>
    </row>
    <row r="16" ht="37.5" customHeight="1" spans="1:9" x14ac:dyDescent="0.25">
      <c r="A16" s="252" t="s">
        <v>704</v>
      </c>
      <c r="B16" s="116" t="s">
        <v>705</v>
      </c>
      <c r="C16" s="116"/>
      <c r="D16" s="281">
        <f>D17+D18</f>
        <v>-203544</v>
      </c>
      <c r="E16" s="281">
        <f t="shared" ref="E16:H16" si="1">E17+E18</f>
        <v>-4373</v>
      </c>
      <c r="F16" s="281">
        <f t="shared" si="1"/>
        <v>0</v>
      </c>
      <c r="G16" s="281">
        <f t="shared" si="1"/>
        <v>-1691</v>
      </c>
      <c r="H16" s="281">
        <f t="shared" si="1"/>
        <v>0</v>
      </c>
      <c r="I16" s="282">
        <f t="shared" si="0"/>
        <v>-201853</v>
      </c>
    </row>
    <row r="17" ht="37.5" customHeight="1" spans="1:9" x14ac:dyDescent="0.25">
      <c r="A17" s="252" t="s">
        <v>706</v>
      </c>
      <c r="B17" s="116" t="s">
        <v>707</v>
      </c>
      <c r="C17" s="116"/>
      <c r="D17" s="281"/>
      <c r="E17" s="281"/>
      <c r="F17" s="281"/>
      <c r="G17" s="281">
        <v>0</v>
      </c>
      <c r="H17" s="281">
        <v>0</v>
      </c>
      <c r="I17" s="282">
        <f t="shared" si="0"/>
        <v>0</v>
      </c>
    </row>
    <row r="18" ht="37.5" customHeight="1" spans="1:9" x14ac:dyDescent="0.25">
      <c r="A18" s="252" t="s">
        <v>708</v>
      </c>
      <c r="B18" s="116" t="s">
        <v>709</v>
      </c>
      <c r="C18" s="116"/>
      <c r="D18" s="283">
        <f>-203717+173</f>
        <v>-203544</v>
      </c>
      <c r="E18" s="283">
        <v>-4373</v>
      </c>
      <c r="F18" s="281"/>
      <c r="G18" s="283">
        <v>-1691</v>
      </c>
      <c r="H18" s="281">
        <v>0</v>
      </c>
      <c r="I18" s="282">
        <f t="shared" si="0"/>
        <v>-201853</v>
      </c>
    </row>
    <row r="19" ht="37.5" customHeight="1" spans="1:9" x14ac:dyDescent="0.25">
      <c r="A19" s="252" t="s">
        <v>710</v>
      </c>
      <c r="B19" s="116" t="s">
        <v>711</v>
      </c>
      <c r="C19" s="116"/>
      <c r="D19" s="283">
        <f t="shared" ref="D19" si="2">D20+D21</f>
        <v>-18502</v>
      </c>
      <c r="E19" s="283">
        <f t="shared" ref="E19" si="3">E20+E21</f>
        <v>-1530</v>
      </c>
      <c r="F19" s="281">
        <f t="shared" ref="F19" si="4">F20+F21</f>
        <v>0</v>
      </c>
      <c r="G19" s="283">
        <f t="shared" ref="G19" si="5">G20+G21</f>
        <v>-1146</v>
      </c>
      <c r="H19" s="281">
        <f t="shared" ref="H19" si="6">H20+H21</f>
        <v>0</v>
      </c>
      <c r="I19" s="282">
        <f t="shared" si="0"/>
        <v>-17356</v>
      </c>
    </row>
    <row r="20" ht="37.5" customHeight="1" spans="1:9" x14ac:dyDescent="0.25">
      <c r="A20" s="252" t="s">
        <v>712</v>
      </c>
      <c r="B20" s="116" t="s">
        <v>713</v>
      </c>
      <c r="C20" s="116"/>
      <c r="D20" s="281"/>
      <c r="E20" s="281"/>
      <c r="F20" s="281"/>
      <c r="G20" s="281">
        <v>0</v>
      </c>
      <c r="H20" s="281">
        <v>0</v>
      </c>
      <c r="I20" s="282">
        <f t="shared" si="0"/>
        <v>0</v>
      </c>
    </row>
    <row r="21" ht="37.5" customHeight="1" spans="1:9" x14ac:dyDescent="0.25">
      <c r="A21" s="252" t="s">
        <v>714</v>
      </c>
      <c r="B21" s="116" t="s">
        <v>715</v>
      </c>
      <c r="C21" s="116"/>
      <c r="D21" s="281">
        <f>-19462+960</f>
        <v>-18502</v>
      </c>
      <c r="E21" s="281">
        <v>-1530</v>
      </c>
      <c r="F21" s="281">
        <f t="shared" ref="F21" si="7">F22+F23</f>
        <v>0</v>
      </c>
      <c r="G21" s="281">
        <v>-1146</v>
      </c>
      <c r="H21" s="281">
        <v>0</v>
      </c>
      <c r="I21" s="282">
        <f t="shared" si="0"/>
        <v>-17356</v>
      </c>
    </row>
    <row r="22" ht="37.5" customHeight="1" spans="1:9" x14ac:dyDescent="0.25">
      <c r="A22" s="252" t="s">
        <v>716</v>
      </c>
      <c r="B22" s="116" t="s">
        <v>662</v>
      </c>
      <c r="C22" s="116"/>
      <c r="D22" s="283">
        <f>-1737-1133</f>
        <v>-2870</v>
      </c>
      <c r="E22" s="281">
        <v>-93</v>
      </c>
      <c r="F22" s="281"/>
      <c r="G22" s="281">
        <v>-84</v>
      </c>
      <c r="H22" s="281">
        <v>0</v>
      </c>
      <c r="I22" s="282">
        <f t="shared" si="0"/>
        <v>-2786</v>
      </c>
    </row>
    <row r="23" ht="37.5" customHeight="1" spans="1:9" x14ac:dyDescent="0.25">
      <c r="A23" s="252" t="s">
        <v>717</v>
      </c>
      <c r="B23" s="116" t="s">
        <v>718</v>
      </c>
      <c r="C23" s="116"/>
      <c r="D23" s="281">
        <f>D24+D25</f>
        <v>-20595</v>
      </c>
      <c r="E23" s="281">
        <f t="shared" ref="E23:H23" si="8">E24+E25</f>
        <v>-5538</v>
      </c>
      <c r="F23" s="281">
        <f t="shared" si="8"/>
        <v>0</v>
      </c>
      <c r="G23" s="281">
        <f t="shared" si="8"/>
        <v>-617</v>
      </c>
      <c r="H23" s="281">
        <f t="shared" si="8"/>
        <v>0</v>
      </c>
      <c r="I23" s="282">
        <f t="shared" si="0"/>
        <v>-19978</v>
      </c>
    </row>
    <row r="24" ht="37.5" customHeight="1" spans="1:9" x14ac:dyDescent="0.25">
      <c r="A24" s="252" t="s">
        <v>719</v>
      </c>
      <c r="B24" s="116" t="s">
        <v>720</v>
      </c>
      <c r="C24" s="116"/>
      <c r="D24" s="281"/>
      <c r="E24" s="281"/>
      <c r="F24" s="281"/>
      <c r="G24" s="281">
        <v>0</v>
      </c>
      <c r="H24" s="281">
        <v>0</v>
      </c>
      <c r="I24" s="282">
        <f t="shared" si="0"/>
        <v>0</v>
      </c>
    </row>
    <row r="25" ht="37.5" customHeight="1" spans="1:9" x14ac:dyDescent="0.25">
      <c r="A25" s="252" t="s">
        <v>721</v>
      </c>
      <c r="B25" s="116" t="s">
        <v>722</v>
      </c>
      <c r="C25" s="116"/>
      <c r="D25" s="283">
        <v>-20595</v>
      </c>
      <c r="E25" s="283">
        <v>-5538</v>
      </c>
      <c r="F25" s="281"/>
      <c r="G25" s="281">
        <v>-617</v>
      </c>
      <c r="H25" s="281">
        <v>0</v>
      </c>
      <c r="I25" s="282">
        <f t="shared" si="0"/>
        <v>-19978</v>
      </c>
    </row>
    <row r="26" ht="37.5" customHeight="1" spans="1:9" x14ac:dyDescent="0.25">
      <c r="A26" s="252" t="s">
        <v>723</v>
      </c>
      <c r="B26" s="116" t="s">
        <v>666</v>
      </c>
      <c r="C26" s="116"/>
      <c r="D26" s="283">
        <v>-23016</v>
      </c>
      <c r="E26" s="281">
        <v>-492</v>
      </c>
      <c r="F26" s="281"/>
      <c r="G26" s="281">
        <v>-483</v>
      </c>
      <c r="H26" s="281">
        <v>-376</v>
      </c>
      <c r="I26" s="282">
        <f t="shared" si="0"/>
        <v>-22157</v>
      </c>
    </row>
    <row r="27" ht="12.75" customHeight="1" spans="1:9" x14ac:dyDescent="0.25">
      <c r="A27" s="276"/>
      <c r="B27" s="284"/>
      <c r="C27" s="284"/>
      <c r="D27" s="284"/>
      <c r="E27" s="284"/>
      <c r="F27" s="284"/>
      <c r="G27" s="284"/>
      <c r="H27" s="284"/>
      <c r="I27" s="284"/>
    </row>
    <row r="28" ht="37.5" customHeight="1" spans="1:9" s="271" customFormat="1" x14ac:dyDescent="0.25">
      <c r="A28" s="252" t="s">
        <v>724</v>
      </c>
      <c r="B28" s="285" t="s">
        <v>725</v>
      </c>
      <c r="C28" s="285"/>
      <c r="D28" s="286">
        <f>D12+D13+D14+D15+D16+D19+D22+D23+D26</f>
        <v>-541495</v>
      </c>
      <c r="E28" s="286">
        <f t="shared" ref="E28:I28" si="9">E12+E13+E14+E15+E16+E19+E22+E23+E26</f>
        <v>-12026</v>
      </c>
      <c r="F28" s="286">
        <f t="shared" si="9"/>
        <v>0</v>
      </c>
      <c r="G28" s="286">
        <f t="shared" si="9"/>
        <v>-4021</v>
      </c>
      <c r="H28" s="286">
        <f t="shared" si="9"/>
        <v>-376</v>
      </c>
      <c r="I28" s="287">
        <f t="shared" si="9"/>
        <v>-537098</v>
      </c>
    </row>
    <row r="29" ht="10.5" customHeight="1" spans="1:1018" x14ac:dyDescent="0.25">
      <c r="A29" s="271"/>
      <c r="B29" s="268"/>
      <c r="C29" s="268"/>
      <c r="D29" s="261"/>
      <c r="E29" s="261"/>
      <c r="F29" s="261"/>
      <c r="G29" s="261"/>
      <c r="H29" s="261"/>
      <c r="I29" s="26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1"/>
      <c r="BJ29" s="271"/>
      <c r="BK29" s="271"/>
      <c r="BL29" s="271"/>
      <c r="BM29" s="271"/>
      <c r="BN29" s="271"/>
      <c r="BO29" s="271"/>
      <c r="BP29" s="271"/>
      <c r="BQ29" s="271"/>
      <c r="BR29" s="271"/>
      <c r="BS29" s="271"/>
      <c r="BT29" s="271"/>
      <c r="BU29" s="271"/>
      <c r="BV29" s="271"/>
      <c r="BW29" s="271"/>
      <c r="BX29" s="271"/>
      <c r="BY29" s="271"/>
      <c r="BZ29" s="271"/>
      <c r="CA29" s="271"/>
      <c r="CB29" s="271"/>
      <c r="CC29" s="271"/>
      <c r="CD29" s="271"/>
      <c r="CE29" s="271"/>
      <c r="CF29" s="271"/>
      <c r="CG29" s="271"/>
      <c r="CH29" s="271"/>
      <c r="CI29" s="271"/>
      <c r="CJ29" s="271"/>
      <c r="CK29" s="271"/>
      <c r="CL29" s="271"/>
      <c r="CM29" s="271"/>
      <c r="CN29" s="271"/>
      <c r="CO29" s="271"/>
      <c r="CP29" s="271"/>
      <c r="CQ29" s="271"/>
      <c r="CR29" s="271"/>
      <c r="CS29" s="271"/>
      <c r="CT29" s="271"/>
      <c r="CU29" s="271"/>
      <c r="CV29" s="271"/>
      <c r="CW29" s="271"/>
      <c r="CX29" s="271"/>
      <c r="CY29" s="271"/>
      <c r="CZ29" s="271"/>
      <c r="DA29" s="271"/>
      <c r="DB29" s="271"/>
      <c r="DC29" s="271"/>
      <c r="DD29" s="271"/>
      <c r="DE29" s="271"/>
      <c r="DF29" s="271"/>
      <c r="DG29" s="271"/>
      <c r="DH29" s="271"/>
      <c r="DI29" s="271"/>
      <c r="DJ29" s="271"/>
      <c r="DK29" s="271"/>
      <c r="DL29" s="271"/>
      <c r="DM29" s="271"/>
      <c r="DN29" s="271"/>
      <c r="DO29" s="271"/>
      <c r="DP29" s="271"/>
      <c r="DQ29" s="271"/>
      <c r="DR29" s="271"/>
      <c r="DS29" s="271"/>
      <c r="DT29" s="271"/>
      <c r="DU29" s="271"/>
      <c r="DV29" s="271"/>
      <c r="DW29" s="271"/>
      <c r="DX29" s="271"/>
      <c r="DY29" s="271"/>
      <c r="DZ29" s="271"/>
      <c r="EA29" s="271"/>
      <c r="EB29" s="271"/>
      <c r="EC29" s="271"/>
      <c r="ED29" s="271"/>
      <c r="EE29" s="271"/>
      <c r="EF29" s="271"/>
      <c r="EG29" s="271"/>
      <c r="EH29" s="271"/>
      <c r="EI29" s="271"/>
      <c r="EJ29" s="271"/>
      <c r="EK29" s="271"/>
      <c r="EL29" s="271"/>
      <c r="EM29" s="271"/>
      <c r="EN29" s="271"/>
      <c r="EO29" s="271"/>
      <c r="EP29" s="271"/>
      <c r="EQ29" s="271"/>
      <c r="ER29" s="271"/>
      <c r="ES29" s="271"/>
      <c r="ET29" s="271"/>
      <c r="EU29" s="271"/>
      <c r="EV29" s="271"/>
      <c r="EW29" s="271"/>
      <c r="EX29" s="271"/>
      <c r="EY29" s="271"/>
      <c r="EZ29" s="271"/>
      <c r="FA29" s="271"/>
      <c r="FB29" s="271"/>
      <c r="FC29" s="271"/>
      <c r="FD29" s="271"/>
      <c r="FE29" s="271"/>
      <c r="FF29" s="271"/>
      <c r="FG29" s="271"/>
      <c r="FH29" s="271"/>
      <c r="FI29" s="271"/>
      <c r="FJ29" s="271"/>
      <c r="FK29" s="271"/>
      <c r="FL29" s="271"/>
      <c r="FM29" s="271"/>
      <c r="FN29" s="271"/>
      <c r="FO29" s="271"/>
      <c r="FP29" s="271"/>
      <c r="FQ29" s="271"/>
      <c r="FR29" s="271"/>
      <c r="FS29" s="271"/>
      <c r="FT29" s="271"/>
      <c r="FU29" s="271"/>
      <c r="FV29" s="271"/>
      <c r="FW29" s="271"/>
      <c r="FX29" s="271"/>
      <c r="FY29" s="271"/>
      <c r="FZ29" s="271"/>
      <c r="GA29" s="271"/>
      <c r="GB29" s="271"/>
      <c r="GC29" s="271"/>
      <c r="GD29" s="271"/>
      <c r="GE29" s="271"/>
      <c r="GF29" s="271"/>
      <c r="GG29" s="271"/>
      <c r="GH29" s="271"/>
      <c r="GI29" s="271"/>
      <c r="GJ29" s="271"/>
      <c r="GK29" s="271"/>
      <c r="GL29" s="271"/>
      <c r="GM29" s="271"/>
      <c r="GN29" s="271"/>
      <c r="GO29" s="271"/>
      <c r="GP29" s="271"/>
      <c r="GQ29" s="271"/>
      <c r="GR29" s="271"/>
      <c r="GS29" s="271"/>
      <c r="GT29" s="271"/>
      <c r="GU29" s="271"/>
      <c r="GV29" s="271"/>
      <c r="GW29" s="271"/>
      <c r="GX29" s="271"/>
      <c r="GY29" s="271"/>
      <c r="GZ29" s="271"/>
      <c r="HA29" s="271"/>
      <c r="HB29" s="271"/>
      <c r="HC29" s="271"/>
      <c r="HD29" s="271"/>
      <c r="HE29" s="271"/>
      <c r="HF29" s="271"/>
      <c r="HG29" s="271"/>
      <c r="HH29" s="271"/>
      <c r="HI29" s="271"/>
      <c r="HJ29" s="271"/>
      <c r="HK29" s="271"/>
      <c r="HL29" s="271"/>
      <c r="HM29" s="271"/>
      <c r="HN29" s="271"/>
      <c r="HO29" s="271"/>
      <c r="HP29" s="271"/>
      <c r="HQ29" s="271"/>
      <c r="HR29" s="271"/>
      <c r="HS29" s="271"/>
      <c r="HT29" s="271"/>
      <c r="HU29" s="271"/>
      <c r="HV29" s="271"/>
      <c r="HW29" s="271"/>
      <c r="HX29" s="271"/>
      <c r="HY29" s="271"/>
      <c r="HZ29" s="271"/>
      <c r="IA29" s="271"/>
      <c r="IB29" s="271"/>
      <c r="IC29" s="271"/>
      <c r="ID29" s="271"/>
      <c r="IE29" s="271"/>
      <c r="IF29" s="271"/>
      <c r="IG29" s="271"/>
      <c r="IH29" s="271"/>
      <c r="II29" s="271"/>
      <c r="IJ29" s="271"/>
      <c r="IK29" s="271"/>
      <c r="IL29" s="271"/>
      <c r="IM29" s="271"/>
      <c r="IN29" s="271"/>
      <c r="IO29" s="271"/>
      <c r="IP29" s="271"/>
      <c r="IQ29" s="271"/>
      <c r="IR29" s="271"/>
      <c r="IS29" s="271"/>
      <c r="IT29" s="271"/>
      <c r="IU29" s="271"/>
      <c r="IV29" s="271"/>
      <c r="IW29" s="271"/>
      <c r="IX29" s="271"/>
      <c r="IY29" s="271"/>
      <c r="IZ29" s="271"/>
      <c r="JA29" s="271"/>
      <c r="JB29" s="271"/>
      <c r="JC29" s="271"/>
      <c r="JD29" s="271"/>
      <c r="JE29" s="271"/>
      <c r="JF29" s="271"/>
      <c r="JG29" s="271"/>
      <c r="JH29" s="271"/>
      <c r="JI29" s="271"/>
      <c r="JJ29" s="271"/>
      <c r="JK29" s="271"/>
      <c r="JL29" s="271"/>
      <c r="JM29" s="271"/>
      <c r="JN29" s="271"/>
      <c r="JO29" s="271"/>
      <c r="JP29" s="271"/>
      <c r="JQ29" s="271"/>
      <c r="JR29" s="271"/>
      <c r="JS29" s="271"/>
      <c r="JT29" s="271"/>
      <c r="JU29" s="271"/>
      <c r="JV29" s="271"/>
      <c r="JW29" s="271"/>
      <c r="JX29" s="271"/>
      <c r="JY29" s="271"/>
      <c r="JZ29" s="271"/>
      <c r="KA29" s="271"/>
      <c r="KB29" s="271"/>
      <c r="KC29" s="271"/>
      <c r="KD29" s="271"/>
      <c r="KE29" s="271"/>
      <c r="KF29" s="271"/>
      <c r="KG29" s="271"/>
      <c r="KH29" s="271"/>
      <c r="KI29" s="271"/>
      <c r="KJ29" s="271"/>
      <c r="KK29" s="271"/>
      <c r="KL29" s="271"/>
      <c r="KM29" s="271"/>
      <c r="KN29" s="271"/>
      <c r="KO29" s="271"/>
      <c r="KP29" s="271"/>
      <c r="KQ29" s="271"/>
      <c r="KR29" s="271"/>
      <c r="KS29" s="271"/>
      <c r="KT29" s="271"/>
      <c r="KU29" s="271"/>
      <c r="KV29" s="271"/>
      <c r="KW29" s="271"/>
      <c r="KX29" s="271"/>
      <c r="KY29" s="271"/>
      <c r="KZ29" s="271"/>
      <c r="LA29" s="271"/>
      <c r="LB29" s="271"/>
      <c r="LC29" s="271"/>
      <c r="LD29" s="271"/>
      <c r="LE29" s="271"/>
      <c r="LF29" s="271"/>
      <c r="LG29" s="271"/>
      <c r="LH29" s="271"/>
      <c r="LI29" s="271"/>
      <c r="LJ29" s="271"/>
      <c r="LK29" s="271"/>
      <c r="LL29" s="271"/>
      <c r="LM29" s="271"/>
      <c r="LN29" s="271"/>
      <c r="LO29" s="271"/>
      <c r="LP29" s="271"/>
      <c r="LQ29" s="271"/>
      <c r="LR29" s="271"/>
      <c r="LS29" s="271"/>
      <c r="LT29" s="271"/>
      <c r="LU29" s="271"/>
      <c r="LV29" s="271"/>
      <c r="LW29" s="271"/>
      <c r="LX29" s="271"/>
      <c r="LY29" s="271"/>
      <c r="LZ29" s="271"/>
      <c r="MA29" s="271"/>
      <c r="MB29" s="271"/>
      <c r="MC29" s="271"/>
      <c r="MD29" s="271"/>
      <c r="ME29" s="271"/>
      <c r="MF29" s="271"/>
      <c r="MG29" s="271"/>
      <c r="MH29" s="271"/>
      <c r="MI29" s="271"/>
      <c r="MJ29" s="271"/>
      <c r="MK29" s="271"/>
      <c r="ML29" s="271"/>
      <c r="MM29" s="271"/>
      <c r="MN29" s="271"/>
      <c r="MO29" s="271"/>
      <c r="MP29" s="271"/>
      <c r="MQ29" s="271"/>
      <c r="MR29" s="271"/>
      <c r="MS29" s="271"/>
      <c r="MT29" s="271"/>
      <c r="MU29" s="271"/>
      <c r="MV29" s="271"/>
      <c r="MW29" s="271"/>
      <c r="MX29" s="271"/>
      <c r="MY29" s="271"/>
      <c r="MZ29" s="271"/>
      <c r="NA29" s="271"/>
      <c r="NB29" s="271"/>
      <c r="NC29" s="271"/>
      <c r="ND29" s="271"/>
      <c r="NE29" s="271"/>
      <c r="NF29" s="271"/>
      <c r="NG29" s="271"/>
      <c r="NH29" s="271"/>
      <c r="NI29" s="271"/>
      <c r="NJ29" s="271"/>
      <c r="NK29" s="271"/>
      <c r="NL29" s="271"/>
      <c r="NM29" s="271"/>
      <c r="NN29" s="271"/>
      <c r="NO29" s="271"/>
      <c r="NP29" s="271"/>
      <c r="NQ29" s="271"/>
      <c r="NR29" s="271"/>
      <c r="NS29" s="271"/>
      <c r="NT29" s="271"/>
      <c r="NU29" s="271"/>
      <c r="NV29" s="271"/>
      <c r="NW29" s="271"/>
      <c r="NX29" s="271"/>
      <c r="NY29" s="271"/>
      <c r="NZ29" s="271"/>
      <c r="OA29" s="271"/>
      <c r="OB29" s="271"/>
      <c r="OC29" s="271"/>
      <c r="OD29" s="271"/>
      <c r="OE29" s="271"/>
      <c r="OF29" s="271"/>
      <c r="OG29" s="271"/>
      <c r="OH29" s="271"/>
      <c r="OI29" s="271"/>
      <c r="OJ29" s="271"/>
      <c r="OK29" s="271"/>
      <c r="OL29" s="271"/>
      <c r="OM29" s="271"/>
      <c r="ON29" s="271"/>
      <c r="OO29" s="271"/>
      <c r="OP29" s="271"/>
      <c r="OQ29" s="271"/>
      <c r="OR29" s="271"/>
      <c r="OS29" s="271"/>
      <c r="OT29" s="271"/>
      <c r="OU29" s="271"/>
      <c r="OV29" s="271"/>
      <c r="OW29" s="271"/>
      <c r="OX29" s="271"/>
      <c r="OY29" s="271"/>
      <c r="OZ29" s="271"/>
      <c r="PA29" s="271"/>
      <c r="PB29" s="271"/>
      <c r="PC29" s="271"/>
      <c r="PD29" s="271"/>
      <c r="PE29" s="271"/>
      <c r="PF29" s="271"/>
      <c r="PG29" s="271"/>
      <c r="PH29" s="271"/>
      <c r="PI29" s="271"/>
      <c r="PJ29" s="271"/>
      <c r="PK29" s="271"/>
      <c r="PL29" s="271"/>
      <c r="PM29" s="271"/>
      <c r="PN29" s="271"/>
      <c r="PO29" s="271"/>
      <c r="PP29" s="271"/>
      <c r="PQ29" s="271"/>
      <c r="PR29" s="271"/>
      <c r="PS29" s="271"/>
      <c r="PT29" s="271"/>
      <c r="PU29" s="271"/>
      <c r="PV29" s="271"/>
      <c r="PW29" s="271"/>
      <c r="PX29" s="271"/>
      <c r="PY29" s="271"/>
      <c r="PZ29" s="271"/>
      <c r="QA29" s="271"/>
      <c r="QB29" s="271"/>
      <c r="QC29" s="271"/>
      <c r="QD29" s="271"/>
      <c r="QE29" s="271"/>
      <c r="QF29" s="271"/>
      <c r="QG29" s="271"/>
      <c r="QH29" s="271"/>
      <c r="QI29" s="271"/>
      <c r="QJ29" s="271"/>
      <c r="QK29" s="271"/>
      <c r="QL29" s="271"/>
      <c r="QM29" s="271"/>
      <c r="QN29" s="271"/>
      <c r="QO29" s="271"/>
      <c r="QP29" s="271"/>
      <c r="QQ29" s="271"/>
      <c r="QR29" s="271"/>
      <c r="QS29" s="271"/>
      <c r="QT29" s="271"/>
      <c r="QU29" s="271"/>
      <c r="QV29" s="271"/>
      <c r="QW29" s="271"/>
      <c r="QX29" s="271"/>
      <c r="QY29" s="271"/>
      <c r="QZ29" s="271"/>
      <c r="RA29" s="271"/>
      <c r="RB29" s="271"/>
      <c r="RC29" s="271"/>
      <c r="RD29" s="271"/>
      <c r="RE29" s="271"/>
      <c r="RF29" s="271"/>
      <c r="RG29" s="271"/>
      <c r="RH29" s="271"/>
      <c r="RI29" s="271"/>
      <c r="RJ29" s="271"/>
      <c r="RK29" s="271"/>
      <c r="RL29" s="271"/>
      <c r="RM29" s="271"/>
      <c r="RN29" s="271"/>
      <c r="RO29" s="271"/>
      <c r="RP29" s="271"/>
      <c r="RQ29" s="271"/>
      <c r="RR29" s="271"/>
      <c r="RS29" s="271"/>
      <c r="RT29" s="271"/>
      <c r="RU29" s="271"/>
      <c r="RV29" s="271"/>
      <c r="RW29" s="271"/>
      <c r="RX29" s="271"/>
      <c r="RY29" s="271"/>
      <c r="RZ29" s="271"/>
      <c r="SA29" s="271"/>
      <c r="SB29" s="271"/>
      <c r="SC29" s="271"/>
      <c r="SD29" s="271"/>
      <c r="SE29" s="271"/>
      <c r="SF29" s="271"/>
      <c r="SG29" s="271"/>
      <c r="SH29" s="271"/>
      <c r="SI29" s="271"/>
      <c r="SJ29" s="271"/>
      <c r="SK29" s="271"/>
      <c r="SL29" s="271"/>
      <c r="SM29" s="271"/>
      <c r="SN29" s="271"/>
      <c r="SO29" s="271"/>
      <c r="SP29" s="271"/>
      <c r="SQ29" s="271"/>
      <c r="SR29" s="271"/>
      <c r="SS29" s="271"/>
      <c r="ST29" s="271"/>
      <c r="SU29" s="271"/>
      <c r="SV29" s="271"/>
      <c r="SW29" s="271"/>
      <c r="SX29" s="271"/>
      <c r="SY29" s="271"/>
      <c r="SZ29" s="271"/>
      <c r="TA29" s="271"/>
      <c r="TB29" s="271"/>
      <c r="TC29" s="271"/>
      <c r="TD29" s="271"/>
      <c r="TE29" s="271"/>
      <c r="TF29" s="271"/>
      <c r="TG29" s="271"/>
      <c r="TH29" s="271"/>
      <c r="TI29" s="271"/>
      <c r="TJ29" s="271"/>
      <c r="TK29" s="271"/>
      <c r="TL29" s="271"/>
      <c r="TM29" s="271"/>
      <c r="TN29" s="271"/>
      <c r="TO29" s="271"/>
      <c r="TP29" s="271"/>
      <c r="TQ29" s="271"/>
      <c r="TR29" s="271"/>
      <c r="TS29" s="271"/>
      <c r="TT29" s="271"/>
      <c r="TU29" s="271"/>
      <c r="TV29" s="271"/>
      <c r="TW29" s="271"/>
      <c r="TX29" s="271"/>
      <c r="TY29" s="271"/>
      <c r="TZ29" s="271"/>
      <c r="UA29" s="271"/>
      <c r="UB29" s="271"/>
      <c r="UC29" s="271"/>
      <c r="UD29" s="271"/>
      <c r="UE29" s="271"/>
      <c r="UF29" s="271"/>
      <c r="UG29" s="271"/>
      <c r="UH29" s="271"/>
      <c r="UI29" s="271"/>
      <c r="UJ29" s="271"/>
      <c r="UK29" s="271"/>
      <c r="UL29" s="271"/>
      <c r="UM29" s="271"/>
      <c r="UN29" s="271"/>
      <c r="UO29" s="271"/>
      <c r="UP29" s="271"/>
      <c r="UQ29" s="271"/>
      <c r="UR29" s="271"/>
      <c r="US29" s="271"/>
      <c r="UT29" s="271"/>
      <c r="UU29" s="271"/>
      <c r="UV29" s="271"/>
      <c r="UW29" s="271"/>
      <c r="UX29" s="271"/>
      <c r="UY29" s="271"/>
      <c r="UZ29" s="271"/>
      <c r="VA29" s="271"/>
      <c r="VB29" s="271"/>
      <c r="VC29" s="271"/>
      <c r="VD29" s="271"/>
      <c r="VE29" s="271"/>
      <c r="VF29" s="271"/>
      <c r="VG29" s="271"/>
      <c r="VH29" s="271"/>
      <c r="VI29" s="271"/>
      <c r="VJ29" s="271"/>
      <c r="VK29" s="271"/>
      <c r="VL29" s="271"/>
      <c r="VM29" s="271"/>
      <c r="VN29" s="271"/>
      <c r="VO29" s="271"/>
      <c r="VP29" s="271"/>
      <c r="VQ29" s="271"/>
      <c r="VR29" s="271"/>
      <c r="VS29" s="271"/>
      <c r="VT29" s="271"/>
      <c r="VU29" s="271"/>
      <c r="VV29" s="271"/>
      <c r="VW29" s="271"/>
      <c r="VX29" s="271"/>
      <c r="VY29" s="271"/>
      <c r="VZ29" s="271"/>
      <c r="WA29" s="271"/>
      <c r="WB29" s="271"/>
      <c r="WC29" s="271"/>
      <c r="WD29" s="271"/>
      <c r="WE29" s="271"/>
      <c r="WF29" s="271"/>
      <c r="WG29" s="271"/>
      <c r="WH29" s="271"/>
      <c r="WI29" s="271"/>
      <c r="WJ29" s="271"/>
      <c r="WK29" s="271"/>
      <c r="WL29" s="271"/>
      <c r="WM29" s="271"/>
      <c r="WN29" s="271"/>
      <c r="WO29" s="271"/>
      <c r="WP29" s="271"/>
      <c r="WQ29" s="271"/>
      <c r="WR29" s="271"/>
      <c r="WS29" s="271"/>
      <c r="WT29" s="271"/>
      <c r="WU29" s="271"/>
      <c r="WV29" s="271"/>
      <c r="WW29" s="271"/>
      <c r="WX29" s="271"/>
      <c r="WY29" s="271"/>
      <c r="WZ29" s="271"/>
      <c r="XA29" s="271"/>
      <c r="XB29" s="271"/>
      <c r="XC29" s="271"/>
      <c r="XD29" s="271"/>
      <c r="XE29" s="271"/>
      <c r="XF29" s="271"/>
      <c r="XG29" s="271"/>
      <c r="XH29" s="271"/>
      <c r="XI29" s="271"/>
      <c r="XJ29" s="271"/>
      <c r="XK29" s="271"/>
      <c r="XL29" s="271"/>
      <c r="XM29" s="271"/>
      <c r="XN29" s="271"/>
      <c r="XO29" s="271"/>
      <c r="XP29" s="271"/>
      <c r="XQ29" s="271"/>
      <c r="XR29" s="271"/>
      <c r="XS29" s="271"/>
      <c r="XT29" s="271"/>
      <c r="XU29" s="271"/>
      <c r="XV29" s="271"/>
      <c r="XW29" s="271"/>
      <c r="XX29" s="271"/>
      <c r="XY29" s="271"/>
      <c r="XZ29" s="271"/>
      <c r="YA29" s="271"/>
      <c r="YB29" s="271"/>
      <c r="YC29" s="271"/>
      <c r="YD29" s="271"/>
      <c r="YE29" s="271"/>
      <c r="YF29" s="271"/>
      <c r="YG29" s="271"/>
      <c r="YH29" s="271"/>
      <c r="YI29" s="271"/>
      <c r="YJ29" s="271"/>
      <c r="YK29" s="271"/>
      <c r="YL29" s="271"/>
      <c r="YM29" s="271"/>
      <c r="YN29" s="271"/>
      <c r="YO29" s="271"/>
      <c r="YP29" s="271"/>
      <c r="YQ29" s="271"/>
      <c r="YR29" s="271"/>
      <c r="YS29" s="271"/>
      <c r="YT29" s="271"/>
      <c r="YU29" s="271"/>
      <c r="YV29" s="271"/>
      <c r="YW29" s="271"/>
      <c r="YX29" s="271"/>
      <c r="YY29" s="271"/>
      <c r="YZ29" s="271"/>
      <c r="ZA29" s="271"/>
      <c r="ZB29" s="271"/>
      <c r="ZC29" s="271"/>
      <c r="ZD29" s="271"/>
      <c r="ZE29" s="271"/>
      <c r="ZF29" s="271"/>
      <c r="ZG29" s="271"/>
      <c r="ZH29" s="271"/>
      <c r="ZI29" s="271"/>
      <c r="ZJ29" s="271"/>
      <c r="ZK29" s="271"/>
      <c r="ZL29" s="271"/>
      <c r="ZM29" s="271"/>
      <c r="ZN29" s="271"/>
      <c r="ZO29" s="271"/>
      <c r="ZP29" s="271"/>
      <c r="ZQ29" s="271"/>
      <c r="ZR29" s="271"/>
      <c r="ZS29" s="271"/>
      <c r="ZT29" s="271"/>
      <c r="ZU29" s="271"/>
      <c r="ZV29" s="271"/>
      <c r="ZW29" s="271"/>
      <c r="ZX29" s="271"/>
      <c r="ZY29" s="271"/>
      <c r="ZZ29" s="271"/>
      <c r="AAA29" s="271"/>
      <c r="AAB29" s="271"/>
      <c r="AAC29" s="271"/>
      <c r="AAD29" s="271"/>
      <c r="AAE29" s="271"/>
      <c r="AAF29" s="271"/>
      <c r="AAG29" s="271"/>
      <c r="AAH29" s="271"/>
      <c r="AAI29" s="271"/>
      <c r="AAJ29" s="271"/>
      <c r="AAK29" s="271"/>
      <c r="AAL29" s="271"/>
      <c r="AAM29" s="271"/>
      <c r="AAN29" s="271"/>
      <c r="AAO29" s="271"/>
      <c r="AAP29" s="271"/>
      <c r="AAQ29" s="271"/>
      <c r="AAR29" s="271"/>
      <c r="AAS29" s="271"/>
      <c r="AAT29" s="271"/>
      <c r="AAU29" s="271"/>
      <c r="AAV29" s="271"/>
      <c r="AAW29" s="271"/>
      <c r="AAX29" s="271"/>
      <c r="AAY29" s="271"/>
      <c r="AAZ29" s="271"/>
      <c r="ABA29" s="271"/>
      <c r="ABB29" s="271"/>
      <c r="ABC29" s="271"/>
      <c r="ABD29" s="271"/>
      <c r="ABE29" s="271"/>
      <c r="ABF29" s="271"/>
      <c r="ABG29" s="271"/>
      <c r="ABH29" s="271"/>
      <c r="ABI29" s="271"/>
      <c r="ABJ29" s="271"/>
      <c r="ABK29" s="271"/>
      <c r="ABL29" s="271"/>
      <c r="ABM29" s="271"/>
      <c r="ABN29" s="271"/>
      <c r="ABO29" s="271"/>
      <c r="ABP29" s="271"/>
      <c r="ABQ29" s="271"/>
      <c r="ABR29" s="271"/>
      <c r="ABS29" s="271"/>
      <c r="ABT29" s="271"/>
      <c r="ABU29" s="271"/>
      <c r="ABV29" s="271"/>
      <c r="ABW29" s="271"/>
      <c r="ABX29" s="271"/>
      <c r="ABY29" s="271"/>
      <c r="ABZ29" s="271"/>
      <c r="ACA29" s="271"/>
      <c r="ACB29" s="271"/>
      <c r="ACC29" s="271"/>
      <c r="ACD29" s="271"/>
      <c r="ACE29" s="271"/>
      <c r="ACF29" s="271"/>
      <c r="ACG29" s="271"/>
      <c r="ACH29" s="271"/>
      <c r="ACI29" s="271"/>
      <c r="ACJ29" s="271"/>
      <c r="ACK29" s="271"/>
      <c r="ACL29" s="271"/>
      <c r="ACM29" s="271"/>
      <c r="ACN29" s="271"/>
      <c r="ACO29" s="271"/>
      <c r="ACP29" s="271"/>
      <c r="ACQ29" s="271"/>
      <c r="ACR29" s="271"/>
      <c r="ACS29" s="271"/>
      <c r="ACT29" s="271"/>
      <c r="ACU29" s="271"/>
      <c r="ACV29" s="271"/>
      <c r="ACW29" s="271"/>
      <c r="ACX29" s="271"/>
      <c r="ACY29" s="271"/>
      <c r="ACZ29" s="271"/>
      <c r="ADA29" s="271"/>
      <c r="ADB29" s="271"/>
      <c r="ADC29" s="271"/>
      <c r="ADD29" s="271"/>
      <c r="ADE29" s="271"/>
      <c r="ADF29" s="271"/>
      <c r="ADG29" s="271"/>
      <c r="ADH29" s="271"/>
      <c r="ADI29" s="271"/>
      <c r="ADJ29" s="271"/>
      <c r="ADK29" s="271"/>
      <c r="ADL29" s="271"/>
      <c r="ADM29" s="271"/>
      <c r="ADN29" s="271"/>
      <c r="ADO29" s="271"/>
      <c r="ADP29" s="271"/>
      <c r="ADQ29" s="271"/>
      <c r="ADR29" s="271"/>
      <c r="ADS29" s="271"/>
      <c r="ADT29" s="271"/>
      <c r="ADU29" s="271"/>
      <c r="ADV29" s="271"/>
      <c r="ADW29" s="271"/>
      <c r="ADX29" s="271"/>
      <c r="ADY29" s="271"/>
      <c r="ADZ29" s="271"/>
      <c r="AEA29" s="271"/>
      <c r="AEB29" s="271"/>
      <c r="AEC29" s="271"/>
      <c r="AED29" s="271"/>
      <c r="AEE29" s="271"/>
      <c r="AEF29" s="271"/>
      <c r="AEG29" s="271"/>
      <c r="AEH29" s="271"/>
      <c r="AEI29" s="271"/>
      <c r="AEJ29" s="271"/>
      <c r="AEK29" s="271"/>
      <c r="AEL29" s="271"/>
      <c r="AEM29" s="271"/>
      <c r="AEN29" s="271"/>
      <c r="AEO29" s="271"/>
      <c r="AEP29" s="271"/>
      <c r="AEQ29" s="271"/>
      <c r="AER29" s="271"/>
      <c r="AES29" s="271"/>
      <c r="AET29" s="271"/>
      <c r="AEU29" s="271"/>
      <c r="AEV29" s="271"/>
      <c r="AEW29" s="271"/>
      <c r="AEX29" s="271"/>
      <c r="AEY29" s="271"/>
      <c r="AEZ29" s="271"/>
      <c r="AFA29" s="271"/>
      <c r="AFB29" s="271"/>
      <c r="AFC29" s="271"/>
      <c r="AFD29" s="271"/>
      <c r="AFE29" s="271"/>
      <c r="AFF29" s="271"/>
      <c r="AFG29" s="271"/>
      <c r="AFH29" s="271"/>
      <c r="AFI29" s="271"/>
      <c r="AFJ29" s="271"/>
      <c r="AFK29" s="271"/>
      <c r="AFL29" s="271"/>
      <c r="AFM29" s="271"/>
      <c r="AFN29" s="271"/>
      <c r="AFO29" s="271"/>
      <c r="AFP29" s="271"/>
      <c r="AFQ29" s="271"/>
      <c r="AFR29" s="271"/>
      <c r="AFS29" s="271"/>
      <c r="AFT29" s="271"/>
      <c r="AFU29" s="271"/>
      <c r="AFV29" s="271"/>
      <c r="AFW29" s="271"/>
      <c r="AFX29" s="271"/>
      <c r="AFY29" s="271"/>
      <c r="AFZ29" s="271"/>
      <c r="AGA29" s="271"/>
      <c r="AGB29" s="271"/>
      <c r="AGC29" s="271"/>
      <c r="AGD29" s="271"/>
      <c r="AGE29" s="271"/>
      <c r="AGF29" s="271"/>
      <c r="AGG29" s="271"/>
      <c r="AGH29" s="271"/>
      <c r="AGI29" s="271"/>
      <c r="AGJ29" s="271"/>
      <c r="AGK29" s="271"/>
      <c r="AGL29" s="271"/>
      <c r="AGM29" s="271"/>
      <c r="AGN29" s="271"/>
      <c r="AGO29" s="271"/>
      <c r="AGP29" s="271"/>
      <c r="AGQ29" s="271"/>
      <c r="AGR29" s="271"/>
      <c r="AGS29" s="271"/>
      <c r="AGT29" s="271"/>
      <c r="AGU29" s="271"/>
      <c r="AGV29" s="271"/>
      <c r="AGW29" s="271"/>
      <c r="AGX29" s="271"/>
      <c r="AGY29" s="271"/>
      <c r="AGZ29" s="271"/>
      <c r="AHA29" s="271"/>
      <c r="AHB29" s="271"/>
      <c r="AHC29" s="271"/>
      <c r="AHD29" s="271"/>
      <c r="AHE29" s="271"/>
      <c r="AHF29" s="271"/>
      <c r="AHG29" s="271"/>
      <c r="AHH29" s="271"/>
      <c r="AHI29" s="271"/>
      <c r="AHJ29" s="271"/>
      <c r="AHK29" s="271"/>
      <c r="AHL29" s="271"/>
      <c r="AHM29" s="271"/>
      <c r="AHN29" s="271"/>
      <c r="AHO29" s="271"/>
      <c r="AHP29" s="271"/>
      <c r="AHQ29" s="271"/>
      <c r="AHR29" s="271"/>
      <c r="AHS29" s="271"/>
      <c r="AHT29" s="271"/>
      <c r="AHU29" s="271"/>
      <c r="AHV29" s="271"/>
      <c r="AHW29" s="271"/>
      <c r="AHX29" s="271"/>
      <c r="AHY29" s="271"/>
      <c r="AHZ29" s="271"/>
      <c r="AIA29" s="271"/>
      <c r="AIB29" s="271"/>
      <c r="AIC29" s="271"/>
      <c r="AID29" s="271"/>
      <c r="AIE29" s="271"/>
      <c r="AIF29" s="271"/>
      <c r="AIG29" s="271"/>
      <c r="AIH29" s="271"/>
      <c r="AII29" s="271"/>
      <c r="AIJ29" s="271"/>
      <c r="AIK29" s="271"/>
      <c r="AIL29" s="271"/>
      <c r="AIM29" s="271"/>
      <c r="AIN29" s="271"/>
      <c r="AIO29" s="271"/>
      <c r="AIP29" s="271"/>
      <c r="AIQ29" s="271"/>
      <c r="AIR29" s="271"/>
      <c r="AIS29" s="271"/>
      <c r="AIT29" s="271"/>
      <c r="AIU29" s="271"/>
      <c r="AIV29" s="271"/>
      <c r="AIW29" s="271"/>
      <c r="AIX29" s="271"/>
      <c r="AIY29" s="271"/>
      <c r="AIZ29" s="271"/>
      <c r="AJA29" s="271"/>
      <c r="AJB29" s="271"/>
      <c r="AJC29" s="271"/>
      <c r="AJD29" s="271"/>
      <c r="AJE29" s="271"/>
      <c r="AJF29" s="271"/>
      <c r="AJG29" s="271"/>
      <c r="AJH29" s="271"/>
      <c r="AJI29" s="271"/>
      <c r="AJJ29" s="271"/>
      <c r="AJK29" s="271"/>
      <c r="AJL29" s="271"/>
      <c r="AJM29" s="271"/>
      <c r="AJN29" s="271"/>
      <c r="AJO29" s="271"/>
      <c r="AJP29" s="271"/>
      <c r="AJQ29" s="271"/>
      <c r="AJR29" s="271"/>
      <c r="AJS29" s="271"/>
      <c r="AJT29" s="271"/>
      <c r="AJU29" s="271"/>
      <c r="AJV29" s="271"/>
      <c r="AJW29" s="271"/>
      <c r="AJX29" s="271"/>
      <c r="AJY29" s="271"/>
      <c r="AJZ29" s="271"/>
      <c r="AKA29" s="271"/>
      <c r="AKB29" s="271"/>
      <c r="AKC29" s="271"/>
      <c r="AKD29" s="271"/>
      <c r="AKE29" s="271"/>
      <c r="AKF29" s="271"/>
      <c r="AKG29" s="271"/>
      <c r="AKH29" s="271"/>
      <c r="AKI29" s="271"/>
      <c r="AKJ29" s="271"/>
      <c r="AKK29" s="271"/>
      <c r="AKL29" s="271"/>
      <c r="AKM29" s="271"/>
      <c r="AKN29" s="271"/>
      <c r="AKO29" s="271"/>
      <c r="AKP29" s="271"/>
      <c r="AKQ29" s="271"/>
      <c r="AKR29" s="271"/>
      <c r="AKS29" s="271"/>
      <c r="AKT29" s="271"/>
      <c r="AKU29" s="271"/>
      <c r="AKV29" s="271"/>
      <c r="AKW29" s="271"/>
      <c r="AKX29" s="271"/>
      <c r="AKY29" s="271"/>
      <c r="AKZ29" s="271"/>
      <c r="ALA29" s="271"/>
      <c r="ALB29" s="271"/>
      <c r="ALC29" s="271"/>
      <c r="ALD29" s="271"/>
      <c r="ALE29" s="271"/>
      <c r="ALF29" s="271"/>
      <c r="ALG29" s="271"/>
      <c r="ALH29" s="271"/>
      <c r="ALI29" s="271"/>
      <c r="ALJ29" s="271"/>
      <c r="ALK29" s="271"/>
      <c r="ALL29" s="271"/>
      <c r="ALM29" s="271"/>
      <c r="ALN29" s="271"/>
      <c r="ALO29" s="271"/>
      <c r="ALP29" s="271"/>
      <c r="ALQ29" s="271"/>
      <c r="ALR29" s="271"/>
      <c r="ALS29" s="271"/>
      <c r="ALT29" s="271"/>
      <c r="ALU29" s="271"/>
      <c r="ALV29" s="271"/>
      <c r="ALW29" s="271"/>
      <c r="ALX29" s="271"/>
      <c r="ALY29" s="271"/>
      <c r="ALZ29" s="271"/>
      <c r="AMA29" s="271"/>
      <c r="AMB29" s="271"/>
      <c r="AMC29" s="271"/>
      <c r="AMD29" s="271"/>
    </row>
  </sheetData>
  <sheetProtection sheet="1" algorithmName="SHA-512" hashValue="o37mCH4fSjoe3f5Y/ElYe/TVCp9OypmH3kvbaSrAiBmsX/CzK33W+Vjf4Zzoz7husjVqrnF0D8hNz6iD73ni0A==" saltValue="bBEGHuHNrUWmrrR5nW+1Dg==" spinCount="100000" objects="1" scenarios="1"/>
  <mergeCells count="24">
    <mergeCell ref="A1:H1"/>
    <mergeCell ref="B8:C9"/>
    <mergeCell ref="D8:F8"/>
    <mergeCell ref="A8:A9"/>
    <mergeCell ref="G8:G9"/>
    <mergeCell ref="H8:H9"/>
    <mergeCell ref="I8:I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I27"/>
    <mergeCell ref="B28:C28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55" fitToWidth="1" fitToHeight="1" firstPageNumber="1" useFirstPageNumber="1" copies="1"/>
  <headerFoot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 zoomScale="40" zoomScaleNormal="70" view="pageBreakPreview">
      <selection activeCell="D45" sqref="D45"/>
    </sheetView>
  </sheetViews>
  <sheetFormatPr defaultRowHeight="24" outlineLevelRow="0" outlineLevelCol="0" x14ac:dyDescent="0" defaultColWidth="10" customHeight="1"/>
  <cols>
    <col min="1" max="1" width="18.08984375" style="288" customWidth="1"/>
    <col min="2" max="2" width="18.6328125" style="288" customWidth="1"/>
    <col min="3" max="3" width="79.26953125" style="288" customWidth="1"/>
    <col min="4" max="11" width="24" style="288" customWidth="1"/>
    <col min="12" max="12" width="31.1796875" style="288" customWidth="1"/>
    <col min="13" max="14" width="25.7265625" style="288" customWidth="1"/>
    <col min="15" max="16384" width="10" style="288" customWidth="1"/>
  </cols>
  <sheetData>
    <row r="1" ht="39.75" customHeight="1" spans="1:14" x14ac:dyDescent="0.25">
      <c r="A1" s="289" t="s">
        <v>726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90" t="s">
        <v>52</v>
      </c>
    </row>
    <row r="2" ht="31.5" customHeight="1" x14ac:dyDescent="0.25"/>
    <row r="3" ht="25" customHeight="1" spans="1:12" s="291" customFormat="1" x14ac:dyDescent="0.25">
      <c r="A3" s="292"/>
      <c r="B3" s="293"/>
      <c r="E3" s="294"/>
      <c r="F3" s="294"/>
      <c r="G3" s="294"/>
      <c r="H3" s="294"/>
      <c r="I3" s="294"/>
      <c r="J3" s="294"/>
      <c r="K3" s="294"/>
      <c r="L3" s="294"/>
    </row>
    <row r="4" ht="9.75" customHeight="1" spans="1:2" s="291" customFormat="1" x14ac:dyDescent="0.25">
      <c r="A4" s="295"/>
      <c r="B4" s="296"/>
    </row>
    <row r="5" ht="25" customHeight="1" spans="1:2" s="291" customFormat="1" x14ac:dyDescent="0.25">
      <c r="A5" s="295"/>
      <c r="B5" s="296"/>
    </row>
    <row r="6" ht="25" customHeight="1" spans="1:2" s="291" customFormat="1" x14ac:dyDescent="0.25">
      <c r="A6" s="292"/>
      <c r="B6" s="296"/>
    </row>
    <row r="7" ht="13.5" customHeight="1" spans="1:16" x14ac:dyDescent="0.25">
      <c r="A7" s="288"/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</row>
    <row r="8" ht="39" customHeight="1" spans="1:14" s="297" customFormat="1" x14ac:dyDescent="0.25">
      <c r="A8" s="298" t="s">
        <v>113</v>
      </c>
      <c r="B8" s="298" t="s">
        <v>145</v>
      </c>
      <c r="C8" s="298"/>
      <c r="D8" s="299" t="s">
        <v>727</v>
      </c>
      <c r="E8" s="299"/>
      <c r="F8" s="299"/>
      <c r="G8" s="300" t="s">
        <v>728</v>
      </c>
      <c r="H8" s="300"/>
      <c r="I8" s="300"/>
      <c r="J8" s="300"/>
      <c r="K8" s="300"/>
      <c r="L8" s="298" t="s">
        <v>729</v>
      </c>
      <c r="M8" s="298" t="s">
        <v>691</v>
      </c>
      <c r="N8" s="298" t="s">
        <v>693</v>
      </c>
    </row>
    <row r="9" ht="77.25" customHeight="1" spans="1:14" s="297" customFormat="1" x14ac:dyDescent="0.25">
      <c r="A9" s="298"/>
      <c r="B9" s="298"/>
      <c r="C9" s="298"/>
      <c r="D9" s="301"/>
      <c r="E9" s="302" t="s">
        <v>694</v>
      </c>
      <c r="F9" s="302" t="s">
        <v>695</v>
      </c>
      <c r="G9" s="303">
        <v>0.1</v>
      </c>
      <c r="H9" s="303">
        <v>0.2</v>
      </c>
      <c r="I9" s="303">
        <v>0.5</v>
      </c>
      <c r="J9" s="303">
        <v>0.75</v>
      </c>
      <c r="K9" s="303">
        <v>1</v>
      </c>
      <c r="L9" s="298"/>
      <c r="M9" s="298"/>
      <c r="N9" s="298"/>
    </row>
    <row r="10" ht="122.25" customHeight="1" spans="1:14" s="297" customFormat="1" x14ac:dyDescent="0.25">
      <c r="A10" s="304"/>
      <c r="B10" s="304"/>
      <c r="C10" s="304"/>
      <c r="D10" s="299" t="s">
        <v>154</v>
      </c>
      <c r="E10" s="299" t="s">
        <v>157</v>
      </c>
      <c r="F10" s="299" t="s">
        <v>160</v>
      </c>
      <c r="G10" s="299" t="s">
        <v>164</v>
      </c>
      <c r="H10" s="299" t="s">
        <v>321</v>
      </c>
      <c r="I10" s="299" t="s">
        <v>329</v>
      </c>
      <c r="J10" s="299" t="s">
        <v>331</v>
      </c>
      <c r="K10" s="299" t="s">
        <v>333</v>
      </c>
      <c r="L10" s="299" t="s">
        <v>730</v>
      </c>
      <c r="M10" s="299" t="s">
        <v>421</v>
      </c>
      <c r="N10" s="299" t="s">
        <v>731</v>
      </c>
    </row>
    <row r="11" ht="33" customHeight="1" spans="1:14" s="305" customFormat="1" x14ac:dyDescent="0.25">
      <c r="A11" s="306"/>
      <c r="B11" s="307" t="s">
        <v>732</v>
      </c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</row>
    <row r="12" ht="34.5" customHeight="1" spans="1:14" x14ac:dyDescent="0.25">
      <c r="A12" s="308" t="s">
        <v>733</v>
      </c>
      <c r="B12" s="309" t="s">
        <v>650</v>
      </c>
      <c r="C12" s="309"/>
      <c r="D12" s="310"/>
      <c r="E12" s="310"/>
      <c r="F12" s="310"/>
      <c r="G12" s="310"/>
      <c r="H12" s="310"/>
      <c r="I12" s="310"/>
      <c r="J12" s="310"/>
      <c r="K12" s="310"/>
      <c r="L12" s="310">
        <v>0</v>
      </c>
      <c r="M12" s="310"/>
      <c r="N12" s="310">
        <v>0</v>
      </c>
    </row>
    <row r="13" ht="51" customHeight="1" spans="1:14" x14ac:dyDescent="0.25">
      <c r="A13" s="308" t="s">
        <v>734</v>
      </c>
      <c r="B13" s="311" t="s">
        <v>652</v>
      </c>
      <c r="C13" s="311"/>
      <c r="D13" s="312"/>
      <c r="E13" s="312"/>
      <c r="F13" s="312"/>
      <c r="G13" s="312"/>
      <c r="H13" s="312"/>
      <c r="I13" s="312"/>
      <c r="J13" s="312"/>
      <c r="K13" s="312"/>
      <c r="L13" s="312">
        <v>0</v>
      </c>
      <c r="M13" s="312"/>
      <c r="N13" s="312">
        <v>0</v>
      </c>
    </row>
    <row r="14" ht="45.75" customHeight="1" spans="1:14" x14ac:dyDescent="0.25">
      <c r="A14" s="308" t="s">
        <v>735</v>
      </c>
      <c r="B14" s="311" t="s">
        <v>702</v>
      </c>
      <c r="C14" s="311"/>
      <c r="D14" s="312"/>
      <c r="E14" s="312"/>
      <c r="F14" s="312"/>
      <c r="G14" s="312"/>
      <c r="H14" s="312"/>
      <c r="I14" s="312"/>
      <c r="J14" s="312"/>
      <c r="K14" s="312"/>
      <c r="L14" s="312">
        <v>0</v>
      </c>
      <c r="M14" s="312"/>
      <c r="N14" s="312">
        <v>0</v>
      </c>
    </row>
    <row r="15" ht="34.5" customHeight="1" spans="1:14" x14ac:dyDescent="0.25">
      <c r="A15" s="308" t="s">
        <v>736</v>
      </c>
      <c r="B15" s="311" t="s">
        <v>656</v>
      </c>
      <c r="C15" s="311"/>
      <c r="D15" s="312">
        <v>0</v>
      </c>
      <c r="E15" s="312"/>
      <c r="F15" s="312"/>
      <c r="G15" s="312"/>
      <c r="H15" s="312"/>
      <c r="I15" s="312">
        <f>D15</f>
        <v>0</v>
      </c>
      <c r="J15" s="312"/>
      <c r="K15" s="312"/>
      <c r="L15" s="312">
        <f>I15*0.5</f>
        <v>0</v>
      </c>
      <c r="M15" s="312"/>
      <c r="N15" s="312">
        <f>L15+M15</f>
        <v>0</v>
      </c>
    </row>
    <row r="16" ht="34.5" customHeight="1" spans="1:14" x14ac:dyDescent="0.25">
      <c r="A16" s="308" t="s">
        <v>737</v>
      </c>
      <c r="B16" s="311" t="s">
        <v>705</v>
      </c>
      <c r="C16" s="311"/>
      <c r="D16" s="312">
        <f>D17+D18</f>
        <v>71</v>
      </c>
      <c r="E16" s="312">
        <f t="shared" ref="E16:N16" si="0">E17+E18</f>
        <v>0</v>
      </c>
      <c r="F16" s="312">
        <f t="shared" si="0"/>
        <v>0</v>
      </c>
      <c r="G16" s="312">
        <f t="shared" si="0"/>
        <v>0</v>
      </c>
      <c r="H16" s="312">
        <f t="shared" si="0"/>
        <v>0</v>
      </c>
      <c r="I16" s="312">
        <f t="shared" si="0"/>
        <v>71</v>
      </c>
      <c r="J16" s="312">
        <f t="shared" si="0"/>
        <v>0</v>
      </c>
      <c r="K16" s="312">
        <f t="shared" si="0"/>
        <v>0</v>
      </c>
      <c r="L16" s="312">
        <f t="shared" si="0"/>
        <v>35.5</v>
      </c>
      <c r="M16" s="312">
        <f t="shared" si="0"/>
        <v>0</v>
      </c>
      <c r="N16" s="312">
        <f t="shared" si="0"/>
        <v>35.5</v>
      </c>
    </row>
    <row r="17" ht="34.5" customHeight="1" spans="1:14" x14ac:dyDescent="0.25">
      <c r="A17" s="308" t="s">
        <v>738</v>
      </c>
      <c r="B17" s="311" t="s">
        <v>707</v>
      </c>
      <c r="C17" s="311"/>
      <c r="D17" s="312"/>
      <c r="E17" s="312"/>
      <c r="F17" s="312"/>
      <c r="G17" s="312"/>
      <c r="H17" s="312"/>
      <c r="I17" s="312"/>
      <c r="J17" s="312"/>
      <c r="K17" s="312"/>
      <c r="L17" s="312">
        <v>0</v>
      </c>
      <c r="M17" s="312"/>
      <c r="N17" s="312">
        <v>0</v>
      </c>
    </row>
    <row r="18" ht="34.5" customHeight="1" spans="1:14" x14ac:dyDescent="0.25">
      <c r="A18" s="308" t="s">
        <v>739</v>
      </c>
      <c r="B18" s="311" t="s">
        <v>709</v>
      </c>
      <c r="C18" s="311"/>
      <c r="D18" s="312">
        <v>71</v>
      </c>
      <c r="E18" s="312"/>
      <c r="F18" s="312"/>
      <c r="G18" s="312"/>
      <c r="H18" s="312"/>
      <c r="I18" s="312">
        <f>D18</f>
        <v>71</v>
      </c>
      <c r="J18" s="312"/>
      <c r="K18" s="312"/>
      <c r="L18" s="312">
        <f>I18*0.5</f>
        <v>35.5</v>
      </c>
      <c r="M18" s="312"/>
      <c r="N18" s="312">
        <f>L18+M18</f>
        <v>35.5</v>
      </c>
    </row>
    <row r="19" ht="34.5" customHeight="1" spans="1:14" x14ac:dyDescent="0.25">
      <c r="A19" s="308" t="s">
        <v>740</v>
      </c>
      <c r="B19" s="311" t="s">
        <v>660</v>
      </c>
      <c r="C19" s="311"/>
      <c r="D19" s="312">
        <f>D20+D21</f>
        <v>0</v>
      </c>
      <c r="E19" s="312">
        <f t="shared" ref="E19:N19" si="1">E20+E21</f>
        <v>0</v>
      </c>
      <c r="F19" s="312">
        <f t="shared" si="1"/>
        <v>0</v>
      </c>
      <c r="G19" s="312">
        <f t="shared" si="1"/>
        <v>0</v>
      </c>
      <c r="H19" s="312">
        <f t="shared" si="1"/>
        <v>0</v>
      </c>
      <c r="I19" s="312">
        <f t="shared" si="1"/>
        <v>0</v>
      </c>
      <c r="J19" s="312">
        <f t="shared" si="1"/>
        <v>0</v>
      </c>
      <c r="K19" s="312">
        <f t="shared" si="1"/>
        <v>0</v>
      </c>
      <c r="L19" s="312">
        <f t="shared" si="1"/>
        <v>0</v>
      </c>
      <c r="M19" s="312">
        <f t="shared" si="1"/>
        <v>0</v>
      </c>
      <c r="N19" s="312">
        <f t="shared" si="1"/>
        <v>0</v>
      </c>
    </row>
    <row r="20" ht="34.5" customHeight="1" spans="1:14" x14ac:dyDescent="0.25">
      <c r="A20" s="308" t="s">
        <v>741</v>
      </c>
      <c r="B20" s="311" t="s">
        <v>713</v>
      </c>
      <c r="C20" s="311"/>
      <c r="D20" s="312"/>
      <c r="E20" s="312"/>
      <c r="F20" s="312"/>
      <c r="G20" s="312"/>
      <c r="H20" s="312"/>
      <c r="I20" s="312"/>
      <c r="J20" s="312"/>
      <c r="K20" s="312"/>
      <c r="L20" s="312">
        <v>0</v>
      </c>
      <c r="M20" s="312"/>
      <c r="N20" s="312">
        <v>0</v>
      </c>
    </row>
    <row r="21" ht="34.5" customHeight="1" spans="1:14" x14ac:dyDescent="0.25">
      <c r="A21" s="308" t="s">
        <v>742</v>
      </c>
      <c r="B21" s="311" t="s">
        <v>715</v>
      </c>
      <c r="C21" s="311"/>
      <c r="D21" s="312">
        <v>0</v>
      </c>
      <c r="E21" s="312"/>
      <c r="F21" s="312"/>
      <c r="G21" s="312"/>
      <c r="H21" s="312"/>
      <c r="I21" s="312">
        <f>D21</f>
        <v>0</v>
      </c>
      <c r="J21" s="312"/>
      <c r="K21" s="312"/>
      <c r="L21" s="312">
        <f>I21*0.5</f>
        <v>0</v>
      </c>
      <c r="M21" s="312"/>
      <c r="N21" s="312">
        <f>L21+M21</f>
        <v>0</v>
      </c>
    </row>
    <row r="22" ht="43.5" customHeight="1" spans="1:14" x14ac:dyDescent="0.25">
      <c r="A22" s="308" t="s">
        <v>743</v>
      </c>
      <c r="B22" s="311" t="s">
        <v>662</v>
      </c>
      <c r="C22" s="311"/>
      <c r="D22" s="312"/>
      <c r="E22" s="312"/>
      <c r="F22" s="312"/>
      <c r="G22" s="312"/>
      <c r="H22" s="312"/>
      <c r="I22" s="312"/>
      <c r="J22" s="312"/>
      <c r="K22" s="312"/>
      <c r="L22" s="312">
        <v>0</v>
      </c>
      <c r="M22" s="312"/>
      <c r="N22" s="312">
        <v>0</v>
      </c>
    </row>
    <row r="23" ht="48" customHeight="1" spans="1:14" x14ac:dyDescent="0.25">
      <c r="A23" s="308" t="s">
        <v>744</v>
      </c>
      <c r="B23" s="311" t="s">
        <v>664</v>
      </c>
      <c r="C23" s="311"/>
      <c r="D23" s="312">
        <f>D24+D25</f>
        <v>0</v>
      </c>
      <c r="E23" s="312">
        <f t="shared" ref="E23:N23" si="2">E24+E25</f>
        <v>0</v>
      </c>
      <c r="F23" s="312">
        <f t="shared" si="2"/>
        <v>0</v>
      </c>
      <c r="G23" s="312">
        <f t="shared" si="2"/>
        <v>0</v>
      </c>
      <c r="H23" s="312">
        <f t="shared" si="2"/>
        <v>0</v>
      </c>
      <c r="I23" s="312">
        <f t="shared" si="2"/>
        <v>0</v>
      </c>
      <c r="J23" s="312">
        <f t="shared" si="2"/>
        <v>0</v>
      </c>
      <c r="K23" s="312">
        <f t="shared" si="2"/>
        <v>0</v>
      </c>
      <c r="L23" s="312">
        <f t="shared" si="2"/>
        <v>0</v>
      </c>
      <c r="M23" s="312">
        <f t="shared" si="2"/>
        <v>0</v>
      </c>
      <c r="N23" s="312">
        <f t="shared" si="2"/>
        <v>0</v>
      </c>
    </row>
    <row r="24" ht="34.5" customHeight="1" spans="1:14" x14ac:dyDescent="0.25">
      <c r="A24" s="308" t="s">
        <v>745</v>
      </c>
      <c r="B24" s="311" t="s">
        <v>720</v>
      </c>
      <c r="C24" s="311"/>
      <c r="D24" s="312"/>
      <c r="E24" s="312"/>
      <c r="F24" s="312"/>
      <c r="G24" s="312"/>
      <c r="H24" s="312"/>
      <c r="I24" s="312"/>
      <c r="J24" s="312"/>
      <c r="K24" s="312"/>
      <c r="L24" s="312">
        <v>0</v>
      </c>
      <c r="M24" s="312"/>
      <c r="N24" s="312">
        <v>0</v>
      </c>
    </row>
    <row r="25" ht="51" customHeight="1" spans="1:14" x14ac:dyDescent="0.25">
      <c r="A25" s="308" t="s">
        <v>746</v>
      </c>
      <c r="B25" s="311" t="s">
        <v>747</v>
      </c>
      <c r="C25" s="311"/>
      <c r="D25" s="312">
        <v>0</v>
      </c>
      <c r="E25" s="312"/>
      <c r="F25" s="312"/>
      <c r="G25" s="312"/>
      <c r="H25" s="312"/>
      <c r="I25" s="312">
        <f>D25</f>
        <v>0</v>
      </c>
      <c r="J25" s="312"/>
      <c r="K25" s="312"/>
      <c r="L25" s="312">
        <f>I25*0.5</f>
        <v>0</v>
      </c>
      <c r="M25" s="312"/>
      <c r="N25" s="312">
        <f>L25+M25</f>
        <v>0</v>
      </c>
    </row>
    <row r="26" ht="34.5" customHeight="1" spans="1:14" x14ac:dyDescent="0.25">
      <c r="A26" s="308" t="s">
        <v>748</v>
      </c>
      <c r="B26" s="311" t="s">
        <v>666</v>
      </c>
      <c r="C26" s="311"/>
      <c r="D26" s="312"/>
      <c r="E26" s="312"/>
      <c r="F26" s="312"/>
      <c r="G26" s="312"/>
      <c r="H26" s="312"/>
      <c r="I26" s="312"/>
      <c r="J26" s="312"/>
      <c r="K26" s="312"/>
      <c r="L26" s="312">
        <v>0</v>
      </c>
      <c r="M26" s="312"/>
      <c r="N26" s="312">
        <v>0</v>
      </c>
    </row>
    <row r="27" ht="12.75" customHeight="1" spans="2:14" x14ac:dyDescent="0.25"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</row>
    <row r="28" ht="57" customHeight="1" spans="1:14" s="314" customFormat="1" x14ac:dyDescent="0.25">
      <c r="A28" s="315" t="s">
        <v>749</v>
      </c>
      <c r="B28" s="302" t="s">
        <v>750</v>
      </c>
      <c r="C28" s="302"/>
      <c r="D28" s="316">
        <f>D12+D13+D14+D15+D16+D19+D22+D23+D26</f>
        <v>71</v>
      </c>
      <c r="E28" s="316">
        <f t="shared" ref="E28:M28" si="3">E12+E13+E14+E15+E16+E19+E22+E23+E26</f>
        <v>0</v>
      </c>
      <c r="F28" s="316">
        <f t="shared" si="3"/>
        <v>0</v>
      </c>
      <c r="G28" s="316">
        <f t="shared" si="3"/>
        <v>0</v>
      </c>
      <c r="H28" s="316">
        <f t="shared" si="3"/>
        <v>0</v>
      </c>
      <c r="I28" s="316">
        <f t="shared" si="3"/>
        <v>71</v>
      </c>
      <c r="J28" s="316">
        <f t="shared" si="3"/>
        <v>0</v>
      </c>
      <c r="K28" s="316">
        <f t="shared" si="3"/>
        <v>0</v>
      </c>
      <c r="L28" s="316">
        <f t="shared" si="3"/>
        <v>35.5</v>
      </c>
      <c r="M28" s="316">
        <f t="shared" si="3"/>
        <v>0</v>
      </c>
      <c r="N28" s="316">
        <f>N12+N13+N14+N15+N16+N19+N22+N23+N26</f>
        <v>35.5</v>
      </c>
    </row>
    <row r="29" ht="12.75" customHeight="1" x14ac:dyDescent="0.25"/>
    <row r="30" ht="77.25" customHeight="1" spans="1:14" x14ac:dyDescent="0.25">
      <c r="A30" s="308"/>
      <c r="B30" s="302" t="s">
        <v>751</v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</row>
    <row r="31" ht="34.5" customHeight="1" spans="1:14" x14ac:dyDescent="0.25">
      <c r="A31" s="308" t="s">
        <v>752</v>
      </c>
      <c r="B31" s="311" t="s">
        <v>650</v>
      </c>
      <c r="C31" s="311"/>
      <c r="D31" s="312"/>
      <c r="E31" s="312"/>
      <c r="F31" s="312"/>
      <c r="G31" s="312"/>
      <c r="H31" s="312"/>
      <c r="I31" s="312"/>
      <c r="J31" s="312"/>
      <c r="K31" s="312"/>
      <c r="L31" s="312">
        <v>0</v>
      </c>
      <c r="M31" s="312"/>
      <c r="N31" s="312">
        <v>0</v>
      </c>
    </row>
    <row r="32" ht="52.5" customHeight="1" spans="1:14" x14ac:dyDescent="0.25">
      <c r="A32" s="308" t="s">
        <v>753</v>
      </c>
      <c r="B32" s="311" t="s">
        <v>652</v>
      </c>
      <c r="C32" s="311"/>
      <c r="D32" s="312"/>
      <c r="E32" s="312"/>
      <c r="F32" s="312"/>
      <c r="G32" s="312"/>
      <c r="H32" s="312"/>
      <c r="I32" s="312"/>
      <c r="J32" s="312"/>
      <c r="K32" s="312"/>
      <c r="L32" s="312">
        <v>0</v>
      </c>
      <c r="M32" s="312"/>
      <c r="N32" s="312">
        <v>0</v>
      </c>
    </row>
    <row r="33" ht="47.25" customHeight="1" spans="1:14" x14ac:dyDescent="0.25">
      <c r="A33" s="308" t="s">
        <v>754</v>
      </c>
      <c r="B33" s="311" t="s">
        <v>654</v>
      </c>
      <c r="C33" s="311"/>
      <c r="D33" s="312"/>
      <c r="E33" s="312"/>
      <c r="F33" s="312"/>
      <c r="G33" s="312"/>
      <c r="H33" s="312"/>
      <c r="I33" s="312"/>
      <c r="J33" s="312"/>
      <c r="K33" s="312"/>
      <c r="L33" s="312">
        <v>0</v>
      </c>
      <c r="M33" s="312"/>
      <c r="N33" s="312">
        <v>0</v>
      </c>
    </row>
    <row r="34" ht="34.5" customHeight="1" spans="1:14" x14ac:dyDescent="0.25">
      <c r="A34" s="308" t="s">
        <v>755</v>
      </c>
      <c r="B34" s="311" t="s">
        <v>656</v>
      </c>
      <c r="C34" s="311"/>
      <c r="D34" s="312">
        <v>18916</v>
      </c>
      <c r="E34" s="312"/>
      <c r="F34" s="312"/>
      <c r="G34" s="312"/>
      <c r="H34" s="312"/>
      <c r="I34" s="312">
        <f>D34</f>
        <v>18916</v>
      </c>
      <c r="J34" s="312"/>
      <c r="K34" s="312"/>
      <c r="L34" s="312">
        <f>I34*0.5</f>
        <v>9458</v>
      </c>
      <c r="M34" s="312"/>
      <c r="N34" s="312">
        <f>L34+M34</f>
        <v>9458</v>
      </c>
    </row>
    <row r="35" ht="34.5" customHeight="1" spans="1:14" x14ac:dyDescent="0.25">
      <c r="A35" s="308" t="s">
        <v>756</v>
      </c>
      <c r="B35" s="311" t="s">
        <v>705</v>
      </c>
      <c r="C35" s="311"/>
      <c r="D35" s="312">
        <f>D36+D37</f>
        <v>18273</v>
      </c>
      <c r="E35" s="312">
        <f t="shared" ref="E35:N35" si="4">E36+E37</f>
        <v>0</v>
      </c>
      <c r="F35" s="312">
        <f t="shared" si="4"/>
        <v>0</v>
      </c>
      <c r="G35" s="312">
        <f t="shared" si="4"/>
        <v>0</v>
      </c>
      <c r="H35" s="312">
        <f t="shared" si="4"/>
        <v>0</v>
      </c>
      <c r="I35" s="312">
        <f t="shared" si="4"/>
        <v>18273</v>
      </c>
      <c r="J35" s="312">
        <f t="shared" si="4"/>
        <v>0</v>
      </c>
      <c r="K35" s="312">
        <f t="shared" si="4"/>
        <v>0</v>
      </c>
      <c r="L35" s="312">
        <f t="shared" si="4"/>
        <v>9136.5</v>
      </c>
      <c r="M35" s="312">
        <f t="shared" si="4"/>
        <v>0</v>
      </c>
      <c r="N35" s="312">
        <f t="shared" si="4"/>
        <v>9136.5</v>
      </c>
    </row>
    <row r="36" ht="34.5" customHeight="1" spans="1:14" x14ac:dyDescent="0.25">
      <c r="A36" s="308" t="s">
        <v>757</v>
      </c>
      <c r="B36" s="311" t="s">
        <v>707</v>
      </c>
      <c r="C36" s="311"/>
      <c r="D36" s="312"/>
      <c r="E36" s="312"/>
      <c r="F36" s="312"/>
      <c r="G36" s="312"/>
      <c r="H36" s="312"/>
      <c r="I36" s="312"/>
      <c r="J36" s="312"/>
      <c r="K36" s="312"/>
      <c r="L36" s="312">
        <v>0</v>
      </c>
      <c r="M36" s="312"/>
      <c r="N36" s="312">
        <v>0</v>
      </c>
    </row>
    <row r="37" ht="34.5" customHeight="1" spans="1:14" x14ac:dyDescent="0.25">
      <c r="A37" s="308" t="s">
        <v>758</v>
      </c>
      <c r="B37" s="311" t="s">
        <v>709</v>
      </c>
      <c r="C37" s="311"/>
      <c r="D37" s="312">
        <v>18273</v>
      </c>
      <c r="E37" s="312"/>
      <c r="F37" s="312"/>
      <c r="G37" s="312"/>
      <c r="H37" s="312"/>
      <c r="I37" s="312">
        <f>D37</f>
        <v>18273</v>
      </c>
      <c r="J37" s="312"/>
      <c r="K37" s="312"/>
      <c r="L37" s="312">
        <f>I37*0.5</f>
        <v>9136.5</v>
      </c>
      <c r="M37" s="312"/>
      <c r="N37" s="312">
        <f>L37+M37</f>
        <v>9136.5</v>
      </c>
    </row>
    <row r="38" ht="34.5" customHeight="1" spans="1:14" x14ac:dyDescent="0.25">
      <c r="A38" s="308" t="s">
        <v>759</v>
      </c>
      <c r="B38" s="311" t="s">
        <v>660</v>
      </c>
      <c r="C38" s="311"/>
      <c r="D38" s="312">
        <f>D39+D40</f>
        <v>273</v>
      </c>
      <c r="E38" s="312">
        <f t="shared" ref="E38:N38" si="5">E39+E40</f>
        <v>0</v>
      </c>
      <c r="F38" s="312">
        <f t="shared" si="5"/>
        <v>0</v>
      </c>
      <c r="G38" s="312">
        <f t="shared" si="5"/>
        <v>0</v>
      </c>
      <c r="H38" s="312">
        <f t="shared" si="5"/>
        <v>0</v>
      </c>
      <c r="I38" s="312">
        <f t="shared" si="5"/>
        <v>273</v>
      </c>
      <c r="J38" s="312">
        <f t="shared" si="5"/>
        <v>0</v>
      </c>
      <c r="K38" s="312">
        <f t="shared" si="5"/>
        <v>0</v>
      </c>
      <c r="L38" s="312">
        <f t="shared" si="5"/>
        <v>136.5</v>
      </c>
      <c r="M38" s="312">
        <f t="shared" si="5"/>
        <v>0</v>
      </c>
      <c r="N38" s="312">
        <f t="shared" si="5"/>
        <v>136.5</v>
      </c>
    </row>
    <row r="39" ht="34.5" customHeight="1" spans="1:14" x14ac:dyDescent="0.25">
      <c r="A39" s="308" t="s">
        <v>760</v>
      </c>
      <c r="B39" s="311" t="s">
        <v>713</v>
      </c>
      <c r="C39" s="311"/>
      <c r="D39" s="312"/>
      <c r="E39" s="312"/>
      <c r="F39" s="312"/>
      <c r="G39" s="312"/>
      <c r="H39" s="312"/>
      <c r="I39" s="312"/>
      <c r="J39" s="312"/>
      <c r="K39" s="312"/>
      <c r="L39" s="312">
        <v>0</v>
      </c>
      <c r="M39" s="312"/>
      <c r="N39" s="312">
        <v>0</v>
      </c>
    </row>
    <row r="40" ht="34.5" customHeight="1" spans="1:14" x14ac:dyDescent="0.25">
      <c r="A40" s="308" t="s">
        <v>761</v>
      </c>
      <c r="B40" s="311" t="s">
        <v>715</v>
      </c>
      <c r="C40" s="311"/>
      <c r="D40" s="312">
        <v>273</v>
      </c>
      <c r="E40" s="312"/>
      <c r="F40" s="312"/>
      <c r="G40" s="312"/>
      <c r="H40" s="312"/>
      <c r="I40" s="312">
        <f>D40</f>
        <v>273</v>
      </c>
      <c r="J40" s="312"/>
      <c r="K40" s="312"/>
      <c r="L40" s="312">
        <f>I40*0.5</f>
        <v>136.5</v>
      </c>
      <c r="M40" s="312"/>
      <c r="N40" s="312">
        <f>L40+M40</f>
        <v>136.5</v>
      </c>
    </row>
    <row r="41" ht="51.75" customHeight="1" spans="1:14" x14ac:dyDescent="0.25">
      <c r="A41" s="308" t="s">
        <v>762</v>
      </c>
      <c r="B41" s="311" t="s">
        <v>662</v>
      </c>
      <c r="C41" s="311"/>
      <c r="D41" s="312"/>
      <c r="E41" s="312"/>
      <c r="F41" s="312"/>
      <c r="G41" s="312"/>
      <c r="H41" s="312"/>
      <c r="I41" s="312"/>
      <c r="J41" s="312"/>
      <c r="K41" s="312"/>
      <c r="L41" s="312">
        <v>0</v>
      </c>
      <c r="M41" s="312"/>
      <c r="N41" s="312">
        <v>0</v>
      </c>
    </row>
    <row r="42" ht="51" customHeight="1" spans="1:14" x14ac:dyDescent="0.25">
      <c r="A42" s="308" t="s">
        <v>763</v>
      </c>
      <c r="B42" s="311" t="s">
        <v>664</v>
      </c>
      <c r="C42" s="311"/>
      <c r="D42" s="312">
        <f>D43+D44</f>
        <v>5667</v>
      </c>
      <c r="E42" s="312">
        <f t="shared" ref="E42:N42" si="6">E43+E44</f>
        <v>0</v>
      </c>
      <c r="F42" s="312">
        <f t="shared" si="6"/>
        <v>0</v>
      </c>
      <c r="G42" s="312">
        <f t="shared" si="6"/>
        <v>0</v>
      </c>
      <c r="H42" s="312">
        <f t="shared" si="6"/>
        <v>0</v>
      </c>
      <c r="I42" s="312">
        <f t="shared" si="6"/>
        <v>5667</v>
      </c>
      <c r="J42" s="312">
        <f t="shared" si="6"/>
        <v>0</v>
      </c>
      <c r="K42" s="312">
        <f t="shared" si="6"/>
        <v>0</v>
      </c>
      <c r="L42" s="312">
        <f t="shared" si="6"/>
        <v>2833.5</v>
      </c>
      <c r="M42" s="312">
        <f t="shared" si="6"/>
        <v>0</v>
      </c>
      <c r="N42" s="312">
        <f t="shared" si="6"/>
        <v>2833.5</v>
      </c>
    </row>
    <row r="43" ht="34.5" customHeight="1" spans="1:14" x14ac:dyDescent="0.25">
      <c r="A43" s="308" t="s">
        <v>764</v>
      </c>
      <c r="B43" s="311" t="s">
        <v>720</v>
      </c>
      <c r="C43" s="311"/>
      <c r="D43" s="312"/>
      <c r="E43" s="312"/>
      <c r="F43" s="312"/>
      <c r="G43" s="312"/>
      <c r="H43" s="312"/>
      <c r="I43" s="312"/>
      <c r="J43" s="312"/>
      <c r="K43" s="312"/>
      <c r="L43" s="312">
        <v>0</v>
      </c>
      <c r="M43" s="312"/>
      <c r="N43" s="312">
        <v>0</v>
      </c>
    </row>
    <row r="44" ht="51" customHeight="1" spans="1:14" x14ac:dyDescent="0.25">
      <c r="A44" s="308" t="s">
        <v>765</v>
      </c>
      <c r="B44" s="311" t="s">
        <v>747</v>
      </c>
      <c r="C44" s="311"/>
      <c r="D44" s="312">
        <v>5667</v>
      </c>
      <c r="E44" s="312"/>
      <c r="F44" s="312"/>
      <c r="G44" s="312"/>
      <c r="H44" s="312"/>
      <c r="I44" s="312">
        <f>D44</f>
        <v>5667</v>
      </c>
      <c r="J44" s="312"/>
      <c r="K44" s="312"/>
      <c r="L44" s="312">
        <f>I44*0.5</f>
        <v>2833.5</v>
      </c>
      <c r="M44" s="312"/>
      <c r="N44" s="312">
        <f>L44+M44</f>
        <v>2833.5</v>
      </c>
    </row>
    <row r="45" ht="34.5" customHeight="1" spans="1:14" x14ac:dyDescent="0.25">
      <c r="A45" s="308" t="s">
        <v>766</v>
      </c>
      <c r="B45" s="311" t="s">
        <v>666</v>
      </c>
      <c r="C45" s="311"/>
      <c r="D45" s="312"/>
      <c r="E45" s="312"/>
      <c r="F45" s="312"/>
      <c r="G45" s="312"/>
      <c r="H45" s="312"/>
      <c r="I45" s="312"/>
      <c r="J45" s="312"/>
      <c r="K45" s="312"/>
      <c r="L45" s="312">
        <v>0</v>
      </c>
      <c r="M45" s="312"/>
      <c r="N45" s="312">
        <v>0</v>
      </c>
    </row>
    <row r="46" ht="6.75" customHeight="1" spans="2:14" x14ac:dyDescent="0.25"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</row>
    <row r="47" ht="93.75" customHeight="1" spans="1:14" s="314" customFormat="1" x14ac:dyDescent="0.25">
      <c r="A47" s="308" t="s">
        <v>767</v>
      </c>
      <c r="B47" s="302" t="s">
        <v>768</v>
      </c>
      <c r="C47" s="302"/>
      <c r="D47" s="316">
        <f>D31+D32+D33+D34+D35+D38+D41+D42+D45</f>
        <v>43129</v>
      </c>
      <c r="E47" s="316">
        <f t="shared" ref="E47:M47" si="7">E31+E32+E33+E34+E35+E38+E41+E42+E45</f>
        <v>0</v>
      </c>
      <c r="F47" s="316">
        <f t="shared" si="7"/>
        <v>0</v>
      </c>
      <c r="G47" s="316">
        <f t="shared" si="7"/>
        <v>0</v>
      </c>
      <c r="H47" s="316">
        <f t="shared" si="7"/>
        <v>0</v>
      </c>
      <c r="I47" s="316">
        <f t="shared" si="7"/>
        <v>43129</v>
      </c>
      <c r="J47" s="316">
        <f t="shared" si="7"/>
        <v>0</v>
      </c>
      <c r="K47" s="316">
        <f t="shared" si="7"/>
        <v>0</v>
      </c>
      <c r="L47" s="316">
        <f t="shared" si="7"/>
        <v>21564.5</v>
      </c>
      <c r="M47" s="316">
        <f t="shared" si="7"/>
        <v>0</v>
      </c>
      <c r="N47" s="316">
        <f>N31+N32+N33+N34+N35+N38+N41+N42+N45</f>
        <v>21564.5</v>
      </c>
    </row>
  </sheetData>
  <sheetProtection sheet="1" algorithmName="SHA-512" hashValue="BQl4QspqeIasFyS4uVveGGW78On+9K2ydi0Y1Zo/FPFbu4YfMfUVHIgwJg5v7XUw3vKLEQ9vmuPhOPIDO5uv9g==" saltValue="W73dp+m4Dv9czUqKveAJiA==" spinCount="100000" objects="1" scenarios="1"/>
  <mergeCells count="45">
    <mergeCell ref="A1:M1"/>
    <mergeCell ref="B8:C9"/>
    <mergeCell ref="D8:F8"/>
    <mergeCell ref="G8:K8"/>
    <mergeCell ref="A8:A9"/>
    <mergeCell ref="L8:L9"/>
    <mergeCell ref="M8:M9"/>
    <mergeCell ref="N8:N9"/>
    <mergeCell ref="A10:C10"/>
    <mergeCell ref="B11:N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N27"/>
    <mergeCell ref="B28:C28"/>
    <mergeCell ref="B30:N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N46"/>
    <mergeCell ref="B47:C47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26" fitToWidth="1" fitToHeight="1" firstPageNumber="1" useFirstPageNumber="1" copies="1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 zoomScale="70" zoomScaleNormal="70" view="pageBreakPreview">
      <selection activeCell="B14" sqref="B14"/>
    </sheetView>
  </sheetViews>
  <sheetFormatPr defaultRowHeight="17.25" outlineLevelRow="0" outlineLevelCol="0" x14ac:dyDescent="0" defaultColWidth="10" customHeight="1"/>
  <cols>
    <col min="1" max="1" width="11.08984375" style="317" customWidth="1"/>
    <col min="2" max="2" width="64.6328125" style="317" customWidth="1"/>
    <col min="3" max="3" width="18.36328125" style="317" customWidth="1"/>
    <col min="4" max="7" width="15.36328125" style="317" customWidth="1"/>
    <col min="8" max="8" width="16.26953125" style="318" customWidth="1"/>
    <col min="9" max="9" width="19.08984375" style="318" customWidth="1"/>
    <col min="10" max="10" width="20.7265625" style="318" customWidth="1"/>
    <col min="11" max="12" width="16.26953125" style="318" customWidth="1"/>
    <col min="13" max="19" width="10.54296875" style="318" customWidth="1"/>
    <col min="20" max="256" width="10.54296875" style="317" customWidth="1"/>
    <col min="257" max="1024" width="10.81640625" style="317" customWidth="1"/>
    <col min="1025" max="16384" width="10" style="317" customWidth="1"/>
  </cols>
  <sheetData>
    <row r="1" ht="29.25" customHeight="1" spans="1:19" x14ac:dyDescent="0.25">
      <c r="A1" s="319" t="s">
        <v>769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20" t="s">
        <v>54</v>
      </c>
      <c r="M1" s="317"/>
      <c r="N1" s="317"/>
      <c r="O1" s="317"/>
      <c r="P1" s="317"/>
      <c r="Q1" s="317"/>
      <c r="R1" s="317"/>
      <c r="S1" s="317"/>
    </row>
    <row r="2" ht="31.5" customHeight="1" spans="2:19" x14ac:dyDescent="0.25">
      <c r="B2" s="321"/>
      <c r="C2" s="322"/>
      <c r="D2" s="323"/>
      <c r="E2" s="324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</row>
    <row r="3" ht="17.5" customHeight="1" spans="1:12" s="122" customFormat="1" x14ac:dyDescent="0.25">
      <c r="A3" s="150"/>
      <c r="B3" s="151"/>
      <c r="E3" s="125"/>
      <c r="F3" s="125"/>
      <c r="G3" s="125"/>
      <c r="H3" s="125"/>
      <c r="I3" s="125"/>
      <c r="J3" s="125"/>
      <c r="K3" s="125"/>
      <c r="L3" s="125"/>
    </row>
    <row r="4" ht="9.75" customHeight="1" spans="1:2" s="122" customFormat="1" x14ac:dyDescent="0.25">
      <c r="A4" s="153"/>
      <c r="B4" s="154"/>
    </row>
    <row r="5" ht="17.5" customHeight="1" spans="1:2" s="122" customFormat="1" x14ac:dyDescent="0.25">
      <c r="A5" s="153"/>
      <c r="B5" s="154"/>
    </row>
    <row r="6" ht="17.5" customHeight="1" spans="1:2" s="122" customFormat="1" x14ac:dyDescent="0.25">
      <c r="A6" s="150"/>
      <c r="B6" s="154"/>
    </row>
    <row r="7" ht="17.5" customHeight="1" spans="1:19" x14ac:dyDescent="0.25">
      <c r="A7" s="326"/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17"/>
      <c r="M7" s="317"/>
      <c r="N7" s="317"/>
      <c r="O7" s="317"/>
      <c r="P7" s="317"/>
      <c r="Q7" s="317"/>
      <c r="R7" s="317"/>
      <c r="S7" s="317"/>
    </row>
    <row r="8" ht="77.25" customHeight="1" spans="1:19" s="327" customFormat="1" x14ac:dyDescent="0.25">
      <c r="A8" s="135" t="s">
        <v>113</v>
      </c>
      <c r="B8" s="135" t="s">
        <v>145</v>
      </c>
      <c r="C8" s="135" t="s">
        <v>770</v>
      </c>
      <c r="D8" s="135" t="s">
        <v>771</v>
      </c>
      <c r="E8" s="135" t="s">
        <v>772</v>
      </c>
      <c r="F8" s="135" t="s">
        <v>773</v>
      </c>
      <c r="G8" s="135" t="s">
        <v>774</v>
      </c>
      <c r="H8" s="328" t="s">
        <v>775</v>
      </c>
      <c r="I8" s="328"/>
      <c r="J8" s="328"/>
      <c r="K8" s="328"/>
      <c r="L8" s="328"/>
      <c r="M8" s="329"/>
      <c r="N8" s="329"/>
      <c r="O8" s="329"/>
      <c r="P8" s="329"/>
      <c r="Q8" s="329"/>
      <c r="R8" s="329"/>
      <c r="S8" s="329"/>
    </row>
    <row r="9" ht="86.25" customHeight="1" spans="1:19" s="53" customFormat="1" x14ac:dyDescent="0.25">
      <c r="A9" s="135"/>
      <c r="B9" s="135"/>
      <c r="C9" s="135"/>
      <c r="D9" s="135"/>
      <c r="E9" s="135"/>
      <c r="F9" s="135"/>
      <c r="G9" s="135"/>
      <c r="H9" s="135" t="s">
        <v>776</v>
      </c>
      <c r="I9" s="135" t="s">
        <v>777</v>
      </c>
      <c r="J9" s="135" t="s">
        <v>778</v>
      </c>
      <c r="K9" s="135" t="s">
        <v>779</v>
      </c>
      <c r="L9" s="135" t="s">
        <v>780</v>
      </c>
      <c r="M9" s="330"/>
      <c r="N9" s="330"/>
      <c r="O9" s="330"/>
      <c r="P9" s="330"/>
      <c r="Q9" s="330"/>
      <c r="R9" s="330"/>
      <c r="S9" s="330"/>
    </row>
    <row r="10" ht="21" customHeight="1" spans="1:12" x14ac:dyDescent="0.25">
      <c r="A10" s="135"/>
      <c r="B10" s="63"/>
      <c r="C10" s="135" t="s">
        <v>154</v>
      </c>
      <c r="D10" s="135" t="s">
        <v>157</v>
      </c>
      <c r="E10" s="135" t="s">
        <v>160</v>
      </c>
      <c r="F10" s="135" t="s">
        <v>781</v>
      </c>
      <c r="G10" s="135" t="s">
        <v>782</v>
      </c>
      <c r="H10" s="62"/>
      <c r="I10" s="62"/>
      <c r="J10" s="62"/>
      <c r="K10" s="62"/>
      <c r="L10" s="62"/>
    </row>
    <row r="11" ht="24.75" customHeight="1" spans="1:12" x14ac:dyDescent="0.25">
      <c r="A11" s="135"/>
      <c r="B11" s="145" t="s">
        <v>783</v>
      </c>
      <c r="C11" s="181"/>
      <c r="D11" s="181"/>
      <c r="E11" s="181"/>
      <c r="F11" s="181"/>
      <c r="G11" s="181"/>
      <c r="H11" s="331"/>
      <c r="I11" s="331"/>
      <c r="J11" s="331"/>
      <c r="K11" s="331"/>
      <c r="L11" s="331"/>
    </row>
    <row r="12" ht="24.75" customHeight="1" spans="1:12" x14ac:dyDescent="0.25">
      <c r="A12" s="252" t="s">
        <v>784</v>
      </c>
      <c r="B12" s="145" t="s">
        <v>785</v>
      </c>
      <c r="C12" s="332">
        <v>0</v>
      </c>
      <c r="D12" s="332">
        <v>0</v>
      </c>
      <c r="E12" s="333" t="s">
        <v>786</v>
      </c>
      <c r="F12" s="332">
        <v>0</v>
      </c>
      <c r="G12" s="332">
        <v>0</v>
      </c>
      <c r="H12" s="332"/>
      <c r="I12" s="332"/>
      <c r="J12" s="332"/>
      <c r="K12" s="332"/>
      <c r="L12" s="332"/>
    </row>
    <row r="13" ht="24.75" customHeight="1" spans="1:12" x14ac:dyDescent="0.25">
      <c r="A13" s="252" t="s">
        <v>787</v>
      </c>
      <c r="B13" s="145" t="s">
        <v>788</v>
      </c>
      <c r="C13" s="332">
        <v>0</v>
      </c>
      <c r="D13" s="332">
        <v>0</v>
      </c>
      <c r="E13" s="333" t="s">
        <v>789</v>
      </c>
      <c r="F13" s="332">
        <v>0</v>
      </c>
      <c r="G13" s="332">
        <v>0</v>
      </c>
      <c r="H13" s="332"/>
      <c r="I13" s="332"/>
      <c r="J13" s="332"/>
      <c r="K13" s="332"/>
      <c r="L13" s="332"/>
    </row>
    <row r="14" ht="24.75" customHeight="1" spans="1:12" x14ac:dyDescent="0.25">
      <c r="A14" s="252" t="s">
        <v>790</v>
      </c>
      <c r="B14" s="145" t="s">
        <v>791</v>
      </c>
      <c r="C14" s="332">
        <v>0</v>
      </c>
      <c r="D14" s="332">
        <v>0</v>
      </c>
      <c r="E14" s="333" t="s">
        <v>792</v>
      </c>
      <c r="F14" s="332">
        <v>0</v>
      </c>
      <c r="G14" s="332">
        <v>0</v>
      </c>
      <c r="H14" s="332"/>
      <c r="I14" s="332"/>
      <c r="J14" s="332"/>
      <c r="K14" s="332"/>
      <c r="L14" s="332"/>
    </row>
    <row r="15" ht="14.25" customHeight="1" spans="1:12" x14ac:dyDescent="0.25">
      <c r="A15" s="135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</row>
    <row r="16" ht="24.75" customHeight="1" spans="1:12" x14ac:dyDescent="0.25">
      <c r="A16" s="135"/>
      <c r="B16" s="145" t="s">
        <v>793</v>
      </c>
      <c r="C16" s="181"/>
      <c r="D16" s="181"/>
      <c r="E16" s="181"/>
      <c r="F16" s="181"/>
      <c r="G16" s="181"/>
      <c r="H16" s="331"/>
      <c r="I16" s="331"/>
      <c r="J16" s="331"/>
      <c r="K16" s="331"/>
      <c r="L16" s="331"/>
    </row>
    <row r="17" ht="24.75" customHeight="1" spans="1:12" x14ac:dyDescent="0.25">
      <c r="A17" s="252" t="s">
        <v>794</v>
      </c>
      <c r="B17" s="145" t="s">
        <v>785</v>
      </c>
      <c r="C17" s="332">
        <v>0</v>
      </c>
      <c r="D17" s="332">
        <v>0</v>
      </c>
      <c r="E17" s="333" t="s">
        <v>795</v>
      </c>
      <c r="F17" s="332">
        <v>0</v>
      </c>
      <c r="G17" s="332">
        <v>0</v>
      </c>
      <c r="H17" s="332"/>
      <c r="I17" s="332"/>
      <c r="J17" s="332"/>
      <c r="K17" s="332"/>
      <c r="L17" s="332"/>
    </row>
    <row r="18" ht="24.75" customHeight="1" spans="1:12" x14ac:dyDescent="0.25">
      <c r="A18" s="252" t="s">
        <v>796</v>
      </c>
      <c r="B18" s="145" t="s">
        <v>788</v>
      </c>
      <c r="C18" s="332">
        <v>0</v>
      </c>
      <c r="D18" s="332">
        <v>0</v>
      </c>
      <c r="E18" s="333" t="s">
        <v>797</v>
      </c>
      <c r="F18" s="332">
        <v>0</v>
      </c>
      <c r="G18" s="332">
        <v>0</v>
      </c>
      <c r="H18" s="332"/>
      <c r="I18" s="332"/>
      <c r="J18" s="332"/>
      <c r="K18" s="332"/>
      <c r="L18" s="332"/>
    </row>
    <row r="19" ht="24.75" customHeight="1" spans="1:12" x14ac:dyDescent="0.25">
      <c r="A19" s="252" t="s">
        <v>798</v>
      </c>
      <c r="B19" s="145" t="s">
        <v>791</v>
      </c>
      <c r="C19" s="332">
        <v>0</v>
      </c>
      <c r="D19" s="332">
        <v>0</v>
      </c>
      <c r="E19" s="333" t="s">
        <v>799</v>
      </c>
      <c r="F19" s="332">
        <v>0</v>
      </c>
      <c r="G19" s="332">
        <v>0</v>
      </c>
      <c r="H19" s="332"/>
      <c r="I19" s="332"/>
      <c r="J19" s="332"/>
      <c r="K19" s="332"/>
      <c r="L19" s="332"/>
    </row>
    <row r="20" ht="14.25" customHeight="1" spans="1:12" x14ac:dyDescent="0.25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</row>
    <row r="21" ht="24.75" customHeight="1" spans="1:12" x14ac:dyDescent="0.25">
      <c r="A21" s="135"/>
      <c r="B21" s="145" t="s">
        <v>800</v>
      </c>
      <c r="C21" s="181"/>
      <c r="D21" s="181"/>
      <c r="E21" s="334"/>
      <c r="F21" s="181"/>
      <c r="G21" s="181"/>
      <c r="H21" s="331"/>
      <c r="I21" s="331"/>
      <c r="J21" s="331"/>
      <c r="K21" s="331"/>
      <c r="L21" s="331"/>
    </row>
    <row r="22" ht="24.75" customHeight="1" spans="1:12" x14ac:dyDescent="0.25">
      <c r="A22" s="252" t="s">
        <v>801</v>
      </c>
      <c r="B22" s="145" t="s">
        <v>785</v>
      </c>
      <c r="C22" s="332">
        <v>0</v>
      </c>
      <c r="D22" s="332">
        <v>0</v>
      </c>
      <c r="E22" s="333" t="s">
        <v>802</v>
      </c>
      <c r="F22" s="332">
        <v>0</v>
      </c>
      <c r="G22" s="332">
        <v>0</v>
      </c>
      <c r="H22" s="332"/>
      <c r="I22" s="332"/>
      <c r="J22" s="332"/>
      <c r="K22" s="332"/>
      <c r="L22" s="332"/>
    </row>
    <row r="23" ht="24.75" customHeight="1" spans="1:12" x14ac:dyDescent="0.25">
      <c r="A23" s="252" t="s">
        <v>803</v>
      </c>
      <c r="B23" s="145" t="s">
        <v>788</v>
      </c>
      <c r="C23" s="332">
        <v>0</v>
      </c>
      <c r="D23" s="332">
        <v>0</v>
      </c>
      <c r="E23" s="333" t="s">
        <v>804</v>
      </c>
      <c r="F23" s="332">
        <v>0</v>
      </c>
      <c r="G23" s="332">
        <v>0</v>
      </c>
      <c r="H23" s="332"/>
      <c r="I23" s="332"/>
      <c r="J23" s="332"/>
      <c r="K23" s="332"/>
      <c r="L23" s="332"/>
    </row>
    <row r="24" ht="24.75" customHeight="1" spans="1:12" x14ac:dyDescent="0.25">
      <c r="A24" s="252" t="s">
        <v>805</v>
      </c>
      <c r="B24" s="145" t="s">
        <v>791</v>
      </c>
      <c r="C24" s="332">
        <v>0</v>
      </c>
      <c r="D24" s="332">
        <v>0</v>
      </c>
      <c r="E24" s="335">
        <v>0.1</v>
      </c>
      <c r="F24" s="332">
        <v>0</v>
      </c>
      <c r="G24" s="332">
        <v>0</v>
      </c>
      <c r="H24" s="332"/>
      <c r="I24" s="332"/>
      <c r="J24" s="332"/>
      <c r="K24" s="332"/>
      <c r="L24" s="332"/>
    </row>
    <row r="25" ht="14.25" customHeight="1" spans="1:12" x14ac:dyDescent="0.2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</row>
    <row r="26" ht="24.75" customHeight="1" spans="1:12" x14ac:dyDescent="0.25">
      <c r="A26" s="135"/>
      <c r="B26" s="145" t="s">
        <v>806</v>
      </c>
      <c r="C26" s="181"/>
      <c r="D26" s="181"/>
      <c r="E26" s="335"/>
      <c r="F26" s="181"/>
      <c r="G26" s="181"/>
      <c r="H26" s="331"/>
      <c r="I26" s="331"/>
      <c r="J26" s="331"/>
      <c r="K26" s="331"/>
      <c r="L26" s="331"/>
    </row>
    <row r="27" ht="24.75" customHeight="1" spans="1:12" x14ac:dyDescent="0.25">
      <c r="A27" s="252" t="s">
        <v>807</v>
      </c>
      <c r="B27" s="145" t="s">
        <v>785</v>
      </c>
      <c r="C27" s="332">
        <v>0</v>
      </c>
      <c r="D27" s="332">
        <v>0</v>
      </c>
      <c r="E27" s="333" t="s">
        <v>808</v>
      </c>
      <c r="F27" s="332">
        <v>0</v>
      </c>
      <c r="G27" s="332">
        <v>0</v>
      </c>
      <c r="H27" s="332"/>
      <c r="I27" s="332"/>
      <c r="J27" s="332"/>
      <c r="K27" s="332"/>
      <c r="L27" s="332"/>
    </row>
    <row r="28" ht="24.75" customHeight="1" spans="1:12" x14ac:dyDescent="0.25">
      <c r="A28" s="252" t="s">
        <v>809</v>
      </c>
      <c r="B28" s="145" t="s">
        <v>788</v>
      </c>
      <c r="C28" s="332">
        <v>0</v>
      </c>
      <c r="D28" s="332">
        <v>0</v>
      </c>
      <c r="E28" s="333" t="s">
        <v>808</v>
      </c>
      <c r="F28" s="332">
        <v>0</v>
      </c>
      <c r="G28" s="332">
        <v>0</v>
      </c>
      <c r="H28" s="332"/>
      <c r="I28" s="332"/>
      <c r="J28" s="332"/>
      <c r="K28" s="332"/>
      <c r="L28" s="332"/>
    </row>
    <row r="29" ht="24.75" customHeight="1" spans="1:12" x14ac:dyDescent="0.25">
      <c r="A29" s="252" t="s">
        <v>810</v>
      </c>
      <c r="B29" s="145" t="s">
        <v>791</v>
      </c>
      <c r="C29" s="332">
        <v>0</v>
      </c>
      <c r="D29" s="332">
        <v>0</v>
      </c>
      <c r="E29" s="335">
        <v>0.08</v>
      </c>
      <c r="F29" s="332">
        <v>0</v>
      </c>
      <c r="G29" s="332">
        <v>0</v>
      </c>
      <c r="H29" s="332"/>
      <c r="I29" s="332"/>
      <c r="J29" s="332"/>
      <c r="K29" s="332"/>
      <c r="L29" s="332"/>
    </row>
    <row r="30" ht="14.25" customHeight="1" spans="1:12" x14ac:dyDescent="0.25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</row>
    <row r="31" ht="24.75" customHeight="1" spans="1:12" x14ac:dyDescent="0.25">
      <c r="A31" s="135"/>
      <c r="B31" s="145" t="s">
        <v>811</v>
      </c>
      <c r="C31" s="181"/>
      <c r="D31" s="181"/>
      <c r="E31" s="335"/>
      <c r="F31" s="181"/>
      <c r="G31" s="181"/>
      <c r="H31" s="331"/>
      <c r="I31" s="331"/>
      <c r="J31" s="331"/>
      <c r="K31" s="331"/>
      <c r="L31" s="331"/>
    </row>
    <row r="32" ht="24.75" customHeight="1" spans="1:12" x14ac:dyDescent="0.25">
      <c r="A32" s="252" t="s">
        <v>812</v>
      </c>
      <c r="B32" s="145" t="s">
        <v>785</v>
      </c>
      <c r="C32" s="332">
        <v>0</v>
      </c>
      <c r="D32" s="332">
        <v>0</v>
      </c>
      <c r="E32" s="333" t="s">
        <v>813</v>
      </c>
      <c r="F32" s="332">
        <v>0</v>
      </c>
      <c r="G32" s="332">
        <v>0</v>
      </c>
      <c r="H32" s="332"/>
      <c r="I32" s="332"/>
      <c r="J32" s="332"/>
      <c r="K32" s="332"/>
      <c r="L32" s="332"/>
    </row>
    <row r="33" ht="24.75" customHeight="1" spans="1:12" x14ac:dyDescent="0.25">
      <c r="A33" s="252" t="s">
        <v>814</v>
      </c>
      <c r="B33" s="145" t="s">
        <v>788</v>
      </c>
      <c r="C33" s="332">
        <v>0</v>
      </c>
      <c r="D33" s="332">
        <v>0</v>
      </c>
      <c r="E33" s="333" t="s">
        <v>815</v>
      </c>
      <c r="F33" s="332">
        <v>0</v>
      </c>
      <c r="G33" s="332">
        <v>0</v>
      </c>
      <c r="H33" s="332"/>
      <c r="I33" s="332"/>
      <c r="J33" s="332"/>
      <c r="K33" s="332"/>
      <c r="L33" s="332"/>
    </row>
    <row r="34" ht="24.75" customHeight="1" spans="1:12" x14ac:dyDescent="0.25">
      <c r="A34" s="252" t="s">
        <v>816</v>
      </c>
      <c r="B34" s="336" t="s">
        <v>791</v>
      </c>
      <c r="C34" s="332">
        <v>0</v>
      </c>
      <c r="D34" s="332">
        <v>0</v>
      </c>
      <c r="E34" s="335">
        <v>0.15</v>
      </c>
      <c r="F34" s="332">
        <v>0</v>
      </c>
      <c r="G34" s="332">
        <v>0</v>
      </c>
      <c r="H34" s="332"/>
      <c r="I34" s="332"/>
      <c r="J34" s="332"/>
      <c r="K34" s="332"/>
      <c r="L34" s="332"/>
    </row>
    <row r="35" ht="14.25" customHeight="1" spans="1:12" x14ac:dyDescent="0.25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</row>
    <row r="36" ht="24.75" customHeight="1" spans="1:19" s="337" customFormat="1" x14ac:dyDescent="0.25">
      <c r="A36" s="252" t="s">
        <v>817</v>
      </c>
      <c r="B36" s="338" t="s">
        <v>818</v>
      </c>
      <c r="C36" s="332">
        <v>0</v>
      </c>
      <c r="D36" s="332">
        <v>0</v>
      </c>
      <c r="E36" s="339"/>
      <c r="F36" s="332">
        <v>0</v>
      </c>
      <c r="G36" s="332">
        <v>0</v>
      </c>
      <c r="H36" s="332">
        <v>0</v>
      </c>
      <c r="I36" s="332">
        <v>0</v>
      </c>
      <c r="J36" s="332">
        <v>0</v>
      </c>
      <c r="K36" s="332">
        <v>0</v>
      </c>
      <c r="L36" s="332">
        <v>0</v>
      </c>
      <c r="M36" s="340"/>
      <c r="N36" s="340"/>
      <c r="O36" s="340"/>
      <c r="P36" s="340"/>
      <c r="Q36" s="340"/>
      <c r="R36" s="340"/>
      <c r="S36" s="340"/>
    </row>
  </sheetData>
  <sheetProtection sheet="1" algorithmName="SHA-512" hashValue="9Aaug5dxRYMXAELM8ytAA8wfBulUH+LGK1fVu04+gOUm+TJ062MpmkHXG4yAlWNug0QnH9Yy0kQ0MUYiQJ35fA==" saltValue="SWxdrfiuOxlyqVS1K14mdg==" spinCount="100000" objects="1" scenarios="1"/>
  <mergeCells count="14">
    <mergeCell ref="A1:K1"/>
    <mergeCell ref="H8:L8"/>
    <mergeCell ref="A8:A9"/>
    <mergeCell ref="B8:B9"/>
    <mergeCell ref="C8:C9"/>
    <mergeCell ref="D8:D9"/>
    <mergeCell ref="E8:E9"/>
    <mergeCell ref="F8:F9"/>
    <mergeCell ref="G8:G9"/>
    <mergeCell ref="A15:L15"/>
    <mergeCell ref="A20:L20"/>
    <mergeCell ref="A25:L25"/>
    <mergeCell ref="A30:L30"/>
    <mergeCell ref="A35:L35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7" fitToWidth="1" fitToHeight="1" firstPageNumber="1" useFirstPageNumber="1" copies="1"/>
  <headerFooter>
    <oddFooter>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58"/>
  <sheetViews>
    <sheetView workbookViewId="0" zoomScale="60" zoomScaleNormal="60" view="pageBreakPreview">
      <selection activeCell="C13" sqref="C13"/>
    </sheetView>
  </sheetViews>
  <sheetFormatPr defaultRowHeight="9" outlineLevelRow="0" outlineLevelCol="0" x14ac:dyDescent="0" defaultColWidth="10" customHeight="1"/>
  <cols>
    <col min="1" max="1" width="11.08984375" style="317" customWidth="1"/>
    <col min="2" max="2" width="57.36328125" style="317" customWidth="1"/>
    <col min="3" max="6" width="21.26953125" style="317" customWidth="1"/>
    <col min="7" max="8" width="25.90625" style="317" customWidth="1"/>
    <col min="9" max="9" width="21.26953125" style="317" customWidth="1"/>
    <col min="10" max="10" width="21.26953125" style="341" customWidth="1"/>
    <col min="11" max="16384" width="10" style="317" customWidth="1"/>
  </cols>
  <sheetData>
    <row r="1" ht="29.25" customHeight="1" spans="2:12" x14ac:dyDescent="0.25">
      <c r="B1" s="319" t="s">
        <v>819</v>
      </c>
      <c r="C1" s="319"/>
      <c r="D1" s="319"/>
      <c r="E1" s="319"/>
      <c r="F1" s="319"/>
      <c r="G1" s="319"/>
      <c r="H1" s="319"/>
      <c r="I1" s="319"/>
      <c r="J1" s="320" t="s">
        <v>56</v>
      </c>
      <c r="K1" s="323"/>
      <c r="L1" s="323"/>
    </row>
    <row r="2" ht="31.5" customHeight="1" spans="2:12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1:12" x14ac:dyDescent="0.25">
      <c r="A7" s="326"/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</row>
    <row r="8" ht="22.5" customHeight="1" spans="1:1025" x14ac:dyDescent="0.25">
      <c r="A8" s="135" t="s">
        <v>113</v>
      </c>
      <c r="B8" s="346" t="s">
        <v>820</v>
      </c>
      <c r="C8" s="347" t="s">
        <v>821</v>
      </c>
      <c r="D8" s="58" t="s">
        <v>822</v>
      </c>
      <c r="E8" s="58"/>
      <c r="F8" s="58"/>
      <c r="G8" s="58" t="s">
        <v>823</v>
      </c>
      <c r="H8" s="58"/>
      <c r="I8" s="135" t="s">
        <v>824</v>
      </c>
      <c r="J8" s="346" t="s">
        <v>825</v>
      </c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2"/>
      <c r="ME8" s="342"/>
      <c r="MF8" s="342"/>
      <c r="MG8" s="342"/>
      <c r="MH8" s="342"/>
      <c r="MI8" s="342"/>
      <c r="MJ8" s="342"/>
      <c r="MK8" s="342"/>
      <c r="ML8" s="342"/>
      <c r="MM8" s="342"/>
      <c r="MN8" s="342"/>
      <c r="MO8" s="342"/>
      <c r="MP8" s="342"/>
      <c r="MQ8" s="342"/>
      <c r="MR8" s="342"/>
      <c r="MS8" s="342"/>
      <c r="MT8" s="342"/>
      <c r="MU8" s="342"/>
      <c r="MV8" s="342"/>
      <c r="MW8" s="342"/>
      <c r="MX8" s="342"/>
      <c r="MY8" s="342"/>
      <c r="MZ8" s="342"/>
      <c r="NA8" s="342"/>
      <c r="NB8" s="342"/>
      <c r="NC8" s="342"/>
      <c r="ND8" s="342"/>
      <c r="NE8" s="342"/>
      <c r="NF8" s="342"/>
      <c r="NG8" s="342"/>
      <c r="NH8" s="342"/>
      <c r="NI8" s="342"/>
      <c r="NJ8" s="342"/>
      <c r="NK8" s="342"/>
      <c r="NL8" s="342"/>
      <c r="NM8" s="342"/>
      <c r="NN8" s="342"/>
      <c r="NO8" s="342"/>
      <c r="NP8" s="342"/>
      <c r="NQ8" s="342"/>
      <c r="NR8" s="342"/>
      <c r="NS8" s="342"/>
      <c r="NT8" s="342"/>
      <c r="NU8" s="342"/>
      <c r="NV8" s="342"/>
      <c r="NW8" s="342"/>
      <c r="NX8" s="342"/>
      <c r="NY8" s="342"/>
      <c r="NZ8" s="342"/>
      <c r="OA8" s="342"/>
      <c r="OB8" s="342"/>
      <c r="OC8" s="342"/>
      <c r="OD8" s="342"/>
      <c r="OE8" s="342"/>
      <c r="OF8" s="342"/>
      <c r="OG8" s="342"/>
      <c r="OH8" s="342"/>
      <c r="OI8" s="342"/>
      <c r="OJ8" s="342"/>
      <c r="OK8" s="342"/>
      <c r="OL8" s="342"/>
      <c r="OM8" s="342"/>
      <c r="ON8" s="342"/>
      <c r="OO8" s="342"/>
      <c r="OP8" s="342"/>
      <c r="OQ8" s="342"/>
      <c r="OR8" s="342"/>
      <c r="OS8" s="342"/>
      <c r="OT8" s="342"/>
      <c r="OU8" s="342"/>
      <c r="OV8" s="342"/>
      <c r="OW8" s="342"/>
      <c r="OX8" s="342"/>
      <c r="OY8" s="342"/>
      <c r="OZ8" s="342"/>
      <c r="PA8" s="342"/>
      <c r="PB8" s="342"/>
      <c r="PC8" s="342"/>
      <c r="PD8" s="342"/>
      <c r="PE8" s="342"/>
      <c r="PF8" s="342"/>
      <c r="PG8" s="342"/>
      <c r="PH8" s="342"/>
      <c r="PI8" s="342"/>
      <c r="PJ8" s="342"/>
      <c r="PK8" s="342"/>
      <c r="PL8" s="342"/>
      <c r="PM8" s="342"/>
      <c r="PN8" s="342"/>
      <c r="PO8" s="342"/>
      <c r="PP8" s="342"/>
      <c r="PQ8" s="342"/>
      <c r="PR8" s="342"/>
      <c r="PS8" s="342"/>
      <c r="PT8" s="342"/>
      <c r="PU8" s="342"/>
      <c r="PV8" s="342"/>
      <c r="PW8" s="342"/>
      <c r="PX8" s="342"/>
      <c r="PY8" s="342"/>
      <c r="PZ8" s="342"/>
      <c r="QA8" s="342"/>
      <c r="QB8" s="342"/>
      <c r="QC8" s="342"/>
      <c r="QD8" s="342"/>
      <c r="QE8" s="342"/>
      <c r="QF8" s="342"/>
      <c r="QG8" s="342"/>
      <c r="QH8" s="342"/>
      <c r="QI8" s="342"/>
      <c r="QJ8" s="342"/>
      <c r="QK8" s="342"/>
      <c r="QL8" s="342"/>
      <c r="QM8" s="342"/>
      <c r="QN8" s="342"/>
      <c r="QO8" s="342"/>
      <c r="QP8" s="342"/>
      <c r="QQ8" s="342"/>
      <c r="QR8" s="342"/>
      <c r="QS8" s="342"/>
      <c r="QT8" s="342"/>
      <c r="QU8" s="342"/>
      <c r="QV8" s="342"/>
      <c r="QW8" s="342"/>
      <c r="QX8" s="342"/>
      <c r="QY8" s="342"/>
      <c r="QZ8" s="342"/>
      <c r="RA8" s="342"/>
      <c r="RB8" s="342"/>
      <c r="RC8" s="342"/>
      <c r="RD8" s="342"/>
      <c r="RE8" s="342"/>
      <c r="RF8" s="342"/>
      <c r="RG8" s="342"/>
      <c r="RH8" s="342"/>
      <c r="RI8" s="342"/>
      <c r="RJ8" s="342"/>
      <c r="RK8" s="342"/>
      <c r="RL8" s="342"/>
      <c r="RM8" s="342"/>
      <c r="RN8" s="342"/>
      <c r="RO8" s="342"/>
      <c r="RP8" s="342"/>
      <c r="RQ8" s="342"/>
      <c r="RR8" s="342"/>
      <c r="RS8" s="342"/>
      <c r="RT8" s="342"/>
      <c r="RU8" s="342"/>
      <c r="RV8" s="342"/>
      <c r="RW8" s="342"/>
      <c r="RX8" s="342"/>
      <c r="RY8" s="342"/>
      <c r="RZ8" s="342"/>
      <c r="SA8" s="342"/>
      <c r="SB8" s="342"/>
      <c r="SC8" s="342"/>
      <c r="SD8" s="342"/>
      <c r="SE8" s="342"/>
      <c r="SF8" s="342"/>
      <c r="SG8" s="342"/>
      <c r="SH8" s="342"/>
      <c r="SI8" s="342"/>
      <c r="SJ8" s="342"/>
      <c r="SK8" s="342"/>
      <c r="SL8" s="342"/>
      <c r="SM8" s="342"/>
      <c r="SN8" s="342"/>
      <c r="SO8" s="342"/>
      <c r="SP8" s="342"/>
      <c r="SQ8" s="342"/>
      <c r="SR8" s="342"/>
      <c r="SS8" s="342"/>
      <c r="ST8" s="342"/>
      <c r="SU8" s="342"/>
      <c r="SV8" s="342"/>
      <c r="SW8" s="342"/>
      <c r="SX8" s="342"/>
      <c r="SY8" s="342"/>
      <c r="SZ8" s="342"/>
      <c r="TA8" s="342"/>
      <c r="TB8" s="342"/>
      <c r="TC8" s="342"/>
      <c r="TD8" s="342"/>
      <c r="TE8" s="342"/>
      <c r="TF8" s="342"/>
      <c r="TG8" s="342"/>
      <c r="TH8" s="342"/>
      <c r="TI8" s="342"/>
      <c r="TJ8" s="342"/>
      <c r="TK8" s="342"/>
      <c r="TL8" s="342"/>
      <c r="TM8" s="342"/>
      <c r="TN8" s="342"/>
      <c r="TO8" s="342"/>
      <c r="TP8" s="342"/>
      <c r="TQ8" s="342"/>
      <c r="TR8" s="342"/>
      <c r="TS8" s="342"/>
      <c r="TT8" s="342"/>
      <c r="TU8" s="342"/>
      <c r="TV8" s="342"/>
      <c r="TW8" s="342"/>
      <c r="TX8" s="342"/>
      <c r="TY8" s="342"/>
      <c r="TZ8" s="342"/>
      <c r="UA8" s="342"/>
      <c r="UB8" s="342"/>
      <c r="UC8" s="342"/>
      <c r="UD8" s="342"/>
      <c r="UE8" s="342"/>
      <c r="UF8" s="342"/>
      <c r="UG8" s="342"/>
      <c r="UH8" s="342"/>
      <c r="UI8" s="342"/>
      <c r="UJ8" s="342"/>
      <c r="UK8" s="342"/>
      <c r="UL8" s="342"/>
      <c r="UM8" s="342"/>
      <c r="UN8" s="342"/>
      <c r="UO8" s="342"/>
      <c r="UP8" s="342"/>
      <c r="UQ8" s="342"/>
      <c r="UR8" s="342"/>
      <c r="US8" s="342"/>
      <c r="UT8" s="342"/>
      <c r="UU8" s="342"/>
      <c r="UV8" s="342"/>
      <c r="UW8" s="342"/>
      <c r="UX8" s="342"/>
      <c r="UY8" s="342"/>
      <c r="UZ8" s="342"/>
      <c r="VA8" s="342"/>
      <c r="VB8" s="342"/>
      <c r="VC8" s="342"/>
      <c r="VD8" s="342"/>
      <c r="VE8" s="342"/>
      <c r="VF8" s="342"/>
      <c r="VG8" s="342"/>
      <c r="VH8" s="342"/>
      <c r="VI8" s="342"/>
      <c r="VJ8" s="342"/>
      <c r="VK8" s="342"/>
      <c r="VL8" s="342"/>
      <c r="VM8" s="342"/>
      <c r="VN8" s="342"/>
      <c r="VO8" s="342"/>
      <c r="VP8" s="342"/>
      <c r="VQ8" s="342"/>
      <c r="VR8" s="342"/>
      <c r="VS8" s="342"/>
      <c r="VT8" s="342"/>
      <c r="VU8" s="342"/>
      <c r="VV8" s="342"/>
      <c r="VW8" s="342"/>
      <c r="VX8" s="342"/>
      <c r="VY8" s="342"/>
      <c r="VZ8" s="342"/>
      <c r="WA8" s="342"/>
      <c r="WB8" s="342"/>
      <c r="WC8" s="342"/>
      <c r="WD8" s="342"/>
      <c r="WE8" s="342"/>
      <c r="WF8" s="342"/>
      <c r="WG8" s="342"/>
      <c r="WH8" s="342"/>
      <c r="WI8" s="342"/>
      <c r="WJ8" s="342"/>
      <c r="WK8" s="342"/>
      <c r="WL8" s="342"/>
      <c r="WM8" s="342"/>
      <c r="WN8" s="342"/>
      <c r="WO8" s="342"/>
      <c r="WP8" s="342"/>
      <c r="WQ8" s="342"/>
      <c r="WR8" s="342"/>
      <c r="WS8" s="342"/>
      <c r="WT8" s="342"/>
      <c r="WU8" s="342"/>
      <c r="WV8" s="342"/>
      <c r="WW8" s="342"/>
      <c r="WX8" s="342"/>
      <c r="WY8" s="342"/>
      <c r="WZ8" s="342"/>
      <c r="XA8" s="342"/>
      <c r="XB8" s="342"/>
      <c r="XC8" s="342"/>
      <c r="XD8" s="342"/>
      <c r="XE8" s="342"/>
      <c r="XF8" s="342"/>
      <c r="XG8" s="342"/>
      <c r="XH8" s="342"/>
      <c r="XI8" s="342"/>
      <c r="XJ8" s="342"/>
      <c r="XK8" s="342"/>
      <c r="XL8" s="342"/>
      <c r="XM8" s="342"/>
      <c r="XN8" s="342"/>
      <c r="XO8" s="342"/>
      <c r="XP8" s="342"/>
      <c r="XQ8" s="342"/>
      <c r="XR8" s="342"/>
      <c r="XS8" s="342"/>
      <c r="XT8" s="342"/>
      <c r="XU8" s="342"/>
      <c r="XV8" s="342"/>
      <c r="XW8" s="342"/>
      <c r="XX8" s="342"/>
      <c r="XY8" s="342"/>
      <c r="XZ8" s="342"/>
      <c r="YA8" s="342"/>
      <c r="YB8" s="342"/>
      <c r="YC8" s="342"/>
      <c r="YD8" s="342"/>
      <c r="YE8" s="342"/>
      <c r="YF8" s="342"/>
      <c r="YG8" s="342"/>
      <c r="YH8" s="342"/>
      <c r="YI8" s="342"/>
      <c r="YJ8" s="342"/>
      <c r="YK8" s="342"/>
      <c r="YL8" s="342"/>
      <c r="YM8" s="342"/>
      <c r="YN8" s="342"/>
      <c r="YO8" s="342"/>
      <c r="YP8" s="342"/>
      <c r="YQ8" s="342"/>
      <c r="YR8" s="342"/>
      <c r="YS8" s="342"/>
      <c r="YT8" s="342"/>
      <c r="YU8" s="342"/>
      <c r="YV8" s="342"/>
      <c r="YW8" s="342"/>
      <c r="YX8" s="342"/>
      <c r="YY8" s="342"/>
      <c r="YZ8" s="342"/>
      <c r="ZA8" s="342"/>
      <c r="ZB8" s="342"/>
      <c r="ZC8" s="342"/>
      <c r="ZD8" s="342"/>
      <c r="ZE8" s="342"/>
      <c r="ZF8" s="342"/>
      <c r="ZG8" s="342"/>
      <c r="ZH8" s="342"/>
      <c r="ZI8" s="342"/>
      <c r="ZJ8" s="342"/>
      <c r="ZK8" s="342"/>
      <c r="ZL8" s="342"/>
      <c r="ZM8" s="342"/>
      <c r="ZN8" s="342"/>
      <c r="ZO8" s="342"/>
      <c r="ZP8" s="342"/>
      <c r="ZQ8" s="342"/>
      <c r="ZR8" s="342"/>
      <c r="ZS8" s="342"/>
      <c r="ZT8" s="342"/>
      <c r="ZU8" s="342"/>
      <c r="ZV8" s="342"/>
      <c r="ZW8" s="342"/>
      <c r="ZX8" s="342"/>
      <c r="ZY8" s="342"/>
      <c r="ZZ8" s="342"/>
      <c r="AAA8" s="342"/>
      <c r="AAB8" s="342"/>
      <c r="AAC8" s="342"/>
      <c r="AAD8" s="342"/>
      <c r="AAE8" s="342"/>
      <c r="AAF8" s="342"/>
      <c r="AAG8" s="342"/>
      <c r="AAH8" s="342"/>
      <c r="AAI8" s="342"/>
      <c r="AAJ8" s="342"/>
      <c r="AAK8" s="342"/>
      <c r="AAL8" s="342"/>
      <c r="AAM8" s="342"/>
      <c r="AAN8" s="342"/>
      <c r="AAO8" s="342"/>
      <c r="AAP8" s="342"/>
      <c r="AAQ8" s="342"/>
      <c r="AAR8" s="342"/>
      <c r="AAS8" s="342"/>
      <c r="AAT8" s="342"/>
      <c r="AAU8" s="342"/>
      <c r="AAV8" s="342"/>
      <c r="AAW8" s="342"/>
      <c r="AAX8" s="342"/>
      <c r="AAY8" s="342"/>
      <c r="AAZ8" s="342"/>
      <c r="ABA8" s="342"/>
      <c r="ABB8" s="342"/>
      <c r="ABC8" s="342"/>
      <c r="ABD8" s="342"/>
      <c r="ABE8" s="342"/>
      <c r="ABF8" s="342"/>
      <c r="ABG8" s="342"/>
      <c r="ABH8" s="342"/>
      <c r="ABI8" s="342"/>
      <c r="ABJ8" s="342"/>
      <c r="ABK8" s="342"/>
      <c r="ABL8" s="342"/>
      <c r="ABM8" s="342"/>
      <c r="ABN8" s="342"/>
      <c r="ABO8" s="342"/>
      <c r="ABP8" s="342"/>
      <c r="ABQ8" s="342"/>
      <c r="ABR8" s="342"/>
      <c r="ABS8" s="342"/>
      <c r="ABT8" s="342"/>
      <c r="ABU8" s="342"/>
      <c r="ABV8" s="342"/>
      <c r="ABW8" s="342"/>
      <c r="ABX8" s="342"/>
      <c r="ABY8" s="342"/>
      <c r="ABZ8" s="342"/>
      <c r="ACA8" s="342"/>
      <c r="ACB8" s="342"/>
      <c r="ACC8" s="342"/>
      <c r="ACD8" s="342"/>
      <c r="ACE8" s="342"/>
      <c r="ACF8" s="342"/>
      <c r="ACG8" s="342"/>
      <c r="ACH8" s="342"/>
      <c r="ACI8" s="342"/>
      <c r="ACJ8" s="342"/>
      <c r="ACK8" s="342"/>
      <c r="ACL8" s="342"/>
      <c r="ACM8" s="342"/>
      <c r="ACN8" s="342"/>
      <c r="ACO8" s="342"/>
      <c r="ACP8" s="342"/>
      <c r="ACQ8" s="342"/>
      <c r="ACR8" s="342"/>
      <c r="ACS8" s="342"/>
      <c r="ACT8" s="342"/>
      <c r="ACU8" s="342"/>
      <c r="ACV8" s="342"/>
      <c r="ACW8" s="342"/>
      <c r="ACX8" s="342"/>
      <c r="ACY8" s="342"/>
      <c r="ACZ8" s="342"/>
      <c r="ADA8" s="342"/>
      <c r="ADB8" s="342"/>
      <c r="ADC8" s="342"/>
      <c r="ADD8" s="342"/>
      <c r="ADE8" s="342"/>
      <c r="ADF8" s="342"/>
      <c r="ADG8" s="342"/>
      <c r="ADH8" s="342"/>
      <c r="ADI8" s="342"/>
      <c r="ADJ8" s="342"/>
      <c r="ADK8" s="342"/>
      <c r="ADL8" s="342"/>
      <c r="ADM8" s="342"/>
      <c r="ADN8" s="342"/>
      <c r="ADO8" s="342"/>
      <c r="ADP8" s="342"/>
      <c r="ADQ8" s="342"/>
      <c r="ADR8" s="342"/>
      <c r="ADS8" s="342"/>
      <c r="ADT8" s="342"/>
      <c r="ADU8" s="342"/>
      <c r="ADV8" s="342"/>
      <c r="ADW8" s="342"/>
      <c r="ADX8" s="342"/>
      <c r="ADY8" s="342"/>
      <c r="ADZ8" s="342"/>
      <c r="AEA8" s="342"/>
      <c r="AEB8" s="342"/>
      <c r="AEC8" s="342"/>
      <c r="AED8" s="342"/>
      <c r="AEE8" s="342"/>
      <c r="AEF8" s="342"/>
      <c r="AEG8" s="342"/>
      <c r="AEH8" s="342"/>
      <c r="AEI8" s="342"/>
      <c r="AEJ8" s="342"/>
      <c r="AEK8" s="342"/>
      <c r="AEL8" s="342"/>
      <c r="AEM8" s="342"/>
      <c r="AEN8" s="342"/>
      <c r="AEO8" s="342"/>
      <c r="AEP8" s="342"/>
      <c r="AEQ8" s="342"/>
      <c r="AER8" s="342"/>
      <c r="AES8" s="342"/>
      <c r="AET8" s="342"/>
      <c r="AEU8" s="342"/>
      <c r="AEV8" s="342"/>
      <c r="AEW8" s="342"/>
      <c r="AEX8" s="342"/>
      <c r="AEY8" s="342"/>
      <c r="AEZ8" s="342"/>
      <c r="AFA8" s="342"/>
      <c r="AFB8" s="342"/>
      <c r="AFC8" s="342"/>
      <c r="AFD8" s="342"/>
      <c r="AFE8" s="342"/>
      <c r="AFF8" s="342"/>
      <c r="AFG8" s="342"/>
      <c r="AFH8" s="342"/>
      <c r="AFI8" s="342"/>
      <c r="AFJ8" s="342"/>
      <c r="AFK8" s="342"/>
      <c r="AFL8" s="342"/>
      <c r="AFM8" s="342"/>
      <c r="AFN8" s="342"/>
      <c r="AFO8" s="342"/>
      <c r="AFP8" s="342"/>
      <c r="AFQ8" s="342"/>
      <c r="AFR8" s="342"/>
      <c r="AFS8" s="342"/>
      <c r="AFT8" s="342"/>
      <c r="AFU8" s="342"/>
      <c r="AFV8" s="342"/>
      <c r="AFW8" s="342"/>
      <c r="AFX8" s="342"/>
      <c r="AFY8" s="342"/>
      <c r="AFZ8" s="342"/>
      <c r="AGA8" s="342"/>
      <c r="AGB8" s="342"/>
      <c r="AGC8" s="342"/>
      <c r="AGD8" s="342"/>
      <c r="AGE8" s="342"/>
      <c r="AGF8" s="342"/>
      <c r="AGG8" s="342"/>
      <c r="AGH8" s="342"/>
      <c r="AGI8" s="342"/>
      <c r="AGJ8" s="342"/>
      <c r="AGK8" s="342"/>
      <c r="AGL8" s="342"/>
      <c r="AGM8" s="342"/>
      <c r="AGN8" s="342"/>
      <c r="AGO8" s="342"/>
      <c r="AGP8" s="342"/>
      <c r="AGQ8" s="342"/>
      <c r="AGR8" s="342"/>
      <c r="AGS8" s="342"/>
      <c r="AGT8" s="342"/>
      <c r="AGU8" s="342"/>
      <c r="AGV8" s="342"/>
      <c r="AGW8" s="342"/>
      <c r="AGX8" s="342"/>
      <c r="AGY8" s="342"/>
      <c r="AGZ8" s="342"/>
      <c r="AHA8" s="342"/>
      <c r="AHB8" s="342"/>
      <c r="AHC8" s="342"/>
      <c r="AHD8" s="342"/>
      <c r="AHE8" s="342"/>
      <c r="AHF8" s="342"/>
      <c r="AHG8" s="342"/>
      <c r="AHH8" s="342"/>
      <c r="AHI8" s="342"/>
      <c r="AHJ8" s="342"/>
      <c r="AHK8" s="342"/>
      <c r="AHL8" s="342"/>
      <c r="AHM8" s="342"/>
      <c r="AHN8" s="342"/>
      <c r="AHO8" s="342"/>
      <c r="AHP8" s="342"/>
      <c r="AHQ8" s="342"/>
      <c r="AHR8" s="342"/>
      <c r="AHS8" s="342"/>
      <c r="AHT8" s="342"/>
      <c r="AHU8" s="342"/>
      <c r="AHV8" s="342"/>
      <c r="AHW8" s="342"/>
      <c r="AHX8" s="342"/>
      <c r="AHY8" s="342"/>
      <c r="AHZ8" s="342"/>
      <c r="AIA8" s="342"/>
      <c r="AIB8" s="342"/>
      <c r="AIC8" s="342"/>
      <c r="AID8" s="342"/>
      <c r="AIE8" s="342"/>
      <c r="AIF8" s="342"/>
      <c r="AIG8" s="342"/>
      <c r="AIH8" s="342"/>
      <c r="AII8" s="342"/>
      <c r="AIJ8" s="342"/>
      <c r="AIK8" s="342"/>
      <c r="AIL8" s="342"/>
      <c r="AIM8" s="342"/>
      <c r="AIN8" s="342"/>
      <c r="AIO8" s="342"/>
      <c r="AIP8" s="342"/>
      <c r="AIQ8" s="342"/>
      <c r="AIR8" s="342"/>
      <c r="AIS8" s="342"/>
      <c r="AIT8" s="342"/>
      <c r="AIU8" s="342"/>
      <c r="AIV8" s="342"/>
      <c r="AIW8" s="342"/>
      <c r="AIX8" s="342"/>
      <c r="AIY8" s="342"/>
      <c r="AIZ8" s="342"/>
      <c r="AJA8" s="342"/>
      <c r="AJB8" s="342"/>
      <c r="AJC8" s="342"/>
      <c r="AJD8" s="342"/>
      <c r="AJE8" s="342"/>
      <c r="AJF8" s="342"/>
      <c r="AJG8" s="342"/>
      <c r="AJH8" s="342"/>
      <c r="AJI8" s="342"/>
      <c r="AJJ8" s="342"/>
      <c r="AJK8" s="342"/>
      <c r="AJL8" s="342"/>
      <c r="AJM8" s="342"/>
      <c r="AJN8" s="342"/>
      <c r="AJO8" s="342"/>
      <c r="AJP8" s="342"/>
      <c r="AJQ8" s="342"/>
      <c r="AJR8" s="342"/>
      <c r="AJS8" s="342"/>
      <c r="AJT8" s="342"/>
      <c r="AJU8" s="342"/>
      <c r="AJV8" s="342"/>
      <c r="AJW8" s="342"/>
      <c r="AJX8" s="342"/>
      <c r="AJY8" s="342"/>
      <c r="AJZ8" s="342"/>
      <c r="AKA8" s="342"/>
      <c r="AKB8" s="342"/>
      <c r="AKC8" s="342"/>
      <c r="AKD8" s="342"/>
      <c r="AKE8" s="342"/>
      <c r="AKF8" s="342"/>
      <c r="AKG8" s="342"/>
      <c r="AKH8" s="342"/>
      <c r="AKI8" s="342"/>
      <c r="AKJ8" s="342"/>
      <c r="AKK8" s="342"/>
      <c r="AKL8" s="342"/>
      <c r="AKM8" s="342"/>
      <c r="AKN8" s="342"/>
      <c r="AKO8" s="342"/>
      <c r="AKP8" s="342"/>
      <c r="AKQ8" s="342"/>
      <c r="AKR8" s="342"/>
      <c r="AKS8" s="342"/>
      <c r="AKT8" s="342"/>
      <c r="AKU8" s="342"/>
      <c r="AKV8" s="342"/>
      <c r="AKW8" s="342"/>
      <c r="AKX8" s="342"/>
      <c r="AKY8" s="342"/>
      <c r="AKZ8" s="342"/>
      <c r="ALA8" s="342"/>
      <c r="ALB8" s="342"/>
      <c r="ALC8" s="342"/>
      <c r="ALD8" s="342"/>
      <c r="ALE8" s="342"/>
      <c r="ALF8" s="342"/>
      <c r="ALG8" s="342"/>
      <c r="ALH8" s="342"/>
      <c r="ALI8" s="342"/>
      <c r="ALJ8" s="342"/>
      <c r="ALK8" s="342"/>
      <c r="ALL8" s="342"/>
      <c r="ALM8" s="342"/>
      <c r="ALN8" s="342"/>
      <c r="ALO8" s="342"/>
      <c r="ALP8" s="342"/>
      <c r="ALQ8" s="342"/>
      <c r="ALR8" s="342"/>
      <c r="ALS8" s="342"/>
      <c r="ALT8" s="342"/>
      <c r="ALU8" s="342"/>
      <c r="ALV8" s="342"/>
      <c r="ALW8" s="342"/>
      <c r="ALX8" s="342"/>
      <c r="ALY8" s="342"/>
      <c r="ALZ8" s="342"/>
      <c r="AMA8" s="342"/>
      <c r="AMB8" s="342"/>
      <c r="AMC8" s="342"/>
      <c r="AMD8" s="342"/>
      <c r="AME8" s="342"/>
      <c r="AMF8" s="342"/>
      <c r="AMG8" s="342"/>
      <c r="AMH8" s="342"/>
      <c r="AMI8" s="342"/>
      <c r="AMJ8" s="321"/>
      <c r="AMK8" s="321"/>
    </row>
    <row r="9" ht="100.5" customHeight="1" spans="1:1025" x14ac:dyDescent="0.25">
      <c r="A9" s="135"/>
      <c r="B9" s="346"/>
      <c r="C9" s="348" t="s">
        <v>693</v>
      </c>
      <c r="D9" s="349" t="s">
        <v>826</v>
      </c>
      <c r="E9" s="349" t="s">
        <v>827</v>
      </c>
      <c r="F9" s="349" t="s">
        <v>828</v>
      </c>
      <c r="G9" s="349" t="s">
        <v>829</v>
      </c>
      <c r="H9" s="348" t="s">
        <v>830</v>
      </c>
      <c r="I9" s="348" t="s">
        <v>693</v>
      </c>
      <c r="J9" s="346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  <c r="AKV9" s="342"/>
      <c r="AKW9" s="342"/>
      <c r="AKX9" s="342"/>
      <c r="AKY9" s="342"/>
      <c r="AKZ9" s="342"/>
      <c r="ALA9" s="342"/>
      <c r="ALB9" s="342"/>
      <c r="ALC9" s="342"/>
      <c r="ALD9" s="342"/>
      <c r="ALE9" s="342"/>
      <c r="ALF9" s="342"/>
      <c r="ALG9" s="342"/>
      <c r="ALH9" s="342"/>
      <c r="ALI9" s="342"/>
      <c r="ALJ9" s="342"/>
      <c r="ALK9" s="342"/>
      <c r="ALL9" s="342"/>
      <c r="ALM9" s="342"/>
      <c r="ALN9" s="342"/>
      <c r="ALO9" s="342"/>
      <c r="ALP9" s="342"/>
      <c r="ALQ9" s="342"/>
      <c r="ALR9" s="342"/>
      <c r="ALS9" s="342"/>
      <c r="ALT9" s="342"/>
      <c r="ALU9" s="342"/>
      <c r="ALV9" s="342"/>
      <c r="ALW9" s="342"/>
      <c r="ALX9" s="342"/>
      <c r="ALY9" s="342"/>
      <c r="ALZ9" s="342"/>
      <c r="AMA9" s="342"/>
      <c r="AMB9" s="342"/>
      <c r="AMC9" s="342"/>
      <c r="AMD9" s="342"/>
      <c r="AME9" s="342"/>
      <c r="AMF9" s="342"/>
      <c r="AMG9" s="342"/>
      <c r="AMH9" s="342"/>
      <c r="AMI9" s="342"/>
      <c r="AMJ9" s="321"/>
      <c r="AMK9" s="321"/>
    </row>
    <row r="10" ht="36" customHeight="1" spans="1:1023" x14ac:dyDescent="0.25">
      <c r="A10" s="145"/>
      <c r="B10" s="350" t="s">
        <v>154</v>
      </c>
      <c r="C10" s="135" t="s">
        <v>157</v>
      </c>
      <c r="D10" s="135" t="s">
        <v>160</v>
      </c>
      <c r="E10" s="135" t="s">
        <v>164</v>
      </c>
      <c r="F10" s="135" t="s">
        <v>321</v>
      </c>
      <c r="G10" s="135" t="s">
        <v>329</v>
      </c>
      <c r="H10" s="135" t="s">
        <v>331</v>
      </c>
      <c r="I10" s="135" t="s">
        <v>831</v>
      </c>
      <c r="J10" s="135" t="s">
        <v>832</v>
      </c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7"/>
      <c r="QQ10" s="337"/>
      <c r="QR10" s="337"/>
      <c r="QS10" s="337"/>
      <c r="QT10" s="337"/>
      <c r="QU10" s="337"/>
      <c r="QV10" s="337"/>
      <c r="QW10" s="337"/>
      <c r="QX10" s="337"/>
      <c r="QY10" s="337"/>
      <c r="QZ10" s="337"/>
      <c r="RA10" s="337"/>
      <c r="RB10" s="337"/>
      <c r="RC10" s="337"/>
      <c r="RD10" s="337"/>
      <c r="RE10" s="337"/>
      <c r="RF10" s="337"/>
      <c r="RG10" s="337"/>
      <c r="RH10" s="337"/>
      <c r="RI10" s="337"/>
      <c r="RJ10" s="337"/>
      <c r="RK10" s="337"/>
      <c r="RL10" s="337"/>
      <c r="RM10" s="337"/>
      <c r="RN10" s="337"/>
      <c r="RO10" s="337"/>
      <c r="RP10" s="337"/>
      <c r="RQ10" s="337"/>
      <c r="RR10" s="337"/>
      <c r="RS10" s="337"/>
      <c r="RT10" s="337"/>
      <c r="RU10" s="337"/>
      <c r="RV10" s="337"/>
      <c r="RW10" s="337"/>
      <c r="RX10" s="337"/>
      <c r="RY10" s="337"/>
      <c r="RZ10" s="337"/>
      <c r="SA10" s="337"/>
      <c r="SB10" s="337"/>
      <c r="SC10" s="337"/>
      <c r="SD10" s="337"/>
      <c r="SE10" s="337"/>
      <c r="SF10" s="337"/>
      <c r="SG10" s="337"/>
      <c r="SH10" s="337"/>
      <c r="SI10" s="337"/>
      <c r="SJ10" s="337"/>
      <c r="SK10" s="337"/>
      <c r="SL10" s="337"/>
      <c r="SM10" s="337"/>
      <c r="SN10" s="337"/>
      <c r="SO10" s="337"/>
      <c r="SP10" s="337"/>
      <c r="SQ10" s="337"/>
      <c r="SR10" s="337"/>
      <c r="SS10" s="337"/>
      <c r="ST10" s="337"/>
      <c r="SU10" s="337"/>
      <c r="SV10" s="337"/>
      <c r="SW10" s="337"/>
      <c r="SX10" s="337"/>
      <c r="SY10" s="337"/>
      <c r="SZ10" s="337"/>
      <c r="TA10" s="337"/>
      <c r="TB10" s="337"/>
      <c r="TC10" s="337"/>
      <c r="TD10" s="337"/>
      <c r="TE10" s="337"/>
      <c r="TF10" s="337"/>
      <c r="TG10" s="337"/>
      <c r="TH10" s="337"/>
      <c r="TI10" s="337"/>
      <c r="TJ10" s="337"/>
      <c r="TK10" s="337"/>
      <c r="TL10" s="337"/>
      <c r="TM10" s="337"/>
      <c r="TN10" s="337"/>
      <c r="TO10" s="337"/>
      <c r="TP10" s="337"/>
      <c r="TQ10" s="337"/>
      <c r="TR10" s="337"/>
      <c r="TS10" s="337"/>
      <c r="TT10" s="337"/>
      <c r="TU10" s="337"/>
      <c r="TV10" s="337"/>
      <c r="TW10" s="337"/>
      <c r="TX10" s="337"/>
      <c r="TY10" s="337"/>
      <c r="TZ10" s="337"/>
      <c r="UA10" s="337"/>
      <c r="UB10" s="337"/>
      <c r="UC10" s="337"/>
      <c r="UD10" s="337"/>
      <c r="UE10" s="337"/>
      <c r="UF10" s="337"/>
      <c r="UG10" s="337"/>
      <c r="UH10" s="337"/>
      <c r="UI10" s="337"/>
      <c r="UJ10" s="337"/>
      <c r="UK10" s="337"/>
      <c r="UL10" s="337"/>
      <c r="UM10" s="337"/>
      <c r="UN10" s="337"/>
      <c r="UO10" s="337"/>
      <c r="UP10" s="337"/>
      <c r="UQ10" s="337"/>
      <c r="UR10" s="337"/>
      <c r="US10" s="337"/>
      <c r="UT10" s="337"/>
      <c r="UU10" s="337"/>
      <c r="UV10" s="337"/>
      <c r="UW10" s="337"/>
      <c r="UX10" s="337"/>
      <c r="UY10" s="337"/>
      <c r="UZ10" s="337"/>
      <c r="VA10" s="337"/>
      <c r="VB10" s="337"/>
      <c r="VC10" s="337"/>
      <c r="VD10" s="337"/>
      <c r="VE10" s="337"/>
      <c r="VF10" s="337"/>
      <c r="VG10" s="337"/>
      <c r="VH10" s="337"/>
      <c r="VI10" s="337"/>
      <c r="VJ10" s="337"/>
      <c r="VK10" s="337"/>
      <c r="VL10" s="337"/>
      <c r="VM10" s="337"/>
      <c r="VN10" s="337"/>
      <c r="VO10" s="337"/>
      <c r="VP10" s="337"/>
      <c r="VQ10" s="337"/>
      <c r="VR10" s="337"/>
      <c r="VS10" s="337"/>
      <c r="VT10" s="337"/>
      <c r="VU10" s="337"/>
      <c r="VV10" s="337"/>
      <c r="VW10" s="337"/>
      <c r="VX10" s="337"/>
      <c r="VY10" s="337"/>
      <c r="VZ10" s="337"/>
      <c r="WA10" s="337"/>
      <c r="WB10" s="337"/>
      <c r="WC10" s="337"/>
      <c r="WD10" s="337"/>
      <c r="WE10" s="337"/>
      <c r="WF10" s="337"/>
      <c r="WG10" s="337"/>
      <c r="WH10" s="337"/>
      <c r="WI10" s="337"/>
      <c r="WJ10" s="337"/>
      <c r="WK10" s="337"/>
      <c r="WL10" s="337"/>
      <c r="WM10" s="337"/>
      <c r="WN10" s="337"/>
      <c r="WO10" s="337"/>
      <c r="WP10" s="337"/>
      <c r="WQ10" s="337"/>
      <c r="WR10" s="337"/>
      <c r="WS10" s="337"/>
      <c r="WT10" s="337"/>
      <c r="WU10" s="337"/>
      <c r="WV10" s="337"/>
      <c r="WW10" s="337"/>
      <c r="WX10" s="337"/>
      <c r="WY10" s="337"/>
      <c r="WZ10" s="337"/>
      <c r="XA10" s="337"/>
      <c r="XB10" s="337"/>
      <c r="XC10" s="337"/>
      <c r="XD10" s="337"/>
      <c r="XE10" s="337"/>
      <c r="XF10" s="337"/>
      <c r="XG10" s="337"/>
      <c r="XH10" s="337"/>
      <c r="XI10" s="337"/>
      <c r="XJ10" s="337"/>
      <c r="XK10" s="337"/>
      <c r="XL10" s="337"/>
      <c r="XM10" s="337"/>
      <c r="XN10" s="337"/>
      <c r="XO10" s="337"/>
      <c r="XP10" s="337"/>
      <c r="XQ10" s="337"/>
      <c r="XR10" s="337"/>
      <c r="XS10" s="337"/>
      <c r="XT10" s="337"/>
      <c r="XU10" s="337"/>
      <c r="XV10" s="337"/>
      <c r="XW10" s="337"/>
      <c r="XX10" s="337"/>
      <c r="XY10" s="337"/>
      <c r="XZ10" s="337"/>
      <c r="YA10" s="337"/>
      <c r="YB10" s="337"/>
      <c r="YC10" s="337"/>
      <c r="YD10" s="337"/>
      <c r="YE10" s="337"/>
      <c r="YF10" s="337"/>
      <c r="YG10" s="337"/>
      <c r="YH10" s="337"/>
      <c r="YI10" s="337"/>
      <c r="YJ10" s="337"/>
      <c r="YK10" s="337"/>
      <c r="YL10" s="337"/>
      <c r="YM10" s="337"/>
      <c r="YN10" s="337"/>
      <c r="YO10" s="337"/>
      <c r="YP10" s="337"/>
      <c r="YQ10" s="337"/>
      <c r="YR10" s="337"/>
      <c r="YS10" s="337"/>
      <c r="YT10" s="337"/>
      <c r="YU10" s="337"/>
      <c r="YV10" s="337"/>
      <c r="YW10" s="337"/>
      <c r="YX10" s="337"/>
      <c r="YY10" s="337"/>
      <c r="YZ10" s="337"/>
      <c r="ZA10" s="337"/>
      <c r="ZB10" s="337"/>
      <c r="ZC10" s="337"/>
      <c r="ZD10" s="337"/>
      <c r="ZE10" s="337"/>
      <c r="ZF10" s="337"/>
      <c r="ZG10" s="337"/>
      <c r="ZH10" s="337"/>
      <c r="ZI10" s="337"/>
      <c r="ZJ10" s="337"/>
      <c r="ZK10" s="337"/>
      <c r="ZL10" s="337"/>
      <c r="ZM10" s="337"/>
      <c r="ZN10" s="337"/>
      <c r="ZO10" s="337"/>
      <c r="ZP10" s="337"/>
      <c r="ZQ10" s="337"/>
      <c r="ZR10" s="337"/>
      <c r="ZS10" s="337"/>
      <c r="ZT10" s="337"/>
      <c r="ZU10" s="337"/>
      <c r="ZV10" s="337"/>
      <c r="ZW10" s="337"/>
      <c r="ZX10" s="337"/>
      <c r="ZY10" s="337"/>
      <c r="ZZ10" s="337"/>
      <c r="AAA10" s="337"/>
      <c r="AAB10" s="337"/>
      <c r="AAC10" s="337"/>
      <c r="AAD10" s="337"/>
      <c r="AAE10" s="337"/>
      <c r="AAF10" s="337"/>
      <c r="AAG10" s="337"/>
      <c r="AAH10" s="337"/>
      <c r="AAI10" s="337"/>
      <c r="AAJ10" s="337"/>
      <c r="AAK10" s="337"/>
      <c r="AAL10" s="337"/>
      <c r="AAM10" s="337"/>
      <c r="AAN10" s="337"/>
      <c r="AAO10" s="337"/>
      <c r="AAP10" s="337"/>
      <c r="AAQ10" s="337"/>
      <c r="AAR10" s="337"/>
      <c r="AAS10" s="337"/>
      <c r="AAT10" s="337"/>
      <c r="AAU10" s="337"/>
      <c r="AAV10" s="337"/>
      <c r="AAW10" s="337"/>
      <c r="AAX10" s="337"/>
      <c r="AAY10" s="337"/>
      <c r="AAZ10" s="337"/>
      <c r="ABA10" s="337"/>
      <c r="ABB10" s="337"/>
      <c r="ABC10" s="337"/>
      <c r="ABD10" s="337"/>
      <c r="ABE10" s="337"/>
      <c r="ABF10" s="337"/>
      <c r="ABG10" s="337"/>
      <c r="ABH10" s="337"/>
      <c r="ABI10" s="337"/>
      <c r="ABJ10" s="337"/>
      <c r="ABK10" s="337"/>
      <c r="ABL10" s="337"/>
      <c r="ABM10" s="337"/>
      <c r="ABN10" s="337"/>
      <c r="ABO10" s="337"/>
      <c r="ABP10" s="337"/>
      <c r="ABQ10" s="337"/>
      <c r="ABR10" s="337"/>
      <c r="ABS10" s="337"/>
      <c r="ABT10" s="337"/>
      <c r="ABU10" s="337"/>
      <c r="ABV10" s="337"/>
      <c r="ABW10" s="337"/>
      <c r="ABX10" s="337"/>
      <c r="ABY10" s="337"/>
      <c r="ABZ10" s="337"/>
      <c r="ACA10" s="337"/>
      <c r="ACB10" s="337"/>
      <c r="ACC10" s="337"/>
      <c r="ACD10" s="337"/>
      <c r="ACE10" s="337"/>
      <c r="ACF10" s="337"/>
      <c r="ACG10" s="337"/>
      <c r="ACH10" s="337"/>
      <c r="ACI10" s="337"/>
      <c r="ACJ10" s="337"/>
      <c r="ACK10" s="337"/>
      <c r="ACL10" s="337"/>
      <c r="ACM10" s="337"/>
      <c r="ACN10" s="337"/>
      <c r="ACO10" s="337"/>
      <c r="ACP10" s="337"/>
      <c r="ACQ10" s="337"/>
      <c r="ACR10" s="337"/>
      <c r="ACS10" s="337"/>
      <c r="ACT10" s="337"/>
      <c r="ACU10" s="337"/>
      <c r="ACV10" s="337"/>
      <c r="ACW10" s="337"/>
      <c r="ACX10" s="337"/>
      <c r="ACY10" s="337"/>
      <c r="ACZ10" s="337"/>
      <c r="ADA10" s="337"/>
      <c r="ADB10" s="337"/>
      <c r="ADC10" s="337"/>
      <c r="ADD10" s="337"/>
      <c r="ADE10" s="337"/>
      <c r="ADF10" s="337"/>
      <c r="ADG10" s="337"/>
      <c r="ADH10" s="337"/>
      <c r="ADI10" s="337"/>
      <c r="ADJ10" s="337"/>
      <c r="ADK10" s="337"/>
      <c r="ADL10" s="337"/>
      <c r="ADM10" s="337"/>
      <c r="ADN10" s="337"/>
      <c r="ADO10" s="337"/>
      <c r="ADP10" s="337"/>
      <c r="ADQ10" s="337"/>
      <c r="ADR10" s="337"/>
      <c r="ADS10" s="337"/>
      <c r="ADT10" s="337"/>
      <c r="ADU10" s="337"/>
      <c r="ADV10" s="337"/>
      <c r="ADW10" s="337"/>
      <c r="ADX10" s="337"/>
      <c r="ADY10" s="337"/>
      <c r="ADZ10" s="337"/>
      <c r="AEA10" s="337"/>
      <c r="AEB10" s="337"/>
      <c r="AEC10" s="337"/>
      <c r="AED10" s="337"/>
      <c r="AEE10" s="337"/>
      <c r="AEF10" s="337"/>
      <c r="AEG10" s="337"/>
      <c r="AEH10" s="337"/>
      <c r="AEI10" s="337"/>
      <c r="AEJ10" s="337"/>
      <c r="AEK10" s="337"/>
      <c r="AEL10" s="337"/>
      <c r="AEM10" s="337"/>
      <c r="AEN10" s="337"/>
      <c r="AEO10" s="337"/>
      <c r="AEP10" s="337"/>
      <c r="AEQ10" s="337"/>
      <c r="AER10" s="337"/>
      <c r="AES10" s="337"/>
      <c r="AET10" s="337"/>
      <c r="AEU10" s="337"/>
      <c r="AEV10" s="337"/>
      <c r="AEW10" s="337"/>
      <c r="AEX10" s="337"/>
      <c r="AEY10" s="337"/>
      <c r="AEZ10" s="337"/>
      <c r="AFA10" s="337"/>
      <c r="AFB10" s="337"/>
      <c r="AFC10" s="337"/>
      <c r="AFD10" s="337"/>
      <c r="AFE10" s="337"/>
      <c r="AFF10" s="337"/>
      <c r="AFG10" s="337"/>
      <c r="AFH10" s="337"/>
      <c r="AFI10" s="337"/>
      <c r="AFJ10" s="337"/>
      <c r="AFK10" s="337"/>
      <c r="AFL10" s="337"/>
      <c r="AFM10" s="337"/>
      <c r="AFN10" s="337"/>
      <c r="AFO10" s="337"/>
      <c r="AFP10" s="337"/>
      <c r="AFQ10" s="337"/>
      <c r="AFR10" s="337"/>
      <c r="AFS10" s="337"/>
      <c r="AFT10" s="337"/>
      <c r="AFU10" s="337"/>
      <c r="AFV10" s="337"/>
      <c r="AFW10" s="337"/>
      <c r="AFX10" s="337"/>
      <c r="AFY10" s="337"/>
      <c r="AFZ10" s="337"/>
      <c r="AGA10" s="337"/>
      <c r="AGB10" s="337"/>
      <c r="AGC10" s="337"/>
      <c r="AGD10" s="337"/>
      <c r="AGE10" s="337"/>
      <c r="AGF10" s="337"/>
      <c r="AGG10" s="337"/>
      <c r="AGH10" s="337"/>
      <c r="AGI10" s="337"/>
      <c r="AGJ10" s="337"/>
      <c r="AGK10" s="337"/>
      <c r="AGL10" s="337"/>
      <c r="AGM10" s="337"/>
      <c r="AGN10" s="337"/>
      <c r="AGO10" s="337"/>
      <c r="AGP10" s="337"/>
      <c r="AGQ10" s="337"/>
      <c r="AGR10" s="337"/>
      <c r="AGS10" s="337"/>
      <c r="AGT10" s="337"/>
      <c r="AGU10" s="337"/>
      <c r="AGV10" s="337"/>
      <c r="AGW10" s="337"/>
      <c r="AGX10" s="337"/>
      <c r="AGY10" s="337"/>
      <c r="AGZ10" s="337"/>
      <c r="AHA10" s="337"/>
      <c r="AHB10" s="337"/>
      <c r="AHC10" s="337"/>
      <c r="AHD10" s="337"/>
      <c r="AHE10" s="337"/>
      <c r="AHF10" s="337"/>
      <c r="AHG10" s="337"/>
      <c r="AHH10" s="337"/>
      <c r="AHI10" s="337"/>
      <c r="AHJ10" s="337"/>
      <c r="AHK10" s="337"/>
      <c r="AHL10" s="337"/>
      <c r="AHM10" s="337"/>
      <c r="AHN10" s="337"/>
      <c r="AHO10" s="337"/>
      <c r="AHP10" s="337"/>
      <c r="AHQ10" s="337"/>
      <c r="AHR10" s="337"/>
      <c r="AHS10" s="337"/>
      <c r="AHT10" s="337"/>
      <c r="AHU10" s="337"/>
      <c r="AHV10" s="337"/>
      <c r="AHW10" s="337"/>
      <c r="AHX10" s="337"/>
      <c r="AHY10" s="337"/>
      <c r="AHZ10" s="337"/>
      <c r="AIA10" s="337"/>
      <c r="AIB10" s="337"/>
      <c r="AIC10" s="337"/>
      <c r="AID10" s="337"/>
      <c r="AIE10" s="337"/>
      <c r="AIF10" s="337"/>
      <c r="AIG10" s="337"/>
      <c r="AIH10" s="337"/>
      <c r="AII10" s="337"/>
      <c r="AIJ10" s="337"/>
      <c r="AIK10" s="337"/>
      <c r="AIL10" s="337"/>
      <c r="AIM10" s="337"/>
      <c r="AIN10" s="337"/>
      <c r="AIO10" s="337"/>
      <c r="AIP10" s="337"/>
      <c r="AIQ10" s="337"/>
      <c r="AIR10" s="337"/>
      <c r="AIS10" s="337"/>
      <c r="AIT10" s="337"/>
      <c r="AIU10" s="337"/>
      <c r="AIV10" s="337"/>
      <c r="AIW10" s="337"/>
      <c r="AIX10" s="337"/>
      <c r="AIY10" s="337"/>
      <c r="AIZ10" s="337"/>
      <c r="AJA10" s="337"/>
      <c r="AJB10" s="337"/>
      <c r="AJC10" s="337"/>
      <c r="AJD10" s="337"/>
      <c r="AJE10" s="337"/>
      <c r="AJF10" s="337"/>
      <c r="AJG10" s="337"/>
      <c r="AJH10" s="337"/>
      <c r="AJI10" s="337"/>
      <c r="AJJ10" s="337"/>
      <c r="AJK10" s="337"/>
      <c r="AJL10" s="337"/>
      <c r="AJM10" s="337"/>
      <c r="AJN10" s="337"/>
      <c r="AJO10" s="337"/>
      <c r="AJP10" s="337"/>
      <c r="AJQ10" s="337"/>
      <c r="AJR10" s="337"/>
      <c r="AJS10" s="337"/>
      <c r="AJT10" s="337"/>
      <c r="AJU10" s="337"/>
      <c r="AJV10" s="337"/>
      <c r="AJW10" s="337"/>
      <c r="AJX10" s="337"/>
      <c r="AJY10" s="337"/>
      <c r="AJZ10" s="337"/>
      <c r="AKA10" s="337"/>
      <c r="AKB10" s="337"/>
      <c r="AKC10" s="337"/>
      <c r="AKD10" s="337"/>
      <c r="AKE10" s="337"/>
      <c r="AKF10" s="337"/>
      <c r="AKG10" s="337"/>
      <c r="AKH10" s="337"/>
      <c r="AKI10" s="337"/>
      <c r="AKJ10" s="337"/>
      <c r="AKK10" s="337"/>
      <c r="AKL10" s="337"/>
      <c r="AKM10" s="337"/>
      <c r="AKN10" s="337"/>
      <c r="AKO10" s="337"/>
      <c r="AKP10" s="337"/>
      <c r="AKQ10" s="337"/>
      <c r="AKR10" s="337"/>
      <c r="AKS10" s="337"/>
      <c r="AKT10" s="337"/>
      <c r="AKU10" s="337"/>
      <c r="AKV10" s="337"/>
      <c r="AKW10" s="337"/>
      <c r="AKX10" s="337"/>
      <c r="AKY10" s="337"/>
      <c r="AKZ10" s="337"/>
      <c r="ALA10" s="337"/>
      <c r="ALB10" s="337"/>
      <c r="ALC10" s="337"/>
      <c r="ALD10" s="337"/>
      <c r="ALE10" s="337"/>
      <c r="ALF10" s="337"/>
      <c r="ALG10" s="337"/>
      <c r="ALH10" s="337"/>
      <c r="ALI10" s="337"/>
      <c r="ALJ10" s="337"/>
      <c r="ALK10" s="337"/>
      <c r="ALL10" s="337"/>
      <c r="ALM10" s="337"/>
      <c r="ALN10" s="337"/>
      <c r="ALO10" s="337"/>
      <c r="ALP10" s="337"/>
      <c r="ALQ10" s="337"/>
      <c r="ALR10" s="337"/>
      <c r="ALS10" s="337"/>
      <c r="ALT10" s="337"/>
      <c r="ALU10" s="337"/>
      <c r="ALV10" s="337"/>
      <c r="ALW10" s="337"/>
      <c r="ALX10" s="337"/>
      <c r="ALY10" s="337"/>
      <c r="ALZ10" s="337"/>
      <c r="AMA10" s="337"/>
      <c r="AMB10" s="337"/>
      <c r="AMC10" s="337"/>
      <c r="AMD10" s="337"/>
      <c r="AME10" s="337"/>
      <c r="AMF10" s="337"/>
      <c r="AMG10" s="337"/>
      <c r="AMH10" s="337"/>
      <c r="AMI10" s="337"/>
    </row>
    <row r="11" ht="17.4" customHeight="1" spans="1:10" x14ac:dyDescent="0.25">
      <c r="A11" s="145"/>
      <c r="B11" s="351" t="s">
        <v>833</v>
      </c>
      <c r="C11" s="351"/>
      <c r="D11" s="351"/>
      <c r="E11" s="351"/>
      <c r="F11" s="351"/>
      <c r="G11" s="351"/>
      <c r="H11" s="351"/>
      <c r="I11" s="351"/>
      <c r="J11" s="351"/>
    </row>
    <row r="12" ht="17.5" customHeight="1" spans="1:10" x14ac:dyDescent="0.25">
      <c r="A12" s="252" t="s">
        <v>834</v>
      </c>
      <c r="B12" s="352">
        <v>0</v>
      </c>
      <c r="C12" s="353">
        <v>204513</v>
      </c>
      <c r="D12" s="353">
        <v>0</v>
      </c>
      <c r="E12" s="353">
        <v>0</v>
      </c>
      <c r="F12" s="353">
        <v>0</v>
      </c>
      <c r="G12" s="353">
        <v>0</v>
      </c>
      <c r="H12" s="353">
        <v>0</v>
      </c>
      <c r="I12" s="353">
        <f>C12+D12+E12+F12+G12+H12</f>
        <v>204513</v>
      </c>
      <c r="J12" s="354"/>
    </row>
    <row r="13" ht="17.5" customHeight="1" spans="1:10" x14ac:dyDescent="0.25">
      <c r="A13" s="252" t="s">
        <v>835</v>
      </c>
      <c r="B13" s="352">
        <v>0.2</v>
      </c>
      <c r="C13" s="353">
        <v>0</v>
      </c>
      <c r="D13" s="353">
        <v>0</v>
      </c>
      <c r="E13" s="353">
        <v>0</v>
      </c>
      <c r="F13" s="353">
        <v>0</v>
      </c>
      <c r="G13" s="353">
        <v>0</v>
      </c>
      <c r="H13" s="353">
        <v>0</v>
      </c>
      <c r="I13" s="353">
        <f>C13+D13+E13+F13+G13+H13</f>
        <v>0</v>
      </c>
      <c r="J13" s="353">
        <f>I13*B13</f>
        <v>0</v>
      </c>
    </row>
    <row r="14" ht="17.5" customHeight="1" spans="1:10" x14ac:dyDescent="0.25">
      <c r="A14" s="252" t="s">
        <v>836</v>
      </c>
      <c r="B14" s="352">
        <v>0.5</v>
      </c>
      <c r="C14" s="353">
        <v>0</v>
      </c>
      <c r="D14" s="353">
        <v>0</v>
      </c>
      <c r="E14" s="353">
        <v>0</v>
      </c>
      <c r="F14" s="353">
        <v>0</v>
      </c>
      <c r="G14" s="353">
        <v>0</v>
      </c>
      <c r="H14" s="353">
        <v>0</v>
      </c>
      <c r="I14" s="353">
        <f>C14+D14+E14+F14+G14+H14</f>
        <v>0</v>
      </c>
      <c r="J14" s="353">
        <f>I14*B14</f>
        <v>0</v>
      </c>
    </row>
    <row r="15" ht="17.5" customHeight="1" spans="1:10" x14ac:dyDescent="0.25">
      <c r="A15" s="252" t="s">
        <v>837</v>
      </c>
      <c r="B15" s="352">
        <v>1</v>
      </c>
      <c r="C15" s="353">
        <v>0</v>
      </c>
      <c r="D15" s="353">
        <v>0</v>
      </c>
      <c r="E15" s="353">
        <v>0</v>
      </c>
      <c r="F15" s="353">
        <v>0</v>
      </c>
      <c r="G15" s="353">
        <v>0</v>
      </c>
      <c r="H15" s="353">
        <v>0</v>
      </c>
      <c r="I15" s="353">
        <f>C15+D15+E15+F15+G15+H15</f>
        <v>0</v>
      </c>
      <c r="J15" s="353">
        <f>I15*B15</f>
        <v>0</v>
      </c>
    </row>
    <row r="16" ht="17.5" customHeight="1" spans="1:10" x14ac:dyDescent="0.25">
      <c r="A16" s="252" t="s">
        <v>838</v>
      </c>
      <c r="B16" s="352">
        <v>1.5</v>
      </c>
      <c r="C16" s="353">
        <v>0</v>
      </c>
      <c r="D16" s="353">
        <v>0</v>
      </c>
      <c r="E16" s="353">
        <v>0</v>
      </c>
      <c r="F16" s="353">
        <v>0</v>
      </c>
      <c r="G16" s="353">
        <v>0</v>
      </c>
      <c r="H16" s="353">
        <v>0</v>
      </c>
      <c r="I16" s="353">
        <f>C16+D16+E16+F16+G16+H16</f>
        <v>0</v>
      </c>
      <c r="J16" s="353">
        <f>I16*B16</f>
        <v>0</v>
      </c>
    </row>
    <row r="17" ht="18" customHeight="1" spans="1:10" s="337" customFormat="1" x14ac:dyDescent="0.25">
      <c r="A17" s="252" t="s">
        <v>839</v>
      </c>
      <c r="B17" s="57" t="s">
        <v>520</v>
      </c>
      <c r="C17" s="355">
        <f>C12+C13+C14+C15+C16</f>
        <v>204513</v>
      </c>
      <c r="D17" s="355">
        <f t="shared" ref="D17:J17" si="0">D12+D13+D14+D15+D16</f>
        <v>0</v>
      </c>
      <c r="E17" s="355">
        <f t="shared" si="0"/>
        <v>0</v>
      </c>
      <c r="F17" s="355">
        <f t="shared" si="0"/>
        <v>0</v>
      </c>
      <c r="G17" s="355">
        <f t="shared" si="0"/>
        <v>0</v>
      </c>
      <c r="H17" s="355">
        <f t="shared" si="0"/>
        <v>0</v>
      </c>
      <c r="I17" s="355">
        <f t="shared" si="0"/>
        <v>204513</v>
      </c>
      <c r="J17" s="355">
        <f t="shared" si="0"/>
        <v>0</v>
      </c>
    </row>
    <row r="18" ht="9" customHeight="1" spans="1:10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</row>
    <row r="19" ht="18" customHeight="1" spans="1:10" x14ac:dyDescent="0.25">
      <c r="A19" s="357"/>
      <c r="B19" s="157" t="s">
        <v>840</v>
      </c>
      <c r="C19" s="183"/>
      <c r="D19" s="183"/>
      <c r="E19" s="183"/>
      <c r="F19" s="183"/>
      <c r="G19" s="183"/>
      <c r="H19" s="183"/>
      <c r="I19" s="183"/>
      <c r="J19" s="358"/>
    </row>
    <row r="20" ht="17.5" customHeight="1" spans="1:10" x14ac:dyDescent="0.25">
      <c r="A20" s="145" t="s">
        <v>841</v>
      </c>
      <c r="B20" s="352">
        <v>0</v>
      </c>
      <c r="C20" s="353">
        <v>0</v>
      </c>
      <c r="D20" s="353">
        <v>0</v>
      </c>
      <c r="E20" s="353">
        <v>0</v>
      </c>
      <c r="F20" s="353">
        <v>0</v>
      </c>
      <c r="G20" s="353">
        <v>0</v>
      </c>
      <c r="H20" s="353">
        <v>0</v>
      </c>
      <c r="I20" s="353">
        <v>0</v>
      </c>
      <c r="J20" s="354"/>
    </row>
    <row r="21" ht="17.5" customHeight="1" spans="1:10" x14ac:dyDescent="0.25">
      <c r="A21" s="145" t="s">
        <v>842</v>
      </c>
      <c r="B21" s="352">
        <v>0.2</v>
      </c>
      <c r="C21" s="353">
        <v>0</v>
      </c>
      <c r="D21" s="353">
        <v>0</v>
      </c>
      <c r="E21" s="353">
        <v>0</v>
      </c>
      <c r="F21" s="353">
        <v>0</v>
      </c>
      <c r="G21" s="353">
        <v>0</v>
      </c>
      <c r="H21" s="353">
        <v>0</v>
      </c>
      <c r="I21" s="353">
        <v>0</v>
      </c>
      <c r="J21" s="353">
        <v>0</v>
      </c>
    </row>
    <row r="22" ht="17.5" customHeight="1" spans="1:10" x14ac:dyDescent="0.25">
      <c r="A22" s="145" t="s">
        <v>843</v>
      </c>
      <c r="B22" s="352">
        <v>0.5</v>
      </c>
      <c r="C22" s="353">
        <v>0</v>
      </c>
      <c r="D22" s="353">
        <v>0</v>
      </c>
      <c r="E22" s="353">
        <v>0</v>
      </c>
      <c r="F22" s="353">
        <v>0</v>
      </c>
      <c r="G22" s="353">
        <v>0</v>
      </c>
      <c r="H22" s="353">
        <v>0</v>
      </c>
      <c r="I22" s="353">
        <v>0</v>
      </c>
      <c r="J22" s="353">
        <v>0</v>
      </c>
    </row>
    <row r="23" ht="17.5" customHeight="1" spans="1:10" x14ac:dyDescent="0.25">
      <c r="A23" s="145" t="s">
        <v>844</v>
      </c>
      <c r="B23" s="352">
        <v>1</v>
      </c>
      <c r="C23" s="353">
        <v>0</v>
      </c>
      <c r="D23" s="353">
        <v>0</v>
      </c>
      <c r="E23" s="353">
        <v>0</v>
      </c>
      <c r="F23" s="353">
        <v>0</v>
      </c>
      <c r="G23" s="353">
        <v>0</v>
      </c>
      <c r="H23" s="353">
        <v>0</v>
      </c>
      <c r="I23" s="353">
        <v>0</v>
      </c>
      <c r="J23" s="353">
        <v>0</v>
      </c>
    </row>
    <row r="24" ht="17.5" customHeight="1" spans="1:10" x14ac:dyDescent="0.25">
      <c r="A24" s="145" t="s">
        <v>845</v>
      </c>
      <c r="B24" s="352">
        <v>1.5</v>
      </c>
      <c r="C24" s="353">
        <v>0</v>
      </c>
      <c r="D24" s="353">
        <v>0</v>
      </c>
      <c r="E24" s="353">
        <v>0</v>
      </c>
      <c r="F24" s="353">
        <v>0</v>
      </c>
      <c r="G24" s="353">
        <v>0</v>
      </c>
      <c r="H24" s="353">
        <v>0</v>
      </c>
      <c r="I24" s="353">
        <v>0</v>
      </c>
      <c r="J24" s="353">
        <v>0</v>
      </c>
    </row>
    <row r="25" ht="18" customHeight="1" spans="1:10" s="337" customFormat="1" x14ac:dyDescent="0.25">
      <c r="A25" s="145" t="s">
        <v>846</v>
      </c>
      <c r="B25" s="359" t="s">
        <v>520</v>
      </c>
      <c r="C25" s="355">
        <v>0</v>
      </c>
      <c r="D25" s="355">
        <v>0</v>
      </c>
      <c r="E25" s="355">
        <v>0</v>
      </c>
      <c r="F25" s="355">
        <v>0</v>
      </c>
      <c r="G25" s="355">
        <v>0</v>
      </c>
      <c r="H25" s="355">
        <v>0</v>
      </c>
      <c r="I25" s="355">
        <v>0</v>
      </c>
      <c r="J25" s="355">
        <v>0</v>
      </c>
    </row>
    <row r="26" ht="9" customHeight="1" spans="1:10" x14ac:dyDescent="0.25">
      <c r="A26" s="356"/>
      <c r="B26" s="356"/>
      <c r="C26" s="356"/>
      <c r="D26" s="356"/>
      <c r="E26" s="356"/>
      <c r="F26" s="356"/>
      <c r="G26" s="356"/>
      <c r="H26" s="356"/>
      <c r="I26" s="356"/>
      <c r="J26" s="356"/>
    </row>
    <row r="27" ht="18" customHeight="1" spans="1:10" x14ac:dyDescent="0.25">
      <c r="A27" s="357"/>
      <c r="B27" s="157" t="s">
        <v>847</v>
      </c>
      <c r="C27" s="183"/>
      <c r="D27" s="183"/>
      <c r="E27" s="183"/>
      <c r="F27" s="183"/>
      <c r="G27" s="183"/>
      <c r="H27" s="183"/>
      <c r="I27" s="183"/>
      <c r="J27" s="358"/>
    </row>
    <row r="28" ht="17.5" customHeight="1" spans="1:10" x14ac:dyDescent="0.25">
      <c r="A28" s="145" t="s">
        <v>848</v>
      </c>
      <c r="B28" s="360">
        <v>0</v>
      </c>
      <c r="C28" s="353">
        <v>0</v>
      </c>
      <c r="D28" s="353">
        <v>0</v>
      </c>
      <c r="E28" s="353">
        <v>0</v>
      </c>
      <c r="F28" s="353">
        <v>0</v>
      </c>
      <c r="G28" s="353">
        <v>0</v>
      </c>
      <c r="H28" s="353">
        <v>0</v>
      </c>
      <c r="I28" s="353">
        <v>0</v>
      </c>
      <c r="J28" s="361"/>
    </row>
    <row r="29" ht="17.5" customHeight="1" spans="1:10" x14ac:dyDescent="0.25">
      <c r="A29" s="145" t="s">
        <v>849</v>
      </c>
      <c r="B29" s="352">
        <v>0.2</v>
      </c>
      <c r="C29" s="353">
        <v>0</v>
      </c>
      <c r="D29" s="353">
        <v>0</v>
      </c>
      <c r="E29" s="353">
        <v>0</v>
      </c>
      <c r="F29" s="353">
        <v>0</v>
      </c>
      <c r="G29" s="353">
        <v>0</v>
      </c>
      <c r="H29" s="353">
        <v>0</v>
      </c>
      <c r="I29" s="353">
        <v>0</v>
      </c>
      <c r="J29" s="353">
        <v>0</v>
      </c>
    </row>
    <row r="30" ht="17.5" customHeight="1" spans="1:10" x14ac:dyDescent="0.25">
      <c r="A30" s="145" t="s">
        <v>850</v>
      </c>
      <c r="B30" s="352">
        <v>0.5</v>
      </c>
      <c r="C30" s="353">
        <v>0</v>
      </c>
      <c r="D30" s="353">
        <v>0</v>
      </c>
      <c r="E30" s="353">
        <v>0</v>
      </c>
      <c r="F30" s="353">
        <v>0</v>
      </c>
      <c r="G30" s="353">
        <v>0</v>
      </c>
      <c r="H30" s="353">
        <v>0</v>
      </c>
      <c r="I30" s="353">
        <v>0</v>
      </c>
      <c r="J30" s="353">
        <v>0</v>
      </c>
    </row>
    <row r="31" ht="17.5" customHeight="1" spans="1:10" x14ac:dyDescent="0.25">
      <c r="A31" s="145" t="s">
        <v>851</v>
      </c>
      <c r="B31" s="352">
        <v>1</v>
      </c>
      <c r="C31" s="353">
        <v>0</v>
      </c>
      <c r="D31" s="353">
        <v>0</v>
      </c>
      <c r="E31" s="353">
        <v>0</v>
      </c>
      <c r="F31" s="353">
        <v>0</v>
      </c>
      <c r="G31" s="353">
        <v>0</v>
      </c>
      <c r="H31" s="353">
        <v>0</v>
      </c>
      <c r="I31" s="353">
        <v>0</v>
      </c>
      <c r="J31" s="353">
        <v>0</v>
      </c>
    </row>
    <row r="32" ht="17.5" customHeight="1" spans="1:10" x14ac:dyDescent="0.25">
      <c r="A32" s="145" t="s">
        <v>852</v>
      </c>
      <c r="B32" s="352">
        <v>1.5</v>
      </c>
      <c r="C32" s="353">
        <v>0</v>
      </c>
      <c r="D32" s="353">
        <v>0</v>
      </c>
      <c r="E32" s="353">
        <v>0</v>
      </c>
      <c r="F32" s="353">
        <v>0</v>
      </c>
      <c r="G32" s="353">
        <v>0</v>
      </c>
      <c r="H32" s="353">
        <v>0</v>
      </c>
      <c r="I32" s="353">
        <v>0</v>
      </c>
      <c r="J32" s="353">
        <v>0</v>
      </c>
    </row>
    <row r="33" ht="18" customHeight="1" spans="1:10" s="337" customFormat="1" x14ac:dyDescent="0.25">
      <c r="A33" s="145" t="s">
        <v>853</v>
      </c>
      <c r="B33" s="57" t="s">
        <v>520</v>
      </c>
      <c r="C33" s="355">
        <v>0</v>
      </c>
      <c r="D33" s="355">
        <v>0</v>
      </c>
      <c r="E33" s="355">
        <v>0</v>
      </c>
      <c r="F33" s="355">
        <v>0</v>
      </c>
      <c r="G33" s="355">
        <v>0</v>
      </c>
      <c r="H33" s="355">
        <v>0</v>
      </c>
      <c r="I33" s="355">
        <v>0</v>
      </c>
      <c r="J33" s="355">
        <v>0</v>
      </c>
    </row>
    <row r="34" ht="9" customHeight="1" spans="1:10" x14ac:dyDescent="0.25">
      <c r="A34" s="356"/>
      <c r="B34" s="356"/>
      <c r="C34" s="356"/>
      <c r="D34" s="356"/>
      <c r="E34" s="356"/>
      <c r="F34" s="356"/>
      <c r="G34" s="356"/>
      <c r="H34" s="356"/>
      <c r="I34" s="356"/>
      <c r="J34" s="356"/>
    </row>
    <row r="35" ht="18" customHeight="1" spans="1:10" x14ac:dyDescent="0.25">
      <c r="A35" s="357"/>
      <c r="B35" s="157" t="s">
        <v>854</v>
      </c>
      <c r="C35" s="183"/>
      <c r="D35" s="183"/>
      <c r="E35" s="183"/>
      <c r="F35" s="183"/>
      <c r="G35" s="183"/>
      <c r="H35" s="183"/>
      <c r="I35" s="183"/>
      <c r="J35" s="358"/>
    </row>
    <row r="36" ht="17.5" customHeight="1" spans="1:10" x14ac:dyDescent="0.25">
      <c r="A36" s="145" t="s">
        <v>855</v>
      </c>
      <c r="B36" s="352">
        <v>0</v>
      </c>
      <c r="C36" s="353">
        <v>0</v>
      </c>
      <c r="D36" s="353">
        <v>0</v>
      </c>
      <c r="E36" s="353">
        <v>0</v>
      </c>
      <c r="F36" s="353">
        <v>0</v>
      </c>
      <c r="G36" s="353">
        <v>0</v>
      </c>
      <c r="H36" s="353">
        <v>0</v>
      </c>
      <c r="I36" s="353">
        <v>0</v>
      </c>
      <c r="J36" s="354"/>
    </row>
    <row r="37" ht="17.5" customHeight="1" spans="1:10" x14ac:dyDescent="0.25">
      <c r="A37" s="145" t="s">
        <v>856</v>
      </c>
      <c r="B37" s="352">
        <v>0.2</v>
      </c>
      <c r="C37" s="353">
        <v>0</v>
      </c>
      <c r="D37" s="353">
        <v>0</v>
      </c>
      <c r="E37" s="353">
        <v>0</v>
      </c>
      <c r="F37" s="353">
        <v>0</v>
      </c>
      <c r="G37" s="353">
        <v>0</v>
      </c>
      <c r="H37" s="353">
        <v>0</v>
      </c>
      <c r="I37" s="353">
        <v>0</v>
      </c>
      <c r="J37" s="353">
        <v>0</v>
      </c>
    </row>
    <row r="38" ht="18" customHeight="1" spans="1:10" x14ac:dyDescent="0.25">
      <c r="A38" s="145" t="s">
        <v>857</v>
      </c>
      <c r="B38" s="352">
        <v>0.5</v>
      </c>
      <c r="C38" s="353">
        <v>0</v>
      </c>
      <c r="D38" s="353">
        <v>0</v>
      </c>
      <c r="E38" s="353">
        <v>0</v>
      </c>
      <c r="F38" s="353">
        <v>0</v>
      </c>
      <c r="G38" s="353">
        <v>0</v>
      </c>
      <c r="H38" s="353">
        <v>0</v>
      </c>
      <c r="I38" s="353">
        <v>0</v>
      </c>
      <c r="J38" s="355">
        <v>0</v>
      </c>
    </row>
    <row r="39" ht="17.5" customHeight="1" spans="1:10" x14ac:dyDescent="0.25">
      <c r="A39" s="145" t="s">
        <v>858</v>
      </c>
      <c r="B39" s="352">
        <v>1</v>
      </c>
      <c r="C39" s="353">
        <v>0</v>
      </c>
      <c r="D39" s="353">
        <v>0</v>
      </c>
      <c r="E39" s="353">
        <v>0</v>
      </c>
      <c r="F39" s="353">
        <v>0</v>
      </c>
      <c r="G39" s="353">
        <v>0</v>
      </c>
      <c r="H39" s="353">
        <v>0</v>
      </c>
      <c r="I39" s="353">
        <v>0</v>
      </c>
      <c r="J39" s="353">
        <v>0</v>
      </c>
    </row>
    <row r="40" ht="18" customHeight="1" spans="1:10" x14ac:dyDescent="0.25">
      <c r="A40" s="145" t="s">
        <v>859</v>
      </c>
      <c r="B40" s="352">
        <v>1.5</v>
      </c>
      <c r="C40" s="353">
        <v>0</v>
      </c>
      <c r="D40" s="353">
        <v>0</v>
      </c>
      <c r="E40" s="353">
        <v>0</v>
      </c>
      <c r="F40" s="353">
        <v>0</v>
      </c>
      <c r="G40" s="353">
        <v>0</v>
      </c>
      <c r="H40" s="353">
        <v>0</v>
      </c>
      <c r="I40" s="353">
        <v>0</v>
      </c>
      <c r="J40" s="355">
        <v>0</v>
      </c>
    </row>
    <row r="41" ht="18" customHeight="1" spans="1:10" x14ac:dyDescent="0.25">
      <c r="A41" s="145" t="s">
        <v>860</v>
      </c>
      <c r="B41" s="57" t="s">
        <v>520</v>
      </c>
      <c r="C41" s="355">
        <v>0</v>
      </c>
      <c r="D41" s="355">
        <v>0</v>
      </c>
      <c r="E41" s="355">
        <v>0</v>
      </c>
      <c r="F41" s="355">
        <v>0</v>
      </c>
      <c r="G41" s="355">
        <v>0</v>
      </c>
      <c r="H41" s="355">
        <v>0</v>
      </c>
      <c r="I41" s="355">
        <v>0</v>
      </c>
      <c r="J41" s="353">
        <v>0</v>
      </c>
    </row>
    <row r="42" ht="9" customHeight="1" spans="1:10" x14ac:dyDescent="0.25">
      <c r="A42" s="362"/>
      <c r="B42" s="362"/>
      <c r="C42" s="362"/>
      <c r="D42" s="362"/>
      <c r="E42" s="362"/>
      <c r="F42" s="362"/>
      <c r="G42" s="362"/>
      <c r="H42" s="362"/>
      <c r="I42" s="362"/>
      <c r="J42" s="362"/>
    </row>
    <row r="43" ht="18" customHeight="1" spans="1:10" s="337" customFormat="1" x14ac:dyDescent="0.25">
      <c r="A43" s="252" t="s">
        <v>649</v>
      </c>
      <c r="B43" s="363" t="s">
        <v>861</v>
      </c>
      <c r="C43" s="355">
        <f>C17+C25+C33+C41</f>
        <v>204513</v>
      </c>
      <c r="D43" s="355">
        <f t="shared" ref="D43:J43" si="1">D17+D25+D33+D41</f>
        <v>0</v>
      </c>
      <c r="E43" s="355">
        <f t="shared" si="1"/>
        <v>0</v>
      </c>
      <c r="F43" s="355">
        <f t="shared" si="1"/>
        <v>0</v>
      </c>
      <c r="G43" s="355">
        <f t="shared" si="1"/>
        <v>0</v>
      </c>
      <c r="H43" s="355">
        <f t="shared" si="1"/>
        <v>0</v>
      </c>
      <c r="I43" s="355">
        <f t="shared" si="1"/>
        <v>204513</v>
      </c>
      <c r="J43" s="355">
        <f t="shared" si="1"/>
        <v>0</v>
      </c>
    </row>
    <row r="44" ht="9" customHeight="1" spans="2:10" x14ac:dyDescent="0.25">
      <c r="B44" s="317"/>
      <c r="C44" s="317"/>
      <c r="D44" s="317"/>
      <c r="E44" s="317"/>
      <c r="F44" s="317"/>
      <c r="G44" s="317"/>
      <c r="H44" s="317"/>
      <c r="I44" s="317"/>
      <c r="J44" s="317"/>
    </row>
    <row r="45" ht="9" customHeight="1" spans="10:10" x14ac:dyDescent="0.25">
      <c r="J45" s="317"/>
    </row>
    <row r="46" ht="9" customHeight="1" spans="10:10" x14ac:dyDescent="0.25">
      <c r="J46" s="317"/>
    </row>
    <row r="47" ht="9" customHeight="1" spans="10:10" x14ac:dyDescent="0.25">
      <c r="J47" s="317"/>
    </row>
    <row r="48" ht="9" customHeight="1" spans="10:10" x14ac:dyDescent="0.25">
      <c r="J48" s="317"/>
    </row>
    <row r="49" ht="9" customHeight="1" s="317" customFormat="1" x14ac:dyDescent="0.25"/>
    <row r="50" ht="9" customHeight="1" s="317" customFormat="1" x14ac:dyDescent="0.25"/>
    <row r="51" ht="9" customHeight="1" s="317" customFormat="1" x14ac:dyDescent="0.25"/>
    <row r="52" ht="9" customHeight="1" s="317" customFormat="1" x14ac:dyDescent="0.25"/>
    <row r="53" ht="9" customHeight="1" s="317" customFormat="1" x14ac:dyDescent="0.25"/>
    <row r="54" ht="9" customHeight="1" s="317" customFormat="1" x14ac:dyDescent="0.25"/>
    <row r="55" ht="9" customHeight="1" s="317" customFormat="1" x14ac:dyDescent="0.25"/>
    <row r="56" ht="9" customHeight="1" s="317" customFormat="1" x14ac:dyDescent="0.25"/>
    <row r="57" ht="9" customHeight="1" s="317" customFormat="1" x14ac:dyDescent="0.25"/>
    <row r="58" ht="9" customHeight="1" s="317" customFormat="1" x14ac:dyDescent="0.25"/>
  </sheetData>
  <sheetProtection sheet="1" algorithmName="SHA-512" hashValue="Tv1YFkAgaw+CKzc7Gf58z5frxk+BOY6xVpjm0kzq22DKWL9rRnng6v2IeORE7RoutQo68CT5iNras2E13Up7ng==" saltValue="vL4CNdHvI6zgv1urtjp79Q==" spinCount="100000" objects="1" scenarios="1"/>
  <mergeCells count="12">
    <mergeCell ref="B1:I1"/>
    <mergeCell ref="D8:F8"/>
    <mergeCell ref="G8:H8"/>
    <mergeCell ref="A8:A9"/>
    <mergeCell ref="B8:B9"/>
    <mergeCell ref="J8:J9"/>
    <mergeCell ref="B11:J11"/>
    <mergeCell ref="A18:J18"/>
    <mergeCell ref="A26:J26"/>
    <mergeCell ref="A34:J34"/>
    <mergeCell ref="A42:J42"/>
    <mergeCell ref="B44:J44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7" fitToWidth="1" fitToHeight="1" firstPageNumber="1" useFirstPageNumber="1" copies="1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58"/>
  <sheetViews>
    <sheetView workbookViewId="0" zoomScale="60" zoomScaleNormal="60" view="pageBreakPreview">
      <selection activeCell="C14" sqref="C14"/>
    </sheetView>
  </sheetViews>
  <sheetFormatPr defaultRowHeight="9" outlineLevelRow="0" outlineLevelCol="0" x14ac:dyDescent="0" defaultColWidth="10" customHeight="1"/>
  <cols>
    <col min="1" max="1" width="11.08984375" style="364" customWidth="1"/>
    <col min="2" max="2" width="57.36328125" style="317" customWidth="1"/>
    <col min="3" max="6" width="21.26953125" style="317" customWidth="1"/>
    <col min="7" max="8" width="25.90625" style="317" customWidth="1"/>
    <col min="9" max="9" width="21.26953125" style="317" customWidth="1"/>
    <col min="10" max="10" width="21.26953125" style="341" customWidth="1"/>
    <col min="11" max="1025" width="10" style="317" customWidth="1"/>
    <col min="1026" max="16384" width="10" style="364" customWidth="1"/>
  </cols>
  <sheetData>
    <row r="1" ht="29.25" customHeight="1" spans="2:12" x14ac:dyDescent="0.25">
      <c r="B1" s="365" t="s">
        <v>862</v>
      </c>
      <c r="C1" s="365"/>
      <c r="D1" s="365"/>
      <c r="E1" s="365"/>
      <c r="F1" s="365"/>
      <c r="G1" s="365"/>
      <c r="H1" s="365"/>
      <c r="I1" s="365"/>
      <c r="J1" s="320" t="s">
        <v>58</v>
      </c>
      <c r="K1" s="323"/>
      <c r="L1" s="323"/>
    </row>
    <row r="2" ht="31.5" customHeight="1" spans="2:12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1:12" x14ac:dyDescent="0.25">
      <c r="A7" s="366"/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</row>
    <row r="8" ht="20.25" customHeight="1" spans="1:1025" x14ac:dyDescent="0.25">
      <c r="A8" s="367" t="s">
        <v>113</v>
      </c>
      <c r="B8" s="346" t="s">
        <v>820</v>
      </c>
      <c r="C8" s="347" t="s">
        <v>821</v>
      </c>
      <c r="D8" s="58" t="s">
        <v>822</v>
      </c>
      <c r="E8" s="58"/>
      <c r="F8" s="58"/>
      <c r="G8" s="58" t="s">
        <v>823</v>
      </c>
      <c r="H8" s="58"/>
      <c r="I8" s="135" t="s">
        <v>824</v>
      </c>
      <c r="J8" s="346" t="s">
        <v>825</v>
      </c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2"/>
      <c r="ME8" s="342"/>
      <c r="MF8" s="342"/>
      <c r="MG8" s="342"/>
      <c r="MH8" s="342"/>
      <c r="MI8" s="342"/>
      <c r="MJ8" s="342"/>
      <c r="MK8" s="342"/>
      <c r="ML8" s="342"/>
      <c r="MM8" s="342"/>
      <c r="MN8" s="342"/>
      <c r="MO8" s="342"/>
      <c r="MP8" s="342"/>
      <c r="MQ8" s="342"/>
      <c r="MR8" s="342"/>
      <c r="MS8" s="342"/>
      <c r="MT8" s="342"/>
      <c r="MU8" s="342"/>
      <c r="MV8" s="342"/>
      <c r="MW8" s="342"/>
      <c r="MX8" s="342"/>
      <c r="MY8" s="342"/>
      <c r="MZ8" s="342"/>
      <c r="NA8" s="342"/>
      <c r="NB8" s="342"/>
      <c r="NC8" s="342"/>
      <c r="ND8" s="342"/>
      <c r="NE8" s="342"/>
      <c r="NF8" s="342"/>
      <c r="NG8" s="342"/>
      <c r="NH8" s="342"/>
      <c r="NI8" s="342"/>
      <c r="NJ8" s="342"/>
      <c r="NK8" s="342"/>
      <c r="NL8" s="342"/>
      <c r="NM8" s="342"/>
      <c r="NN8" s="342"/>
      <c r="NO8" s="342"/>
      <c r="NP8" s="342"/>
      <c r="NQ8" s="342"/>
      <c r="NR8" s="342"/>
      <c r="NS8" s="342"/>
      <c r="NT8" s="342"/>
      <c r="NU8" s="342"/>
      <c r="NV8" s="342"/>
      <c r="NW8" s="342"/>
      <c r="NX8" s="342"/>
      <c r="NY8" s="342"/>
      <c r="NZ8" s="342"/>
      <c r="OA8" s="342"/>
      <c r="OB8" s="342"/>
      <c r="OC8" s="342"/>
      <c r="OD8" s="342"/>
      <c r="OE8" s="342"/>
      <c r="OF8" s="342"/>
      <c r="OG8" s="342"/>
      <c r="OH8" s="342"/>
      <c r="OI8" s="342"/>
      <c r="OJ8" s="342"/>
      <c r="OK8" s="342"/>
      <c r="OL8" s="342"/>
      <c r="OM8" s="342"/>
      <c r="ON8" s="342"/>
      <c r="OO8" s="342"/>
      <c r="OP8" s="342"/>
      <c r="OQ8" s="342"/>
      <c r="OR8" s="342"/>
      <c r="OS8" s="342"/>
      <c r="OT8" s="342"/>
      <c r="OU8" s="342"/>
      <c r="OV8" s="342"/>
      <c r="OW8" s="342"/>
      <c r="OX8" s="342"/>
      <c r="OY8" s="342"/>
      <c r="OZ8" s="342"/>
      <c r="PA8" s="342"/>
      <c r="PB8" s="342"/>
      <c r="PC8" s="342"/>
      <c r="PD8" s="342"/>
      <c r="PE8" s="342"/>
      <c r="PF8" s="342"/>
      <c r="PG8" s="342"/>
      <c r="PH8" s="342"/>
      <c r="PI8" s="342"/>
      <c r="PJ8" s="342"/>
      <c r="PK8" s="342"/>
      <c r="PL8" s="342"/>
      <c r="PM8" s="342"/>
      <c r="PN8" s="342"/>
      <c r="PO8" s="342"/>
      <c r="PP8" s="342"/>
      <c r="PQ8" s="342"/>
      <c r="PR8" s="342"/>
      <c r="PS8" s="342"/>
      <c r="PT8" s="342"/>
      <c r="PU8" s="342"/>
      <c r="PV8" s="342"/>
      <c r="PW8" s="342"/>
      <c r="PX8" s="342"/>
      <c r="PY8" s="342"/>
      <c r="PZ8" s="342"/>
      <c r="QA8" s="342"/>
      <c r="QB8" s="342"/>
      <c r="QC8" s="342"/>
      <c r="QD8" s="342"/>
      <c r="QE8" s="342"/>
      <c r="QF8" s="342"/>
      <c r="QG8" s="342"/>
      <c r="QH8" s="342"/>
      <c r="QI8" s="342"/>
      <c r="QJ8" s="342"/>
      <c r="QK8" s="342"/>
      <c r="QL8" s="342"/>
      <c r="QM8" s="342"/>
      <c r="QN8" s="342"/>
      <c r="QO8" s="342"/>
      <c r="QP8" s="342"/>
      <c r="QQ8" s="342"/>
      <c r="QR8" s="342"/>
      <c r="QS8" s="342"/>
      <c r="QT8" s="342"/>
      <c r="QU8" s="342"/>
      <c r="QV8" s="342"/>
      <c r="QW8" s="342"/>
      <c r="QX8" s="342"/>
      <c r="QY8" s="342"/>
      <c r="QZ8" s="342"/>
      <c r="RA8" s="342"/>
      <c r="RB8" s="342"/>
      <c r="RC8" s="342"/>
      <c r="RD8" s="342"/>
      <c r="RE8" s="342"/>
      <c r="RF8" s="342"/>
      <c r="RG8" s="342"/>
      <c r="RH8" s="342"/>
      <c r="RI8" s="342"/>
      <c r="RJ8" s="342"/>
      <c r="RK8" s="342"/>
      <c r="RL8" s="342"/>
      <c r="RM8" s="342"/>
      <c r="RN8" s="342"/>
      <c r="RO8" s="342"/>
      <c r="RP8" s="342"/>
      <c r="RQ8" s="342"/>
      <c r="RR8" s="342"/>
      <c r="RS8" s="342"/>
      <c r="RT8" s="342"/>
      <c r="RU8" s="342"/>
      <c r="RV8" s="342"/>
      <c r="RW8" s="342"/>
      <c r="RX8" s="342"/>
      <c r="RY8" s="342"/>
      <c r="RZ8" s="342"/>
      <c r="SA8" s="342"/>
      <c r="SB8" s="342"/>
      <c r="SC8" s="342"/>
      <c r="SD8" s="342"/>
      <c r="SE8" s="342"/>
      <c r="SF8" s="342"/>
      <c r="SG8" s="342"/>
      <c r="SH8" s="342"/>
      <c r="SI8" s="342"/>
      <c r="SJ8" s="342"/>
      <c r="SK8" s="342"/>
      <c r="SL8" s="342"/>
      <c r="SM8" s="342"/>
      <c r="SN8" s="342"/>
      <c r="SO8" s="342"/>
      <c r="SP8" s="342"/>
      <c r="SQ8" s="342"/>
      <c r="SR8" s="342"/>
      <c r="SS8" s="342"/>
      <c r="ST8" s="342"/>
      <c r="SU8" s="342"/>
      <c r="SV8" s="342"/>
      <c r="SW8" s="342"/>
      <c r="SX8" s="342"/>
      <c r="SY8" s="342"/>
      <c r="SZ8" s="342"/>
      <c r="TA8" s="342"/>
      <c r="TB8" s="342"/>
      <c r="TC8" s="342"/>
      <c r="TD8" s="342"/>
      <c r="TE8" s="342"/>
      <c r="TF8" s="342"/>
      <c r="TG8" s="342"/>
      <c r="TH8" s="342"/>
      <c r="TI8" s="342"/>
      <c r="TJ8" s="342"/>
      <c r="TK8" s="342"/>
      <c r="TL8" s="342"/>
      <c r="TM8" s="342"/>
      <c r="TN8" s="342"/>
      <c r="TO8" s="342"/>
      <c r="TP8" s="342"/>
      <c r="TQ8" s="342"/>
      <c r="TR8" s="342"/>
      <c r="TS8" s="342"/>
      <c r="TT8" s="342"/>
      <c r="TU8" s="342"/>
      <c r="TV8" s="342"/>
      <c r="TW8" s="342"/>
      <c r="TX8" s="342"/>
      <c r="TY8" s="342"/>
      <c r="TZ8" s="342"/>
      <c r="UA8" s="342"/>
      <c r="UB8" s="342"/>
      <c r="UC8" s="342"/>
      <c r="UD8" s="342"/>
      <c r="UE8" s="342"/>
      <c r="UF8" s="342"/>
      <c r="UG8" s="342"/>
      <c r="UH8" s="342"/>
      <c r="UI8" s="342"/>
      <c r="UJ8" s="342"/>
      <c r="UK8" s="342"/>
      <c r="UL8" s="342"/>
      <c r="UM8" s="342"/>
      <c r="UN8" s="342"/>
      <c r="UO8" s="342"/>
      <c r="UP8" s="342"/>
      <c r="UQ8" s="342"/>
      <c r="UR8" s="342"/>
      <c r="US8" s="342"/>
      <c r="UT8" s="342"/>
      <c r="UU8" s="342"/>
      <c r="UV8" s="342"/>
      <c r="UW8" s="342"/>
      <c r="UX8" s="342"/>
      <c r="UY8" s="342"/>
      <c r="UZ8" s="342"/>
      <c r="VA8" s="342"/>
      <c r="VB8" s="342"/>
      <c r="VC8" s="342"/>
      <c r="VD8" s="342"/>
      <c r="VE8" s="342"/>
      <c r="VF8" s="342"/>
      <c r="VG8" s="342"/>
      <c r="VH8" s="342"/>
      <c r="VI8" s="342"/>
      <c r="VJ8" s="342"/>
      <c r="VK8" s="342"/>
      <c r="VL8" s="342"/>
      <c r="VM8" s="342"/>
      <c r="VN8" s="342"/>
      <c r="VO8" s="342"/>
      <c r="VP8" s="342"/>
      <c r="VQ8" s="342"/>
      <c r="VR8" s="342"/>
      <c r="VS8" s="342"/>
      <c r="VT8" s="342"/>
      <c r="VU8" s="342"/>
      <c r="VV8" s="342"/>
      <c r="VW8" s="342"/>
      <c r="VX8" s="342"/>
      <c r="VY8" s="342"/>
      <c r="VZ8" s="342"/>
      <c r="WA8" s="342"/>
      <c r="WB8" s="342"/>
      <c r="WC8" s="342"/>
      <c r="WD8" s="342"/>
      <c r="WE8" s="342"/>
      <c r="WF8" s="342"/>
      <c r="WG8" s="342"/>
      <c r="WH8" s="342"/>
      <c r="WI8" s="342"/>
      <c r="WJ8" s="342"/>
      <c r="WK8" s="342"/>
      <c r="WL8" s="342"/>
      <c r="WM8" s="342"/>
      <c r="WN8" s="342"/>
      <c r="WO8" s="342"/>
      <c r="WP8" s="342"/>
      <c r="WQ8" s="342"/>
      <c r="WR8" s="342"/>
      <c r="WS8" s="342"/>
      <c r="WT8" s="342"/>
      <c r="WU8" s="342"/>
      <c r="WV8" s="342"/>
      <c r="WW8" s="342"/>
      <c r="WX8" s="342"/>
      <c r="WY8" s="342"/>
      <c r="WZ8" s="342"/>
      <c r="XA8" s="342"/>
      <c r="XB8" s="342"/>
      <c r="XC8" s="342"/>
      <c r="XD8" s="342"/>
      <c r="XE8" s="342"/>
      <c r="XF8" s="342"/>
      <c r="XG8" s="342"/>
      <c r="XH8" s="342"/>
      <c r="XI8" s="342"/>
      <c r="XJ8" s="342"/>
      <c r="XK8" s="342"/>
      <c r="XL8" s="342"/>
      <c r="XM8" s="342"/>
      <c r="XN8" s="342"/>
      <c r="XO8" s="342"/>
      <c r="XP8" s="342"/>
      <c r="XQ8" s="342"/>
      <c r="XR8" s="342"/>
      <c r="XS8" s="342"/>
      <c r="XT8" s="342"/>
      <c r="XU8" s="342"/>
      <c r="XV8" s="342"/>
      <c r="XW8" s="342"/>
      <c r="XX8" s="342"/>
      <c r="XY8" s="342"/>
      <c r="XZ8" s="342"/>
      <c r="YA8" s="342"/>
      <c r="YB8" s="342"/>
      <c r="YC8" s="342"/>
      <c r="YD8" s="342"/>
      <c r="YE8" s="342"/>
      <c r="YF8" s="342"/>
      <c r="YG8" s="342"/>
      <c r="YH8" s="342"/>
      <c r="YI8" s="342"/>
      <c r="YJ8" s="342"/>
      <c r="YK8" s="342"/>
      <c r="YL8" s="342"/>
      <c r="YM8" s="342"/>
      <c r="YN8" s="342"/>
      <c r="YO8" s="342"/>
      <c r="YP8" s="342"/>
      <c r="YQ8" s="342"/>
      <c r="YR8" s="342"/>
      <c r="YS8" s="342"/>
      <c r="YT8" s="342"/>
      <c r="YU8" s="342"/>
      <c r="YV8" s="342"/>
      <c r="YW8" s="342"/>
      <c r="YX8" s="342"/>
      <c r="YY8" s="342"/>
      <c r="YZ8" s="342"/>
      <c r="ZA8" s="342"/>
      <c r="ZB8" s="342"/>
      <c r="ZC8" s="342"/>
      <c r="ZD8" s="342"/>
      <c r="ZE8" s="342"/>
      <c r="ZF8" s="342"/>
      <c r="ZG8" s="342"/>
      <c r="ZH8" s="342"/>
      <c r="ZI8" s="342"/>
      <c r="ZJ8" s="342"/>
      <c r="ZK8" s="342"/>
      <c r="ZL8" s="342"/>
      <c r="ZM8" s="342"/>
      <c r="ZN8" s="342"/>
      <c r="ZO8" s="342"/>
      <c r="ZP8" s="342"/>
      <c r="ZQ8" s="342"/>
      <c r="ZR8" s="342"/>
      <c r="ZS8" s="342"/>
      <c r="ZT8" s="342"/>
      <c r="ZU8" s="342"/>
      <c r="ZV8" s="342"/>
      <c r="ZW8" s="342"/>
      <c r="ZX8" s="342"/>
      <c r="ZY8" s="342"/>
      <c r="ZZ8" s="342"/>
      <c r="AAA8" s="342"/>
      <c r="AAB8" s="342"/>
      <c r="AAC8" s="342"/>
      <c r="AAD8" s="342"/>
      <c r="AAE8" s="342"/>
      <c r="AAF8" s="342"/>
      <c r="AAG8" s="342"/>
      <c r="AAH8" s="342"/>
      <c r="AAI8" s="342"/>
      <c r="AAJ8" s="342"/>
      <c r="AAK8" s="342"/>
      <c r="AAL8" s="342"/>
      <c r="AAM8" s="342"/>
      <c r="AAN8" s="342"/>
      <c r="AAO8" s="342"/>
      <c r="AAP8" s="342"/>
      <c r="AAQ8" s="342"/>
      <c r="AAR8" s="342"/>
      <c r="AAS8" s="342"/>
      <c r="AAT8" s="342"/>
      <c r="AAU8" s="342"/>
      <c r="AAV8" s="342"/>
      <c r="AAW8" s="342"/>
      <c r="AAX8" s="342"/>
      <c r="AAY8" s="342"/>
      <c r="AAZ8" s="342"/>
      <c r="ABA8" s="342"/>
      <c r="ABB8" s="342"/>
      <c r="ABC8" s="342"/>
      <c r="ABD8" s="342"/>
      <c r="ABE8" s="342"/>
      <c r="ABF8" s="342"/>
      <c r="ABG8" s="342"/>
      <c r="ABH8" s="342"/>
      <c r="ABI8" s="342"/>
      <c r="ABJ8" s="342"/>
      <c r="ABK8" s="342"/>
      <c r="ABL8" s="342"/>
      <c r="ABM8" s="342"/>
      <c r="ABN8" s="342"/>
      <c r="ABO8" s="342"/>
      <c r="ABP8" s="342"/>
      <c r="ABQ8" s="342"/>
      <c r="ABR8" s="342"/>
      <c r="ABS8" s="342"/>
      <c r="ABT8" s="342"/>
      <c r="ABU8" s="342"/>
      <c r="ABV8" s="342"/>
      <c r="ABW8" s="342"/>
      <c r="ABX8" s="342"/>
      <c r="ABY8" s="342"/>
      <c r="ABZ8" s="342"/>
      <c r="ACA8" s="342"/>
      <c r="ACB8" s="342"/>
      <c r="ACC8" s="342"/>
      <c r="ACD8" s="342"/>
      <c r="ACE8" s="342"/>
      <c r="ACF8" s="342"/>
      <c r="ACG8" s="342"/>
      <c r="ACH8" s="342"/>
      <c r="ACI8" s="342"/>
      <c r="ACJ8" s="342"/>
      <c r="ACK8" s="342"/>
      <c r="ACL8" s="342"/>
      <c r="ACM8" s="342"/>
      <c r="ACN8" s="342"/>
      <c r="ACO8" s="342"/>
      <c r="ACP8" s="342"/>
      <c r="ACQ8" s="342"/>
      <c r="ACR8" s="342"/>
      <c r="ACS8" s="342"/>
      <c r="ACT8" s="342"/>
      <c r="ACU8" s="342"/>
      <c r="ACV8" s="342"/>
      <c r="ACW8" s="342"/>
      <c r="ACX8" s="342"/>
      <c r="ACY8" s="342"/>
      <c r="ACZ8" s="342"/>
      <c r="ADA8" s="342"/>
      <c r="ADB8" s="342"/>
      <c r="ADC8" s="342"/>
      <c r="ADD8" s="342"/>
      <c r="ADE8" s="342"/>
      <c r="ADF8" s="342"/>
      <c r="ADG8" s="342"/>
      <c r="ADH8" s="342"/>
      <c r="ADI8" s="342"/>
      <c r="ADJ8" s="342"/>
      <c r="ADK8" s="342"/>
      <c r="ADL8" s="342"/>
      <c r="ADM8" s="342"/>
      <c r="ADN8" s="342"/>
      <c r="ADO8" s="342"/>
      <c r="ADP8" s="342"/>
      <c r="ADQ8" s="342"/>
      <c r="ADR8" s="342"/>
      <c r="ADS8" s="342"/>
      <c r="ADT8" s="342"/>
      <c r="ADU8" s="342"/>
      <c r="ADV8" s="342"/>
      <c r="ADW8" s="342"/>
      <c r="ADX8" s="342"/>
      <c r="ADY8" s="342"/>
      <c r="ADZ8" s="342"/>
      <c r="AEA8" s="342"/>
      <c r="AEB8" s="342"/>
      <c r="AEC8" s="342"/>
      <c r="AED8" s="342"/>
      <c r="AEE8" s="342"/>
      <c r="AEF8" s="342"/>
      <c r="AEG8" s="342"/>
      <c r="AEH8" s="342"/>
      <c r="AEI8" s="342"/>
      <c r="AEJ8" s="342"/>
      <c r="AEK8" s="342"/>
      <c r="AEL8" s="342"/>
      <c r="AEM8" s="342"/>
      <c r="AEN8" s="342"/>
      <c r="AEO8" s="342"/>
      <c r="AEP8" s="342"/>
      <c r="AEQ8" s="342"/>
      <c r="AER8" s="342"/>
      <c r="AES8" s="342"/>
      <c r="AET8" s="342"/>
      <c r="AEU8" s="342"/>
      <c r="AEV8" s="342"/>
      <c r="AEW8" s="342"/>
      <c r="AEX8" s="342"/>
      <c r="AEY8" s="342"/>
      <c r="AEZ8" s="342"/>
      <c r="AFA8" s="342"/>
      <c r="AFB8" s="342"/>
      <c r="AFC8" s="342"/>
      <c r="AFD8" s="342"/>
      <c r="AFE8" s="342"/>
      <c r="AFF8" s="342"/>
      <c r="AFG8" s="342"/>
      <c r="AFH8" s="342"/>
      <c r="AFI8" s="342"/>
      <c r="AFJ8" s="342"/>
      <c r="AFK8" s="342"/>
      <c r="AFL8" s="342"/>
      <c r="AFM8" s="342"/>
      <c r="AFN8" s="342"/>
      <c r="AFO8" s="342"/>
      <c r="AFP8" s="342"/>
      <c r="AFQ8" s="342"/>
      <c r="AFR8" s="342"/>
      <c r="AFS8" s="342"/>
      <c r="AFT8" s="342"/>
      <c r="AFU8" s="342"/>
      <c r="AFV8" s="342"/>
      <c r="AFW8" s="342"/>
      <c r="AFX8" s="342"/>
      <c r="AFY8" s="342"/>
      <c r="AFZ8" s="342"/>
      <c r="AGA8" s="342"/>
      <c r="AGB8" s="342"/>
      <c r="AGC8" s="342"/>
      <c r="AGD8" s="342"/>
      <c r="AGE8" s="342"/>
      <c r="AGF8" s="342"/>
      <c r="AGG8" s="342"/>
      <c r="AGH8" s="342"/>
      <c r="AGI8" s="342"/>
      <c r="AGJ8" s="342"/>
      <c r="AGK8" s="342"/>
      <c r="AGL8" s="342"/>
      <c r="AGM8" s="342"/>
      <c r="AGN8" s="342"/>
      <c r="AGO8" s="342"/>
      <c r="AGP8" s="342"/>
      <c r="AGQ8" s="342"/>
      <c r="AGR8" s="342"/>
      <c r="AGS8" s="342"/>
      <c r="AGT8" s="342"/>
      <c r="AGU8" s="342"/>
      <c r="AGV8" s="342"/>
      <c r="AGW8" s="342"/>
      <c r="AGX8" s="342"/>
      <c r="AGY8" s="342"/>
      <c r="AGZ8" s="342"/>
      <c r="AHA8" s="342"/>
      <c r="AHB8" s="342"/>
      <c r="AHC8" s="342"/>
      <c r="AHD8" s="342"/>
      <c r="AHE8" s="342"/>
      <c r="AHF8" s="342"/>
      <c r="AHG8" s="342"/>
      <c r="AHH8" s="342"/>
      <c r="AHI8" s="342"/>
      <c r="AHJ8" s="342"/>
      <c r="AHK8" s="342"/>
      <c r="AHL8" s="342"/>
      <c r="AHM8" s="342"/>
      <c r="AHN8" s="342"/>
      <c r="AHO8" s="342"/>
      <c r="AHP8" s="342"/>
      <c r="AHQ8" s="342"/>
      <c r="AHR8" s="342"/>
      <c r="AHS8" s="342"/>
      <c r="AHT8" s="342"/>
      <c r="AHU8" s="342"/>
      <c r="AHV8" s="342"/>
      <c r="AHW8" s="342"/>
      <c r="AHX8" s="342"/>
      <c r="AHY8" s="342"/>
      <c r="AHZ8" s="342"/>
      <c r="AIA8" s="342"/>
      <c r="AIB8" s="342"/>
      <c r="AIC8" s="342"/>
      <c r="AID8" s="342"/>
      <c r="AIE8" s="342"/>
      <c r="AIF8" s="342"/>
      <c r="AIG8" s="342"/>
      <c r="AIH8" s="342"/>
      <c r="AII8" s="342"/>
      <c r="AIJ8" s="342"/>
      <c r="AIK8" s="342"/>
      <c r="AIL8" s="342"/>
      <c r="AIM8" s="342"/>
      <c r="AIN8" s="342"/>
      <c r="AIO8" s="342"/>
      <c r="AIP8" s="342"/>
      <c r="AIQ8" s="342"/>
      <c r="AIR8" s="342"/>
      <c r="AIS8" s="342"/>
      <c r="AIT8" s="342"/>
      <c r="AIU8" s="342"/>
      <c r="AIV8" s="342"/>
      <c r="AIW8" s="342"/>
      <c r="AIX8" s="342"/>
      <c r="AIY8" s="342"/>
      <c r="AIZ8" s="342"/>
      <c r="AJA8" s="342"/>
      <c r="AJB8" s="342"/>
      <c r="AJC8" s="342"/>
      <c r="AJD8" s="342"/>
      <c r="AJE8" s="342"/>
      <c r="AJF8" s="342"/>
      <c r="AJG8" s="342"/>
      <c r="AJH8" s="342"/>
      <c r="AJI8" s="342"/>
      <c r="AJJ8" s="342"/>
      <c r="AJK8" s="342"/>
      <c r="AJL8" s="342"/>
      <c r="AJM8" s="342"/>
      <c r="AJN8" s="342"/>
      <c r="AJO8" s="342"/>
      <c r="AJP8" s="342"/>
      <c r="AJQ8" s="342"/>
      <c r="AJR8" s="342"/>
      <c r="AJS8" s="342"/>
      <c r="AJT8" s="342"/>
      <c r="AJU8" s="342"/>
      <c r="AJV8" s="342"/>
      <c r="AJW8" s="342"/>
      <c r="AJX8" s="342"/>
      <c r="AJY8" s="342"/>
      <c r="AJZ8" s="342"/>
      <c r="AKA8" s="342"/>
      <c r="AKB8" s="342"/>
      <c r="AKC8" s="342"/>
      <c r="AKD8" s="342"/>
      <c r="AKE8" s="342"/>
      <c r="AKF8" s="342"/>
      <c r="AKG8" s="342"/>
      <c r="AKH8" s="342"/>
      <c r="AKI8" s="342"/>
      <c r="AKJ8" s="342"/>
      <c r="AKK8" s="342"/>
      <c r="AKL8" s="342"/>
      <c r="AKM8" s="342"/>
      <c r="AKN8" s="342"/>
      <c r="AKO8" s="342"/>
      <c r="AKP8" s="342"/>
      <c r="AKQ8" s="342"/>
      <c r="AKR8" s="342"/>
      <c r="AKS8" s="342"/>
      <c r="AKT8" s="342"/>
      <c r="AKU8" s="342"/>
      <c r="AKV8" s="342"/>
      <c r="AKW8" s="342"/>
      <c r="AKX8" s="342"/>
      <c r="AKY8" s="342"/>
      <c r="AKZ8" s="342"/>
      <c r="ALA8" s="342"/>
      <c r="ALB8" s="342"/>
      <c r="ALC8" s="342"/>
      <c r="ALD8" s="342"/>
      <c r="ALE8" s="342"/>
      <c r="ALF8" s="342"/>
      <c r="ALG8" s="342"/>
      <c r="ALH8" s="342"/>
      <c r="ALI8" s="342"/>
      <c r="ALJ8" s="342"/>
      <c r="ALK8" s="342"/>
      <c r="ALL8" s="342"/>
      <c r="ALM8" s="342"/>
      <c r="ALN8" s="342"/>
      <c r="ALO8" s="342"/>
      <c r="ALP8" s="342"/>
      <c r="ALQ8" s="342"/>
      <c r="ALR8" s="342"/>
      <c r="ALS8" s="342"/>
      <c r="ALT8" s="342"/>
      <c r="ALU8" s="342"/>
      <c r="ALV8" s="342"/>
      <c r="ALW8" s="342"/>
      <c r="ALX8" s="342"/>
      <c r="ALY8" s="342"/>
      <c r="ALZ8" s="342"/>
      <c r="AMA8" s="342"/>
      <c r="AMB8" s="342"/>
      <c r="AMC8" s="342"/>
      <c r="AMD8" s="342"/>
      <c r="AME8" s="342"/>
      <c r="AMF8" s="342"/>
      <c r="AMG8" s="342"/>
      <c r="AMH8" s="342"/>
      <c r="AMI8" s="342"/>
      <c r="AMJ8" s="321"/>
      <c r="AMK8" s="321"/>
    </row>
    <row r="9" ht="100.5" customHeight="1" spans="1:1025" x14ac:dyDescent="0.25">
      <c r="A9" s="367"/>
      <c r="B9" s="346"/>
      <c r="C9" s="348" t="s">
        <v>693</v>
      </c>
      <c r="D9" s="349" t="s">
        <v>826</v>
      </c>
      <c r="E9" s="349" t="s">
        <v>827</v>
      </c>
      <c r="F9" s="349" t="s">
        <v>863</v>
      </c>
      <c r="G9" s="349" t="s">
        <v>829</v>
      </c>
      <c r="H9" s="348" t="s">
        <v>830</v>
      </c>
      <c r="I9" s="348" t="s">
        <v>693</v>
      </c>
      <c r="J9" s="346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  <c r="AKV9" s="342"/>
      <c r="AKW9" s="342"/>
      <c r="AKX9" s="342"/>
      <c r="AKY9" s="342"/>
      <c r="AKZ9" s="342"/>
      <c r="ALA9" s="342"/>
      <c r="ALB9" s="342"/>
      <c r="ALC9" s="342"/>
      <c r="ALD9" s="342"/>
      <c r="ALE9" s="342"/>
      <c r="ALF9" s="342"/>
      <c r="ALG9" s="342"/>
      <c r="ALH9" s="342"/>
      <c r="ALI9" s="342"/>
      <c r="ALJ9" s="342"/>
      <c r="ALK9" s="342"/>
      <c r="ALL9" s="342"/>
      <c r="ALM9" s="342"/>
      <c r="ALN9" s="342"/>
      <c r="ALO9" s="342"/>
      <c r="ALP9" s="342"/>
      <c r="ALQ9" s="342"/>
      <c r="ALR9" s="342"/>
      <c r="ALS9" s="342"/>
      <c r="ALT9" s="342"/>
      <c r="ALU9" s="342"/>
      <c r="ALV9" s="342"/>
      <c r="ALW9" s="342"/>
      <c r="ALX9" s="342"/>
      <c r="ALY9" s="342"/>
      <c r="ALZ9" s="342"/>
      <c r="AMA9" s="342"/>
      <c r="AMB9" s="342"/>
      <c r="AMC9" s="342"/>
      <c r="AMD9" s="342"/>
      <c r="AME9" s="342"/>
      <c r="AMF9" s="342"/>
      <c r="AMG9" s="342"/>
      <c r="AMH9" s="342"/>
      <c r="AMI9" s="342"/>
      <c r="AMJ9" s="321"/>
      <c r="AMK9" s="321"/>
    </row>
    <row r="10" ht="36" customHeight="1" spans="1:1023" x14ac:dyDescent="0.25">
      <c r="A10" s="368"/>
      <c r="B10" s="350" t="s">
        <v>154</v>
      </c>
      <c r="C10" s="135" t="s">
        <v>157</v>
      </c>
      <c r="D10" s="135" t="s">
        <v>160</v>
      </c>
      <c r="E10" s="135" t="s">
        <v>164</v>
      </c>
      <c r="F10" s="135" t="s">
        <v>321</v>
      </c>
      <c r="G10" s="135" t="s">
        <v>329</v>
      </c>
      <c r="H10" s="135" t="s">
        <v>331</v>
      </c>
      <c r="I10" s="135" t="s">
        <v>831</v>
      </c>
      <c r="J10" s="135" t="s">
        <v>832</v>
      </c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7"/>
      <c r="QQ10" s="337"/>
      <c r="QR10" s="337"/>
      <c r="QS10" s="337"/>
      <c r="QT10" s="337"/>
      <c r="QU10" s="337"/>
      <c r="QV10" s="337"/>
      <c r="QW10" s="337"/>
      <c r="QX10" s="337"/>
      <c r="QY10" s="337"/>
      <c r="QZ10" s="337"/>
      <c r="RA10" s="337"/>
      <c r="RB10" s="337"/>
      <c r="RC10" s="337"/>
      <c r="RD10" s="337"/>
      <c r="RE10" s="337"/>
      <c r="RF10" s="337"/>
      <c r="RG10" s="337"/>
      <c r="RH10" s="337"/>
      <c r="RI10" s="337"/>
      <c r="RJ10" s="337"/>
      <c r="RK10" s="337"/>
      <c r="RL10" s="337"/>
      <c r="RM10" s="337"/>
      <c r="RN10" s="337"/>
      <c r="RO10" s="337"/>
      <c r="RP10" s="337"/>
      <c r="RQ10" s="337"/>
      <c r="RR10" s="337"/>
      <c r="RS10" s="337"/>
      <c r="RT10" s="337"/>
      <c r="RU10" s="337"/>
      <c r="RV10" s="337"/>
      <c r="RW10" s="337"/>
      <c r="RX10" s="337"/>
      <c r="RY10" s="337"/>
      <c r="RZ10" s="337"/>
      <c r="SA10" s="337"/>
      <c r="SB10" s="337"/>
      <c r="SC10" s="337"/>
      <c r="SD10" s="337"/>
      <c r="SE10" s="337"/>
      <c r="SF10" s="337"/>
      <c r="SG10" s="337"/>
      <c r="SH10" s="337"/>
      <c r="SI10" s="337"/>
      <c r="SJ10" s="337"/>
      <c r="SK10" s="337"/>
      <c r="SL10" s="337"/>
      <c r="SM10" s="337"/>
      <c r="SN10" s="337"/>
      <c r="SO10" s="337"/>
      <c r="SP10" s="337"/>
      <c r="SQ10" s="337"/>
      <c r="SR10" s="337"/>
      <c r="SS10" s="337"/>
      <c r="ST10" s="337"/>
      <c r="SU10" s="337"/>
      <c r="SV10" s="337"/>
      <c r="SW10" s="337"/>
      <c r="SX10" s="337"/>
      <c r="SY10" s="337"/>
      <c r="SZ10" s="337"/>
      <c r="TA10" s="337"/>
      <c r="TB10" s="337"/>
      <c r="TC10" s="337"/>
      <c r="TD10" s="337"/>
      <c r="TE10" s="337"/>
      <c r="TF10" s="337"/>
      <c r="TG10" s="337"/>
      <c r="TH10" s="337"/>
      <c r="TI10" s="337"/>
      <c r="TJ10" s="337"/>
      <c r="TK10" s="337"/>
      <c r="TL10" s="337"/>
      <c r="TM10" s="337"/>
      <c r="TN10" s="337"/>
      <c r="TO10" s="337"/>
      <c r="TP10" s="337"/>
      <c r="TQ10" s="337"/>
      <c r="TR10" s="337"/>
      <c r="TS10" s="337"/>
      <c r="TT10" s="337"/>
      <c r="TU10" s="337"/>
      <c r="TV10" s="337"/>
      <c r="TW10" s="337"/>
      <c r="TX10" s="337"/>
      <c r="TY10" s="337"/>
      <c r="TZ10" s="337"/>
      <c r="UA10" s="337"/>
      <c r="UB10" s="337"/>
      <c r="UC10" s="337"/>
      <c r="UD10" s="337"/>
      <c r="UE10" s="337"/>
      <c r="UF10" s="337"/>
      <c r="UG10" s="337"/>
      <c r="UH10" s="337"/>
      <c r="UI10" s="337"/>
      <c r="UJ10" s="337"/>
      <c r="UK10" s="337"/>
      <c r="UL10" s="337"/>
      <c r="UM10" s="337"/>
      <c r="UN10" s="337"/>
      <c r="UO10" s="337"/>
      <c r="UP10" s="337"/>
      <c r="UQ10" s="337"/>
      <c r="UR10" s="337"/>
      <c r="US10" s="337"/>
      <c r="UT10" s="337"/>
      <c r="UU10" s="337"/>
      <c r="UV10" s="337"/>
      <c r="UW10" s="337"/>
      <c r="UX10" s="337"/>
      <c r="UY10" s="337"/>
      <c r="UZ10" s="337"/>
      <c r="VA10" s="337"/>
      <c r="VB10" s="337"/>
      <c r="VC10" s="337"/>
      <c r="VD10" s="337"/>
      <c r="VE10" s="337"/>
      <c r="VF10" s="337"/>
      <c r="VG10" s="337"/>
      <c r="VH10" s="337"/>
      <c r="VI10" s="337"/>
      <c r="VJ10" s="337"/>
      <c r="VK10" s="337"/>
      <c r="VL10" s="337"/>
      <c r="VM10" s="337"/>
      <c r="VN10" s="337"/>
      <c r="VO10" s="337"/>
      <c r="VP10" s="337"/>
      <c r="VQ10" s="337"/>
      <c r="VR10" s="337"/>
      <c r="VS10" s="337"/>
      <c r="VT10" s="337"/>
      <c r="VU10" s="337"/>
      <c r="VV10" s="337"/>
      <c r="VW10" s="337"/>
      <c r="VX10" s="337"/>
      <c r="VY10" s="337"/>
      <c r="VZ10" s="337"/>
      <c r="WA10" s="337"/>
      <c r="WB10" s="337"/>
      <c r="WC10" s="337"/>
      <c r="WD10" s="337"/>
      <c r="WE10" s="337"/>
      <c r="WF10" s="337"/>
      <c r="WG10" s="337"/>
      <c r="WH10" s="337"/>
      <c r="WI10" s="337"/>
      <c r="WJ10" s="337"/>
      <c r="WK10" s="337"/>
      <c r="WL10" s="337"/>
      <c r="WM10" s="337"/>
      <c r="WN10" s="337"/>
      <c r="WO10" s="337"/>
      <c r="WP10" s="337"/>
      <c r="WQ10" s="337"/>
      <c r="WR10" s="337"/>
      <c r="WS10" s="337"/>
      <c r="WT10" s="337"/>
      <c r="WU10" s="337"/>
      <c r="WV10" s="337"/>
      <c r="WW10" s="337"/>
      <c r="WX10" s="337"/>
      <c r="WY10" s="337"/>
      <c r="WZ10" s="337"/>
      <c r="XA10" s="337"/>
      <c r="XB10" s="337"/>
      <c r="XC10" s="337"/>
      <c r="XD10" s="337"/>
      <c r="XE10" s="337"/>
      <c r="XF10" s="337"/>
      <c r="XG10" s="337"/>
      <c r="XH10" s="337"/>
      <c r="XI10" s="337"/>
      <c r="XJ10" s="337"/>
      <c r="XK10" s="337"/>
      <c r="XL10" s="337"/>
      <c r="XM10" s="337"/>
      <c r="XN10" s="337"/>
      <c r="XO10" s="337"/>
      <c r="XP10" s="337"/>
      <c r="XQ10" s="337"/>
      <c r="XR10" s="337"/>
      <c r="XS10" s="337"/>
      <c r="XT10" s="337"/>
      <c r="XU10" s="337"/>
      <c r="XV10" s="337"/>
      <c r="XW10" s="337"/>
      <c r="XX10" s="337"/>
      <c r="XY10" s="337"/>
      <c r="XZ10" s="337"/>
      <c r="YA10" s="337"/>
      <c r="YB10" s="337"/>
      <c r="YC10" s="337"/>
      <c r="YD10" s="337"/>
      <c r="YE10" s="337"/>
      <c r="YF10" s="337"/>
      <c r="YG10" s="337"/>
      <c r="YH10" s="337"/>
      <c r="YI10" s="337"/>
      <c r="YJ10" s="337"/>
      <c r="YK10" s="337"/>
      <c r="YL10" s="337"/>
      <c r="YM10" s="337"/>
      <c r="YN10" s="337"/>
      <c r="YO10" s="337"/>
      <c r="YP10" s="337"/>
      <c r="YQ10" s="337"/>
      <c r="YR10" s="337"/>
      <c r="YS10" s="337"/>
      <c r="YT10" s="337"/>
      <c r="YU10" s="337"/>
      <c r="YV10" s="337"/>
      <c r="YW10" s="337"/>
      <c r="YX10" s="337"/>
      <c r="YY10" s="337"/>
      <c r="YZ10" s="337"/>
      <c r="ZA10" s="337"/>
      <c r="ZB10" s="337"/>
      <c r="ZC10" s="337"/>
      <c r="ZD10" s="337"/>
      <c r="ZE10" s="337"/>
      <c r="ZF10" s="337"/>
      <c r="ZG10" s="337"/>
      <c r="ZH10" s="337"/>
      <c r="ZI10" s="337"/>
      <c r="ZJ10" s="337"/>
      <c r="ZK10" s="337"/>
      <c r="ZL10" s="337"/>
      <c r="ZM10" s="337"/>
      <c r="ZN10" s="337"/>
      <c r="ZO10" s="337"/>
      <c r="ZP10" s="337"/>
      <c r="ZQ10" s="337"/>
      <c r="ZR10" s="337"/>
      <c r="ZS10" s="337"/>
      <c r="ZT10" s="337"/>
      <c r="ZU10" s="337"/>
      <c r="ZV10" s="337"/>
      <c r="ZW10" s="337"/>
      <c r="ZX10" s="337"/>
      <c r="ZY10" s="337"/>
      <c r="ZZ10" s="337"/>
      <c r="AAA10" s="337"/>
      <c r="AAB10" s="337"/>
      <c r="AAC10" s="337"/>
      <c r="AAD10" s="337"/>
      <c r="AAE10" s="337"/>
      <c r="AAF10" s="337"/>
      <c r="AAG10" s="337"/>
      <c r="AAH10" s="337"/>
      <c r="AAI10" s="337"/>
      <c r="AAJ10" s="337"/>
      <c r="AAK10" s="337"/>
      <c r="AAL10" s="337"/>
      <c r="AAM10" s="337"/>
      <c r="AAN10" s="337"/>
      <c r="AAO10" s="337"/>
      <c r="AAP10" s="337"/>
      <c r="AAQ10" s="337"/>
      <c r="AAR10" s="337"/>
      <c r="AAS10" s="337"/>
      <c r="AAT10" s="337"/>
      <c r="AAU10" s="337"/>
      <c r="AAV10" s="337"/>
      <c r="AAW10" s="337"/>
      <c r="AAX10" s="337"/>
      <c r="AAY10" s="337"/>
      <c r="AAZ10" s="337"/>
      <c r="ABA10" s="337"/>
      <c r="ABB10" s="337"/>
      <c r="ABC10" s="337"/>
      <c r="ABD10" s="337"/>
      <c r="ABE10" s="337"/>
      <c r="ABF10" s="337"/>
      <c r="ABG10" s="337"/>
      <c r="ABH10" s="337"/>
      <c r="ABI10" s="337"/>
      <c r="ABJ10" s="337"/>
      <c r="ABK10" s="337"/>
      <c r="ABL10" s="337"/>
      <c r="ABM10" s="337"/>
      <c r="ABN10" s="337"/>
      <c r="ABO10" s="337"/>
      <c r="ABP10" s="337"/>
      <c r="ABQ10" s="337"/>
      <c r="ABR10" s="337"/>
      <c r="ABS10" s="337"/>
      <c r="ABT10" s="337"/>
      <c r="ABU10" s="337"/>
      <c r="ABV10" s="337"/>
      <c r="ABW10" s="337"/>
      <c r="ABX10" s="337"/>
      <c r="ABY10" s="337"/>
      <c r="ABZ10" s="337"/>
      <c r="ACA10" s="337"/>
      <c r="ACB10" s="337"/>
      <c r="ACC10" s="337"/>
      <c r="ACD10" s="337"/>
      <c r="ACE10" s="337"/>
      <c r="ACF10" s="337"/>
      <c r="ACG10" s="337"/>
      <c r="ACH10" s="337"/>
      <c r="ACI10" s="337"/>
      <c r="ACJ10" s="337"/>
      <c r="ACK10" s="337"/>
      <c r="ACL10" s="337"/>
      <c r="ACM10" s="337"/>
      <c r="ACN10" s="337"/>
      <c r="ACO10" s="337"/>
      <c r="ACP10" s="337"/>
      <c r="ACQ10" s="337"/>
      <c r="ACR10" s="337"/>
      <c r="ACS10" s="337"/>
      <c r="ACT10" s="337"/>
      <c r="ACU10" s="337"/>
      <c r="ACV10" s="337"/>
      <c r="ACW10" s="337"/>
      <c r="ACX10" s="337"/>
      <c r="ACY10" s="337"/>
      <c r="ACZ10" s="337"/>
      <c r="ADA10" s="337"/>
      <c r="ADB10" s="337"/>
      <c r="ADC10" s="337"/>
      <c r="ADD10" s="337"/>
      <c r="ADE10" s="337"/>
      <c r="ADF10" s="337"/>
      <c r="ADG10" s="337"/>
      <c r="ADH10" s="337"/>
      <c r="ADI10" s="337"/>
      <c r="ADJ10" s="337"/>
      <c r="ADK10" s="337"/>
      <c r="ADL10" s="337"/>
      <c r="ADM10" s="337"/>
      <c r="ADN10" s="337"/>
      <c r="ADO10" s="337"/>
      <c r="ADP10" s="337"/>
      <c r="ADQ10" s="337"/>
      <c r="ADR10" s="337"/>
      <c r="ADS10" s="337"/>
      <c r="ADT10" s="337"/>
      <c r="ADU10" s="337"/>
      <c r="ADV10" s="337"/>
      <c r="ADW10" s="337"/>
      <c r="ADX10" s="337"/>
      <c r="ADY10" s="337"/>
      <c r="ADZ10" s="337"/>
      <c r="AEA10" s="337"/>
      <c r="AEB10" s="337"/>
      <c r="AEC10" s="337"/>
      <c r="AED10" s="337"/>
      <c r="AEE10" s="337"/>
      <c r="AEF10" s="337"/>
      <c r="AEG10" s="337"/>
      <c r="AEH10" s="337"/>
      <c r="AEI10" s="337"/>
      <c r="AEJ10" s="337"/>
      <c r="AEK10" s="337"/>
      <c r="AEL10" s="337"/>
      <c r="AEM10" s="337"/>
      <c r="AEN10" s="337"/>
      <c r="AEO10" s="337"/>
      <c r="AEP10" s="337"/>
      <c r="AEQ10" s="337"/>
      <c r="AER10" s="337"/>
      <c r="AES10" s="337"/>
      <c r="AET10" s="337"/>
      <c r="AEU10" s="337"/>
      <c r="AEV10" s="337"/>
      <c r="AEW10" s="337"/>
      <c r="AEX10" s="337"/>
      <c r="AEY10" s="337"/>
      <c r="AEZ10" s="337"/>
      <c r="AFA10" s="337"/>
      <c r="AFB10" s="337"/>
      <c r="AFC10" s="337"/>
      <c r="AFD10" s="337"/>
      <c r="AFE10" s="337"/>
      <c r="AFF10" s="337"/>
      <c r="AFG10" s="337"/>
      <c r="AFH10" s="337"/>
      <c r="AFI10" s="337"/>
      <c r="AFJ10" s="337"/>
      <c r="AFK10" s="337"/>
      <c r="AFL10" s="337"/>
      <c r="AFM10" s="337"/>
      <c r="AFN10" s="337"/>
      <c r="AFO10" s="337"/>
      <c r="AFP10" s="337"/>
      <c r="AFQ10" s="337"/>
      <c r="AFR10" s="337"/>
      <c r="AFS10" s="337"/>
      <c r="AFT10" s="337"/>
      <c r="AFU10" s="337"/>
      <c r="AFV10" s="337"/>
      <c r="AFW10" s="337"/>
      <c r="AFX10" s="337"/>
      <c r="AFY10" s="337"/>
      <c r="AFZ10" s="337"/>
      <c r="AGA10" s="337"/>
      <c r="AGB10" s="337"/>
      <c r="AGC10" s="337"/>
      <c r="AGD10" s="337"/>
      <c r="AGE10" s="337"/>
      <c r="AGF10" s="337"/>
      <c r="AGG10" s="337"/>
      <c r="AGH10" s="337"/>
      <c r="AGI10" s="337"/>
      <c r="AGJ10" s="337"/>
      <c r="AGK10" s="337"/>
      <c r="AGL10" s="337"/>
      <c r="AGM10" s="337"/>
      <c r="AGN10" s="337"/>
      <c r="AGO10" s="337"/>
      <c r="AGP10" s="337"/>
      <c r="AGQ10" s="337"/>
      <c r="AGR10" s="337"/>
      <c r="AGS10" s="337"/>
      <c r="AGT10" s="337"/>
      <c r="AGU10" s="337"/>
      <c r="AGV10" s="337"/>
      <c r="AGW10" s="337"/>
      <c r="AGX10" s="337"/>
      <c r="AGY10" s="337"/>
      <c r="AGZ10" s="337"/>
      <c r="AHA10" s="337"/>
      <c r="AHB10" s="337"/>
      <c r="AHC10" s="337"/>
      <c r="AHD10" s="337"/>
      <c r="AHE10" s="337"/>
      <c r="AHF10" s="337"/>
      <c r="AHG10" s="337"/>
      <c r="AHH10" s="337"/>
      <c r="AHI10" s="337"/>
      <c r="AHJ10" s="337"/>
      <c r="AHK10" s="337"/>
      <c r="AHL10" s="337"/>
      <c r="AHM10" s="337"/>
      <c r="AHN10" s="337"/>
      <c r="AHO10" s="337"/>
      <c r="AHP10" s="337"/>
      <c r="AHQ10" s="337"/>
      <c r="AHR10" s="337"/>
      <c r="AHS10" s="337"/>
      <c r="AHT10" s="337"/>
      <c r="AHU10" s="337"/>
      <c r="AHV10" s="337"/>
      <c r="AHW10" s="337"/>
      <c r="AHX10" s="337"/>
      <c r="AHY10" s="337"/>
      <c r="AHZ10" s="337"/>
      <c r="AIA10" s="337"/>
      <c r="AIB10" s="337"/>
      <c r="AIC10" s="337"/>
      <c r="AID10" s="337"/>
      <c r="AIE10" s="337"/>
      <c r="AIF10" s="337"/>
      <c r="AIG10" s="337"/>
      <c r="AIH10" s="337"/>
      <c r="AII10" s="337"/>
      <c r="AIJ10" s="337"/>
      <c r="AIK10" s="337"/>
      <c r="AIL10" s="337"/>
      <c r="AIM10" s="337"/>
      <c r="AIN10" s="337"/>
      <c r="AIO10" s="337"/>
      <c r="AIP10" s="337"/>
      <c r="AIQ10" s="337"/>
      <c r="AIR10" s="337"/>
      <c r="AIS10" s="337"/>
      <c r="AIT10" s="337"/>
      <c r="AIU10" s="337"/>
      <c r="AIV10" s="337"/>
      <c r="AIW10" s="337"/>
      <c r="AIX10" s="337"/>
      <c r="AIY10" s="337"/>
      <c r="AIZ10" s="337"/>
      <c r="AJA10" s="337"/>
      <c r="AJB10" s="337"/>
      <c r="AJC10" s="337"/>
      <c r="AJD10" s="337"/>
      <c r="AJE10" s="337"/>
      <c r="AJF10" s="337"/>
      <c r="AJG10" s="337"/>
      <c r="AJH10" s="337"/>
      <c r="AJI10" s="337"/>
      <c r="AJJ10" s="337"/>
      <c r="AJK10" s="337"/>
      <c r="AJL10" s="337"/>
      <c r="AJM10" s="337"/>
      <c r="AJN10" s="337"/>
      <c r="AJO10" s="337"/>
      <c r="AJP10" s="337"/>
      <c r="AJQ10" s="337"/>
      <c r="AJR10" s="337"/>
      <c r="AJS10" s="337"/>
      <c r="AJT10" s="337"/>
      <c r="AJU10" s="337"/>
      <c r="AJV10" s="337"/>
      <c r="AJW10" s="337"/>
      <c r="AJX10" s="337"/>
      <c r="AJY10" s="337"/>
      <c r="AJZ10" s="337"/>
      <c r="AKA10" s="337"/>
      <c r="AKB10" s="337"/>
      <c r="AKC10" s="337"/>
      <c r="AKD10" s="337"/>
      <c r="AKE10" s="337"/>
      <c r="AKF10" s="337"/>
      <c r="AKG10" s="337"/>
      <c r="AKH10" s="337"/>
      <c r="AKI10" s="337"/>
      <c r="AKJ10" s="337"/>
      <c r="AKK10" s="337"/>
      <c r="AKL10" s="337"/>
      <c r="AKM10" s="337"/>
      <c r="AKN10" s="337"/>
      <c r="AKO10" s="337"/>
      <c r="AKP10" s="337"/>
      <c r="AKQ10" s="337"/>
      <c r="AKR10" s="337"/>
      <c r="AKS10" s="337"/>
      <c r="AKT10" s="337"/>
      <c r="AKU10" s="337"/>
      <c r="AKV10" s="337"/>
      <c r="AKW10" s="337"/>
      <c r="AKX10" s="337"/>
      <c r="AKY10" s="337"/>
      <c r="AKZ10" s="337"/>
      <c r="ALA10" s="337"/>
      <c r="ALB10" s="337"/>
      <c r="ALC10" s="337"/>
      <c r="ALD10" s="337"/>
      <c r="ALE10" s="337"/>
      <c r="ALF10" s="337"/>
      <c r="ALG10" s="337"/>
      <c r="ALH10" s="337"/>
      <c r="ALI10" s="337"/>
      <c r="ALJ10" s="337"/>
      <c r="ALK10" s="337"/>
      <c r="ALL10" s="337"/>
      <c r="ALM10" s="337"/>
      <c r="ALN10" s="337"/>
      <c r="ALO10" s="337"/>
      <c r="ALP10" s="337"/>
      <c r="ALQ10" s="337"/>
      <c r="ALR10" s="337"/>
      <c r="ALS10" s="337"/>
      <c r="ALT10" s="337"/>
      <c r="ALU10" s="337"/>
      <c r="ALV10" s="337"/>
      <c r="ALW10" s="337"/>
      <c r="ALX10" s="337"/>
      <c r="ALY10" s="337"/>
      <c r="ALZ10" s="337"/>
      <c r="AMA10" s="337"/>
      <c r="AMB10" s="337"/>
      <c r="AMC10" s="337"/>
      <c r="AMD10" s="337"/>
      <c r="AME10" s="337"/>
      <c r="AMF10" s="337"/>
      <c r="AMG10" s="337"/>
      <c r="AMH10" s="337"/>
      <c r="AMI10" s="337"/>
    </row>
    <row r="11" ht="17.4" customHeight="1" spans="1:10" x14ac:dyDescent="0.25">
      <c r="A11" s="368"/>
      <c r="B11" s="351" t="s">
        <v>833</v>
      </c>
      <c r="C11" s="351"/>
      <c r="D11" s="351"/>
      <c r="E11" s="351"/>
      <c r="F11" s="351"/>
      <c r="G11" s="351"/>
      <c r="H11" s="351"/>
      <c r="I11" s="351"/>
      <c r="J11" s="351"/>
    </row>
    <row r="12" ht="17.5" customHeight="1" spans="1:10" x14ac:dyDescent="0.25">
      <c r="A12" s="368" t="s">
        <v>864</v>
      </c>
      <c r="B12" s="352">
        <v>0</v>
      </c>
      <c r="C12" s="354"/>
      <c r="D12" s="369">
        <v>0</v>
      </c>
      <c r="E12" s="369">
        <v>0</v>
      </c>
      <c r="F12" s="369">
        <v>0</v>
      </c>
      <c r="G12" s="369">
        <v>0</v>
      </c>
      <c r="H12" s="369">
        <v>0</v>
      </c>
      <c r="I12" s="369">
        <f>C12+D12+E12+F12+G12+H12</f>
        <v>0</v>
      </c>
      <c r="J12" s="354"/>
    </row>
    <row r="13" ht="17.5" customHeight="1" spans="1:10" x14ac:dyDescent="0.25">
      <c r="A13" s="368" t="s">
        <v>865</v>
      </c>
      <c r="B13" s="352">
        <v>0.2</v>
      </c>
      <c r="C13" s="369">
        <v>1014</v>
      </c>
      <c r="D13" s="369">
        <v>0</v>
      </c>
      <c r="E13" s="369">
        <v>0</v>
      </c>
      <c r="F13" s="369">
        <v>0</v>
      </c>
      <c r="G13" s="369">
        <v>0</v>
      </c>
      <c r="H13" s="369">
        <v>0</v>
      </c>
      <c r="I13" s="369">
        <f t="shared" ref="I13:I16" si="0">C13+D13+E13+F13+G13+H13</f>
        <v>1014</v>
      </c>
      <c r="J13" s="369">
        <f>I13*B13</f>
        <v>202.8</v>
      </c>
    </row>
    <row r="14" ht="17.5" customHeight="1" spans="1:10" x14ac:dyDescent="0.25">
      <c r="A14" s="368" t="s">
        <v>866</v>
      </c>
      <c r="B14" s="352">
        <v>0.5</v>
      </c>
      <c r="C14" s="369">
        <v>0</v>
      </c>
      <c r="D14" s="369">
        <v>0</v>
      </c>
      <c r="E14" s="369">
        <v>0</v>
      </c>
      <c r="F14" s="369">
        <v>0</v>
      </c>
      <c r="G14" s="369">
        <v>0</v>
      </c>
      <c r="H14" s="369">
        <v>0</v>
      </c>
      <c r="I14" s="369">
        <f t="shared" si="0"/>
        <v>0</v>
      </c>
      <c r="J14" s="369">
        <f t="shared" ref="J14:J16" si="1">I14*B14</f>
        <v>0</v>
      </c>
    </row>
    <row r="15" ht="17.5" customHeight="1" spans="1:10" x14ac:dyDescent="0.25">
      <c r="A15" s="368" t="s">
        <v>867</v>
      </c>
      <c r="B15" s="352">
        <v>1</v>
      </c>
      <c r="C15" s="369">
        <v>0</v>
      </c>
      <c r="D15" s="369">
        <v>0</v>
      </c>
      <c r="E15" s="369">
        <v>0</v>
      </c>
      <c r="F15" s="369">
        <v>0</v>
      </c>
      <c r="G15" s="369">
        <v>0</v>
      </c>
      <c r="H15" s="369">
        <v>0</v>
      </c>
      <c r="I15" s="369">
        <f t="shared" si="0"/>
        <v>0</v>
      </c>
      <c r="J15" s="369">
        <f t="shared" si="1"/>
        <v>0</v>
      </c>
    </row>
    <row r="16" ht="17.5" customHeight="1" spans="1:10" x14ac:dyDescent="0.25">
      <c r="A16" s="368" t="s">
        <v>868</v>
      </c>
      <c r="B16" s="352">
        <v>1.5</v>
      </c>
      <c r="C16" s="369">
        <v>0</v>
      </c>
      <c r="D16" s="369">
        <v>0</v>
      </c>
      <c r="E16" s="369">
        <v>0</v>
      </c>
      <c r="F16" s="369">
        <v>0</v>
      </c>
      <c r="G16" s="369">
        <v>0</v>
      </c>
      <c r="H16" s="369">
        <v>0</v>
      </c>
      <c r="I16" s="369">
        <f t="shared" si="0"/>
        <v>0</v>
      </c>
      <c r="J16" s="369">
        <f t="shared" si="1"/>
        <v>0</v>
      </c>
    </row>
    <row r="17" ht="18" customHeight="1" spans="1:10" s="337" customFormat="1" x14ac:dyDescent="0.25">
      <c r="A17" s="368" t="s">
        <v>869</v>
      </c>
      <c r="B17" s="57" t="s">
        <v>520</v>
      </c>
      <c r="C17" s="370">
        <f>C12+C13+C14+C15+C16</f>
        <v>1014</v>
      </c>
      <c r="D17" s="370">
        <f t="shared" ref="D17:J17" si="2">D12+D13+D14+D15+D16</f>
        <v>0</v>
      </c>
      <c r="E17" s="370">
        <f t="shared" si="2"/>
        <v>0</v>
      </c>
      <c r="F17" s="370">
        <f t="shared" si="2"/>
        <v>0</v>
      </c>
      <c r="G17" s="370">
        <f t="shared" si="2"/>
        <v>0</v>
      </c>
      <c r="H17" s="370">
        <f t="shared" si="2"/>
        <v>0</v>
      </c>
      <c r="I17" s="370">
        <f t="shared" si="2"/>
        <v>1014</v>
      </c>
      <c r="J17" s="370">
        <f t="shared" si="2"/>
        <v>202.8</v>
      </c>
    </row>
    <row r="18" ht="9" customHeight="1" spans="1:10" s="317" customFormat="1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</row>
    <row r="19" ht="18" customHeight="1" spans="1:10" s="317" customFormat="1" x14ac:dyDescent="0.25">
      <c r="A19" s="357"/>
      <c r="B19" s="157" t="s">
        <v>840</v>
      </c>
      <c r="C19" s="183"/>
      <c r="D19" s="183"/>
      <c r="E19" s="183"/>
      <c r="F19" s="183"/>
      <c r="G19" s="183"/>
      <c r="H19" s="183"/>
      <c r="I19" s="183"/>
      <c r="J19" s="358"/>
    </row>
    <row r="20" ht="17.5" customHeight="1" spans="1:10" x14ac:dyDescent="0.25">
      <c r="A20" s="368" t="s">
        <v>870</v>
      </c>
      <c r="B20" s="352">
        <v>0</v>
      </c>
      <c r="C20" s="354"/>
      <c r="D20" s="369">
        <v>0</v>
      </c>
      <c r="E20" s="369">
        <v>0</v>
      </c>
      <c r="F20" s="369">
        <v>0</v>
      </c>
      <c r="G20" s="369">
        <v>0</v>
      </c>
      <c r="H20" s="369">
        <v>0</v>
      </c>
      <c r="I20" s="369">
        <v>0</v>
      </c>
      <c r="J20" s="354"/>
    </row>
    <row r="21" ht="17.5" customHeight="1" spans="1:10" x14ac:dyDescent="0.25">
      <c r="A21" s="368" t="s">
        <v>871</v>
      </c>
      <c r="B21" s="352">
        <v>0.2</v>
      </c>
      <c r="C21" s="369">
        <v>0</v>
      </c>
      <c r="D21" s="369">
        <v>0</v>
      </c>
      <c r="E21" s="369">
        <v>0</v>
      </c>
      <c r="F21" s="369">
        <v>0</v>
      </c>
      <c r="G21" s="369">
        <v>0</v>
      </c>
      <c r="H21" s="369">
        <v>0</v>
      </c>
      <c r="I21" s="369">
        <v>0</v>
      </c>
      <c r="J21" s="369">
        <v>0</v>
      </c>
    </row>
    <row r="22" ht="17.5" customHeight="1" spans="1:10" x14ac:dyDescent="0.25">
      <c r="A22" s="368" t="s">
        <v>872</v>
      </c>
      <c r="B22" s="352">
        <v>0.5</v>
      </c>
      <c r="C22" s="369">
        <v>0</v>
      </c>
      <c r="D22" s="369">
        <v>0</v>
      </c>
      <c r="E22" s="369">
        <v>0</v>
      </c>
      <c r="F22" s="369">
        <v>0</v>
      </c>
      <c r="G22" s="369">
        <v>0</v>
      </c>
      <c r="H22" s="369">
        <v>0</v>
      </c>
      <c r="I22" s="369">
        <v>0</v>
      </c>
      <c r="J22" s="369">
        <v>0</v>
      </c>
    </row>
    <row r="23" ht="17.5" customHeight="1" spans="1:10" x14ac:dyDescent="0.25">
      <c r="A23" s="368" t="s">
        <v>873</v>
      </c>
      <c r="B23" s="352">
        <v>1</v>
      </c>
      <c r="C23" s="369">
        <v>0</v>
      </c>
      <c r="D23" s="369">
        <v>0</v>
      </c>
      <c r="E23" s="369">
        <v>0</v>
      </c>
      <c r="F23" s="369">
        <v>0</v>
      </c>
      <c r="G23" s="369">
        <v>0</v>
      </c>
      <c r="H23" s="369">
        <v>0</v>
      </c>
      <c r="I23" s="369">
        <v>0</v>
      </c>
      <c r="J23" s="369">
        <v>0</v>
      </c>
    </row>
    <row r="24" ht="17.5" customHeight="1" spans="1:10" x14ac:dyDescent="0.25">
      <c r="A24" s="368" t="s">
        <v>874</v>
      </c>
      <c r="B24" s="352">
        <v>1.5</v>
      </c>
      <c r="C24" s="369">
        <v>0</v>
      </c>
      <c r="D24" s="369">
        <v>0</v>
      </c>
      <c r="E24" s="369">
        <v>0</v>
      </c>
      <c r="F24" s="369">
        <v>0</v>
      </c>
      <c r="G24" s="369">
        <v>0</v>
      </c>
      <c r="H24" s="369">
        <v>0</v>
      </c>
      <c r="I24" s="369">
        <v>0</v>
      </c>
      <c r="J24" s="369">
        <v>0</v>
      </c>
    </row>
    <row r="25" ht="18" customHeight="1" spans="1:1025" s="371" customFormat="1" x14ac:dyDescent="0.25">
      <c r="A25" s="368" t="s">
        <v>875</v>
      </c>
      <c r="B25" s="57" t="s">
        <v>520</v>
      </c>
      <c r="C25" s="370">
        <v>0</v>
      </c>
      <c r="D25" s="370">
        <v>0</v>
      </c>
      <c r="E25" s="370">
        <v>0</v>
      </c>
      <c r="F25" s="370">
        <v>0</v>
      </c>
      <c r="G25" s="370">
        <v>0</v>
      </c>
      <c r="H25" s="370">
        <v>0</v>
      </c>
      <c r="I25" s="370">
        <v>0</v>
      </c>
      <c r="J25" s="370">
        <v>0</v>
      </c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337"/>
      <c r="AR25" s="337"/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7"/>
      <c r="BD25" s="337"/>
      <c r="BE25" s="337"/>
      <c r="BF25" s="337"/>
      <c r="BG25" s="337"/>
      <c r="BH25" s="337"/>
      <c r="BI25" s="337"/>
      <c r="BJ25" s="337"/>
      <c r="BK25" s="337"/>
      <c r="BL25" s="337"/>
      <c r="BM25" s="337"/>
      <c r="BN25" s="337"/>
      <c r="BO25" s="337"/>
      <c r="BP25" s="337"/>
      <c r="BQ25" s="337"/>
      <c r="BR25" s="337"/>
      <c r="BS25" s="337"/>
      <c r="BT25" s="337"/>
      <c r="BU25" s="337"/>
      <c r="BV25" s="337"/>
      <c r="BW25" s="337"/>
      <c r="BX25" s="337"/>
      <c r="BY25" s="337"/>
      <c r="BZ25" s="337"/>
      <c r="CA25" s="337"/>
      <c r="CB25" s="337"/>
      <c r="CC25" s="337"/>
      <c r="CD25" s="337"/>
      <c r="CE25" s="337"/>
      <c r="CF25" s="337"/>
      <c r="CG25" s="337"/>
      <c r="CH25" s="337"/>
      <c r="CI25" s="337"/>
      <c r="CJ25" s="337"/>
      <c r="CK25" s="337"/>
      <c r="CL25" s="337"/>
      <c r="CM25" s="337"/>
      <c r="CN25" s="337"/>
      <c r="CO25" s="337"/>
      <c r="CP25" s="337"/>
      <c r="CQ25" s="337"/>
      <c r="CR25" s="337"/>
      <c r="CS25" s="337"/>
      <c r="CT25" s="337"/>
      <c r="CU25" s="337"/>
      <c r="CV25" s="337"/>
      <c r="CW25" s="337"/>
      <c r="CX25" s="337"/>
      <c r="CY25" s="337"/>
      <c r="CZ25" s="337"/>
      <c r="DA25" s="337"/>
      <c r="DB25" s="337"/>
      <c r="DC25" s="337"/>
      <c r="DD25" s="337"/>
      <c r="DE25" s="337"/>
      <c r="DF25" s="337"/>
      <c r="DG25" s="337"/>
      <c r="DH25" s="337"/>
      <c r="DI25" s="337"/>
      <c r="DJ25" s="337"/>
      <c r="DK25" s="337"/>
      <c r="DL25" s="337"/>
      <c r="DM25" s="337"/>
      <c r="DN25" s="337"/>
      <c r="DO25" s="337"/>
      <c r="DP25" s="337"/>
      <c r="DQ25" s="337"/>
      <c r="DR25" s="337"/>
      <c r="DS25" s="337"/>
      <c r="DT25" s="337"/>
      <c r="DU25" s="337"/>
      <c r="DV25" s="337"/>
      <c r="DW25" s="337"/>
      <c r="DX25" s="337"/>
      <c r="DY25" s="337"/>
      <c r="DZ25" s="337"/>
      <c r="EA25" s="337"/>
      <c r="EB25" s="337"/>
      <c r="EC25" s="337"/>
      <c r="ED25" s="337"/>
      <c r="EE25" s="337"/>
      <c r="EF25" s="337"/>
      <c r="EG25" s="337"/>
      <c r="EH25" s="337"/>
      <c r="EI25" s="337"/>
      <c r="EJ25" s="337"/>
      <c r="EK25" s="337"/>
      <c r="EL25" s="337"/>
      <c r="EM25" s="337"/>
      <c r="EN25" s="337"/>
      <c r="EO25" s="337"/>
      <c r="EP25" s="337"/>
      <c r="EQ25" s="337"/>
      <c r="ER25" s="337"/>
      <c r="ES25" s="337"/>
      <c r="ET25" s="337"/>
      <c r="EU25" s="337"/>
      <c r="EV25" s="337"/>
      <c r="EW25" s="337"/>
      <c r="EX25" s="337"/>
      <c r="EY25" s="337"/>
      <c r="EZ25" s="337"/>
      <c r="FA25" s="337"/>
      <c r="FB25" s="337"/>
      <c r="FC25" s="337"/>
      <c r="FD25" s="337"/>
      <c r="FE25" s="337"/>
      <c r="FF25" s="337"/>
      <c r="FG25" s="337"/>
      <c r="FH25" s="337"/>
      <c r="FI25" s="337"/>
      <c r="FJ25" s="337"/>
      <c r="FK25" s="337"/>
      <c r="FL25" s="337"/>
      <c r="FM25" s="337"/>
      <c r="FN25" s="337"/>
      <c r="FO25" s="337"/>
      <c r="FP25" s="337"/>
      <c r="FQ25" s="337"/>
      <c r="FR25" s="337"/>
      <c r="FS25" s="337"/>
      <c r="FT25" s="337"/>
      <c r="FU25" s="337"/>
      <c r="FV25" s="337"/>
      <c r="FW25" s="337"/>
      <c r="FX25" s="337"/>
      <c r="FY25" s="337"/>
      <c r="FZ25" s="337"/>
      <c r="GA25" s="337"/>
      <c r="GB25" s="337"/>
      <c r="GC25" s="337"/>
      <c r="GD25" s="337"/>
      <c r="GE25" s="337"/>
      <c r="GF25" s="337"/>
      <c r="GG25" s="337"/>
      <c r="GH25" s="337"/>
      <c r="GI25" s="337"/>
      <c r="GJ25" s="337"/>
      <c r="GK25" s="337"/>
      <c r="GL25" s="337"/>
      <c r="GM25" s="337"/>
      <c r="GN25" s="337"/>
      <c r="GO25" s="337"/>
      <c r="GP25" s="337"/>
      <c r="GQ25" s="337"/>
      <c r="GR25" s="337"/>
      <c r="GS25" s="337"/>
      <c r="GT25" s="337"/>
      <c r="GU25" s="337"/>
      <c r="GV25" s="337"/>
      <c r="GW25" s="337"/>
      <c r="GX25" s="337"/>
      <c r="GY25" s="337"/>
      <c r="GZ25" s="337"/>
      <c r="HA25" s="337"/>
      <c r="HB25" s="337"/>
      <c r="HC25" s="337"/>
      <c r="HD25" s="337"/>
      <c r="HE25" s="337"/>
      <c r="HF25" s="337"/>
      <c r="HG25" s="337"/>
      <c r="HH25" s="337"/>
      <c r="HI25" s="337"/>
      <c r="HJ25" s="337"/>
      <c r="HK25" s="337"/>
      <c r="HL25" s="337"/>
      <c r="HM25" s="337"/>
      <c r="HN25" s="337"/>
      <c r="HO25" s="337"/>
      <c r="HP25" s="337"/>
      <c r="HQ25" s="337"/>
      <c r="HR25" s="337"/>
      <c r="HS25" s="337"/>
      <c r="HT25" s="337"/>
      <c r="HU25" s="337"/>
      <c r="HV25" s="337"/>
      <c r="HW25" s="337"/>
      <c r="HX25" s="337"/>
      <c r="HY25" s="337"/>
      <c r="HZ25" s="337"/>
      <c r="IA25" s="337"/>
      <c r="IB25" s="337"/>
      <c r="IC25" s="337"/>
      <c r="ID25" s="337"/>
      <c r="IE25" s="337"/>
      <c r="IF25" s="337"/>
      <c r="IG25" s="337"/>
      <c r="IH25" s="337"/>
      <c r="II25" s="337"/>
      <c r="IJ25" s="337"/>
      <c r="IK25" s="337"/>
      <c r="IL25" s="337"/>
      <c r="IM25" s="337"/>
      <c r="IN25" s="337"/>
      <c r="IO25" s="337"/>
      <c r="IP25" s="337"/>
      <c r="IQ25" s="337"/>
      <c r="IR25" s="337"/>
      <c r="IS25" s="337"/>
      <c r="IT25" s="337"/>
      <c r="IU25" s="337"/>
      <c r="IV25" s="337"/>
      <c r="IW25" s="337"/>
      <c r="IX25" s="337"/>
      <c r="IY25" s="337"/>
      <c r="IZ25" s="337"/>
      <c r="JA25" s="337"/>
      <c r="JB25" s="337"/>
      <c r="JC25" s="337"/>
      <c r="JD25" s="337"/>
      <c r="JE25" s="337"/>
      <c r="JF25" s="337"/>
      <c r="JG25" s="337"/>
      <c r="JH25" s="337"/>
      <c r="JI25" s="337"/>
      <c r="JJ25" s="337"/>
      <c r="JK25" s="337"/>
      <c r="JL25" s="337"/>
      <c r="JM25" s="337"/>
      <c r="JN25" s="337"/>
      <c r="JO25" s="337"/>
      <c r="JP25" s="337"/>
      <c r="JQ25" s="337"/>
      <c r="JR25" s="337"/>
      <c r="JS25" s="337"/>
      <c r="JT25" s="337"/>
      <c r="JU25" s="337"/>
      <c r="JV25" s="337"/>
      <c r="JW25" s="337"/>
      <c r="JX25" s="337"/>
      <c r="JY25" s="337"/>
      <c r="JZ25" s="337"/>
      <c r="KA25" s="337"/>
      <c r="KB25" s="337"/>
      <c r="KC25" s="337"/>
      <c r="KD25" s="337"/>
      <c r="KE25" s="337"/>
      <c r="KF25" s="337"/>
      <c r="KG25" s="337"/>
      <c r="KH25" s="337"/>
      <c r="KI25" s="337"/>
      <c r="KJ25" s="337"/>
      <c r="KK25" s="337"/>
      <c r="KL25" s="337"/>
      <c r="KM25" s="337"/>
      <c r="KN25" s="337"/>
      <c r="KO25" s="337"/>
      <c r="KP25" s="337"/>
      <c r="KQ25" s="337"/>
      <c r="KR25" s="337"/>
      <c r="KS25" s="337"/>
      <c r="KT25" s="337"/>
      <c r="KU25" s="337"/>
      <c r="KV25" s="337"/>
      <c r="KW25" s="337"/>
      <c r="KX25" s="337"/>
      <c r="KY25" s="337"/>
      <c r="KZ25" s="337"/>
      <c r="LA25" s="337"/>
      <c r="LB25" s="337"/>
      <c r="LC25" s="337"/>
      <c r="LD25" s="337"/>
      <c r="LE25" s="337"/>
      <c r="LF25" s="337"/>
      <c r="LG25" s="337"/>
      <c r="LH25" s="337"/>
      <c r="LI25" s="337"/>
      <c r="LJ25" s="337"/>
      <c r="LK25" s="337"/>
      <c r="LL25" s="337"/>
      <c r="LM25" s="337"/>
      <c r="LN25" s="337"/>
      <c r="LO25" s="337"/>
      <c r="LP25" s="337"/>
      <c r="LQ25" s="337"/>
      <c r="LR25" s="337"/>
      <c r="LS25" s="337"/>
      <c r="LT25" s="337"/>
      <c r="LU25" s="337"/>
      <c r="LV25" s="337"/>
      <c r="LW25" s="337"/>
      <c r="LX25" s="337"/>
      <c r="LY25" s="337"/>
      <c r="LZ25" s="337"/>
      <c r="MA25" s="337"/>
      <c r="MB25" s="337"/>
      <c r="MC25" s="337"/>
      <c r="MD25" s="337"/>
      <c r="ME25" s="337"/>
      <c r="MF25" s="337"/>
      <c r="MG25" s="337"/>
      <c r="MH25" s="337"/>
      <c r="MI25" s="337"/>
      <c r="MJ25" s="337"/>
      <c r="MK25" s="337"/>
      <c r="ML25" s="337"/>
      <c r="MM25" s="337"/>
      <c r="MN25" s="337"/>
      <c r="MO25" s="337"/>
      <c r="MP25" s="337"/>
      <c r="MQ25" s="337"/>
      <c r="MR25" s="337"/>
      <c r="MS25" s="337"/>
      <c r="MT25" s="337"/>
      <c r="MU25" s="337"/>
      <c r="MV25" s="337"/>
      <c r="MW25" s="337"/>
      <c r="MX25" s="337"/>
      <c r="MY25" s="337"/>
      <c r="MZ25" s="337"/>
      <c r="NA25" s="337"/>
      <c r="NB25" s="337"/>
      <c r="NC25" s="337"/>
      <c r="ND25" s="337"/>
      <c r="NE25" s="337"/>
      <c r="NF25" s="337"/>
      <c r="NG25" s="337"/>
      <c r="NH25" s="337"/>
      <c r="NI25" s="337"/>
      <c r="NJ25" s="337"/>
      <c r="NK25" s="337"/>
      <c r="NL25" s="337"/>
      <c r="NM25" s="337"/>
      <c r="NN25" s="337"/>
      <c r="NO25" s="337"/>
      <c r="NP25" s="337"/>
      <c r="NQ25" s="337"/>
      <c r="NR25" s="337"/>
      <c r="NS25" s="337"/>
      <c r="NT25" s="337"/>
      <c r="NU25" s="337"/>
      <c r="NV25" s="337"/>
      <c r="NW25" s="337"/>
      <c r="NX25" s="337"/>
      <c r="NY25" s="337"/>
      <c r="NZ25" s="337"/>
      <c r="OA25" s="337"/>
      <c r="OB25" s="337"/>
      <c r="OC25" s="337"/>
      <c r="OD25" s="337"/>
      <c r="OE25" s="337"/>
      <c r="OF25" s="337"/>
      <c r="OG25" s="337"/>
      <c r="OH25" s="337"/>
      <c r="OI25" s="337"/>
      <c r="OJ25" s="337"/>
      <c r="OK25" s="337"/>
      <c r="OL25" s="337"/>
      <c r="OM25" s="337"/>
      <c r="ON25" s="337"/>
      <c r="OO25" s="337"/>
      <c r="OP25" s="337"/>
      <c r="OQ25" s="337"/>
      <c r="OR25" s="337"/>
      <c r="OS25" s="337"/>
      <c r="OT25" s="337"/>
      <c r="OU25" s="337"/>
      <c r="OV25" s="337"/>
      <c r="OW25" s="337"/>
      <c r="OX25" s="337"/>
      <c r="OY25" s="337"/>
      <c r="OZ25" s="337"/>
      <c r="PA25" s="337"/>
      <c r="PB25" s="337"/>
      <c r="PC25" s="337"/>
      <c r="PD25" s="337"/>
      <c r="PE25" s="337"/>
      <c r="PF25" s="337"/>
      <c r="PG25" s="337"/>
      <c r="PH25" s="337"/>
      <c r="PI25" s="337"/>
      <c r="PJ25" s="337"/>
      <c r="PK25" s="337"/>
      <c r="PL25" s="337"/>
      <c r="PM25" s="337"/>
      <c r="PN25" s="337"/>
      <c r="PO25" s="337"/>
      <c r="PP25" s="337"/>
      <c r="PQ25" s="337"/>
      <c r="PR25" s="337"/>
      <c r="PS25" s="337"/>
      <c r="PT25" s="337"/>
      <c r="PU25" s="337"/>
      <c r="PV25" s="337"/>
      <c r="PW25" s="337"/>
      <c r="PX25" s="337"/>
      <c r="PY25" s="337"/>
      <c r="PZ25" s="337"/>
      <c r="QA25" s="337"/>
      <c r="QB25" s="337"/>
      <c r="QC25" s="337"/>
      <c r="QD25" s="337"/>
      <c r="QE25" s="337"/>
      <c r="QF25" s="337"/>
      <c r="QG25" s="337"/>
      <c r="QH25" s="337"/>
      <c r="QI25" s="337"/>
      <c r="QJ25" s="337"/>
      <c r="QK25" s="337"/>
      <c r="QL25" s="337"/>
      <c r="QM25" s="337"/>
      <c r="QN25" s="337"/>
      <c r="QO25" s="337"/>
      <c r="QP25" s="337"/>
      <c r="QQ25" s="337"/>
      <c r="QR25" s="337"/>
      <c r="QS25" s="337"/>
      <c r="QT25" s="337"/>
      <c r="QU25" s="337"/>
      <c r="QV25" s="337"/>
      <c r="QW25" s="337"/>
      <c r="QX25" s="337"/>
      <c r="QY25" s="337"/>
      <c r="QZ25" s="337"/>
      <c r="RA25" s="337"/>
      <c r="RB25" s="337"/>
      <c r="RC25" s="337"/>
      <c r="RD25" s="337"/>
      <c r="RE25" s="337"/>
      <c r="RF25" s="337"/>
      <c r="RG25" s="337"/>
      <c r="RH25" s="337"/>
      <c r="RI25" s="337"/>
      <c r="RJ25" s="337"/>
      <c r="RK25" s="337"/>
      <c r="RL25" s="337"/>
      <c r="RM25" s="337"/>
      <c r="RN25" s="337"/>
      <c r="RO25" s="337"/>
      <c r="RP25" s="337"/>
      <c r="RQ25" s="337"/>
      <c r="RR25" s="337"/>
      <c r="RS25" s="337"/>
      <c r="RT25" s="337"/>
      <c r="RU25" s="337"/>
      <c r="RV25" s="337"/>
      <c r="RW25" s="337"/>
      <c r="RX25" s="337"/>
      <c r="RY25" s="337"/>
      <c r="RZ25" s="337"/>
      <c r="SA25" s="337"/>
      <c r="SB25" s="337"/>
      <c r="SC25" s="337"/>
      <c r="SD25" s="337"/>
      <c r="SE25" s="337"/>
      <c r="SF25" s="337"/>
      <c r="SG25" s="337"/>
      <c r="SH25" s="337"/>
      <c r="SI25" s="337"/>
      <c r="SJ25" s="337"/>
      <c r="SK25" s="337"/>
      <c r="SL25" s="337"/>
      <c r="SM25" s="337"/>
      <c r="SN25" s="337"/>
      <c r="SO25" s="337"/>
      <c r="SP25" s="337"/>
      <c r="SQ25" s="337"/>
      <c r="SR25" s="337"/>
      <c r="SS25" s="337"/>
      <c r="ST25" s="337"/>
      <c r="SU25" s="337"/>
      <c r="SV25" s="337"/>
      <c r="SW25" s="337"/>
      <c r="SX25" s="337"/>
      <c r="SY25" s="337"/>
      <c r="SZ25" s="337"/>
      <c r="TA25" s="337"/>
      <c r="TB25" s="337"/>
      <c r="TC25" s="337"/>
      <c r="TD25" s="337"/>
      <c r="TE25" s="337"/>
      <c r="TF25" s="337"/>
      <c r="TG25" s="337"/>
      <c r="TH25" s="337"/>
      <c r="TI25" s="337"/>
      <c r="TJ25" s="337"/>
      <c r="TK25" s="337"/>
      <c r="TL25" s="337"/>
      <c r="TM25" s="337"/>
      <c r="TN25" s="337"/>
      <c r="TO25" s="337"/>
      <c r="TP25" s="337"/>
      <c r="TQ25" s="337"/>
      <c r="TR25" s="337"/>
      <c r="TS25" s="337"/>
      <c r="TT25" s="337"/>
      <c r="TU25" s="337"/>
      <c r="TV25" s="337"/>
      <c r="TW25" s="337"/>
      <c r="TX25" s="337"/>
      <c r="TY25" s="337"/>
      <c r="TZ25" s="337"/>
      <c r="UA25" s="337"/>
      <c r="UB25" s="337"/>
      <c r="UC25" s="337"/>
      <c r="UD25" s="337"/>
      <c r="UE25" s="337"/>
      <c r="UF25" s="337"/>
      <c r="UG25" s="337"/>
      <c r="UH25" s="337"/>
      <c r="UI25" s="337"/>
      <c r="UJ25" s="337"/>
      <c r="UK25" s="337"/>
      <c r="UL25" s="337"/>
      <c r="UM25" s="337"/>
      <c r="UN25" s="337"/>
      <c r="UO25" s="337"/>
      <c r="UP25" s="337"/>
      <c r="UQ25" s="337"/>
      <c r="UR25" s="337"/>
      <c r="US25" s="337"/>
      <c r="UT25" s="337"/>
      <c r="UU25" s="337"/>
      <c r="UV25" s="337"/>
      <c r="UW25" s="337"/>
      <c r="UX25" s="337"/>
      <c r="UY25" s="337"/>
      <c r="UZ25" s="337"/>
      <c r="VA25" s="337"/>
      <c r="VB25" s="337"/>
      <c r="VC25" s="337"/>
      <c r="VD25" s="337"/>
      <c r="VE25" s="337"/>
      <c r="VF25" s="337"/>
      <c r="VG25" s="337"/>
      <c r="VH25" s="337"/>
      <c r="VI25" s="337"/>
      <c r="VJ25" s="337"/>
      <c r="VK25" s="337"/>
      <c r="VL25" s="337"/>
      <c r="VM25" s="337"/>
      <c r="VN25" s="337"/>
      <c r="VO25" s="337"/>
      <c r="VP25" s="337"/>
      <c r="VQ25" s="337"/>
      <c r="VR25" s="337"/>
      <c r="VS25" s="337"/>
      <c r="VT25" s="337"/>
      <c r="VU25" s="337"/>
      <c r="VV25" s="337"/>
      <c r="VW25" s="337"/>
      <c r="VX25" s="337"/>
      <c r="VY25" s="337"/>
      <c r="VZ25" s="337"/>
      <c r="WA25" s="337"/>
      <c r="WB25" s="337"/>
      <c r="WC25" s="337"/>
      <c r="WD25" s="337"/>
      <c r="WE25" s="337"/>
      <c r="WF25" s="337"/>
      <c r="WG25" s="337"/>
      <c r="WH25" s="337"/>
      <c r="WI25" s="337"/>
      <c r="WJ25" s="337"/>
      <c r="WK25" s="337"/>
      <c r="WL25" s="337"/>
      <c r="WM25" s="337"/>
      <c r="WN25" s="337"/>
      <c r="WO25" s="337"/>
      <c r="WP25" s="337"/>
      <c r="WQ25" s="337"/>
      <c r="WR25" s="337"/>
      <c r="WS25" s="337"/>
      <c r="WT25" s="337"/>
      <c r="WU25" s="337"/>
      <c r="WV25" s="337"/>
      <c r="WW25" s="337"/>
      <c r="WX25" s="337"/>
      <c r="WY25" s="337"/>
      <c r="WZ25" s="337"/>
      <c r="XA25" s="337"/>
      <c r="XB25" s="337"/>
      <c r="XC25" s="337"/>
      <c r="XD25" s="337"/>
      <c r="XE25" s="337"/>
      <c r="XF25" s="337"/>
      <c r="XG25" s="337"/>
      <c r="XH25" s="337"/>
      <c r="XI25" s="337"/>
      <c r="XJ25" s="337"/>
      <c r="XK25" s="337"/>
      <c r="XL25" s="337"/>
      <c r="XM25" s="337"/>
      <c r="XN25" s="337"/>
      <c r="XO25" s="337"/>
      <c r="XP25" s="337"/>
      <c r="XQ25" s="337"/>
      <c r="XR25" s="337"/>
      <c r="XS25" s="337"/>
      <c r="XT25" s="337"/>
      <c r="XU25" s="337"/>
      <c r="XV25" s="337"/>
      <c r="XW25" s="337"/>
      <c r="XX25" s="337"/>
      <c r="XY25" s="337"/>
      <c r="XZ25" s="337"/>
      <c r="YA25" s="337"/>
      <c r="YB25" s="337"/>
      <c r="YC25" s="337"/>
      <c r="YD25" s="337"/>
      <c r="YE25" s="337"/>
      <c r="YF25" s="337"/>
      <c r="YG25" s="337"/>
      <c r="YH25" s="337"/>
      <c r="YI25" s="337"/>
      <c r="YJ25" s="337"/>
      <c r="YK25" s="337"/>
      <c r="YL25" s="337"/>
      <c r="YM25" s="337"/>
      <c r="YN25" s="337"/>
      <c r="YO25" s="337"/>
      <c r="YP25" s="337"/>
      <c r="YQ25" s="337"/>
      <c r="YR25" s="337"/>
      <c r="YS25" s="337"/>
      <c r="YT25" s="337"/>
      <c r="YU25" s="337"/>
      <c r="YV25" s="337"/>
      <c r="YW25" s="337"/>
      <c r="YX25" s="337"/>
      <c r="YY25" s="337"/>
      <c r="YZ25" s="337"/>
      <c r="ZA25" s="337"/>
      <c r="ZB25" s="337"/>
      <c r="ZC25" s="337"/>
      <c r="ZD25" s="337"/>
      <c r="ZE25" s="337"/>
      <c r="ZF25" s="337"/>
      <c r="ZG25" s="337"/>
      <c r="ZH25" s="337"/>
      <c r="ZI25" s="337"/>
      <c r="ZJ25" s="337"/>
      <c r="ZK25" s="337"/>
      <c r="ZL25" s="337"/>
      <c r="ZM25" s="337"/>
      <c r="ZN25" s="337"/>
      <c r="ZO25" s="337"/>
      <c r="ZP25" s="337"/>
      <c r="ZQ25" s="337"/>
      <c r="ZR25" s="337"/>
      <c r="ZS25" s="337"/>
      <c r="ZT25" s="337"/>
      <c r="ZU25" s="337"/>
      <c r="ZV25" s="337"/>
      <c r="ZW25" s="337"/>
      <c r="ZX25" s="337"/>
      <c r="ZY25" s="337"/>
      <c r="ZZ25" s="337"/>
      <c r="AAA25" s="337"/>
      <c r="AAB25" s="337"/>
      <c r="AAC25" s="337"/>
      <c r="AAD25" s="337"/>
      <c r="AAE25" s="337"/>
      <c r="AAF25" s="337"/>
      <c r="AAG25" s="337"/>
      <c r="AAH25" s="337"/>
      <c r="AAI25" s="337"/>
      <c r="AAJ25" s="337"/>
      <c r="AAK25" s="337"/>
      <c r="AAL25" s="337"/>
      <c r="AAM25" s="337"/>
      <c r="AAN25" s="337"/>
      <c r="AAO25" s="337"/>
      <c r="AAP25" s="337"/>
      <c r="AAQ25" s="337"/>
      <c r="AAR25" s="337"/>
      <c r="AAS25" s="337"/>
      <c r="AAT25" s="337"/>
      <c r="AAU25" s="337"/>
      <c r="AAV25" s="337"/>
      <c r="AAW25" s="337"/>
      <c r="AAX25" s="337"/>
      <c r="AAY25" s="337"/>
      <c r="AAZ25" s="337"/>
      <c r="ABA25" s="337"/>
      <c r="ABB25" s="337"/>
      <c r="ABC25" s="337"/>
      <c r="ABD25" s="337"/>
      <c r="ABE25" s="337"/>
      <c r="ABF25" s="337"/>
      <c r="ABG25" s="337"/>
      <c r="ABH25" s="337"/>
      <c r="ABI25" s="337"/>
      <c r="ABJ25" s="337"/>
      <c r="ABK25" s="337"/>
      <c r="ABL25" s="337"/>
      <c r="ABM25" s="337"/>
      <c r="ABN25" s="337"/>
      <c r="ABO25" s="337"/>
      <c r="ABP25" s="337"/>
      <c r="ABQ25" s="337"/>
      <c r="ABR25" s="337"/>
      <c r="ABS25" s="337"/>
      <c r="ABT25" s="337"/>
      <c r="ABU25" s="337"/>
      <c r="ABV25" s="337"/>
      <c r="ABW25" s="337"/>
      <c r="ABX25" s="337"/>
      <c r="ABY25" s="337"/>
      <c r="ABZ25" s="337"/>
      <c r="ACA25" s="337"/>
      <c r="ACB25" s="337"/>
      <c r="ACC25" s="337"/>
      <c r="ACD25" s="337"/>
      <c r="ACE25" s="337"/>
      <c r="ACF25" s="337"/>
      <c r="ACG25" s="337"/>
      <c r="ACH25" s="337"/>
      <c r="ACI25" s="337"/>
      <c r="ACJ25" s="337"/>
      <c r="ACK25" s="337"/>
      <c r="ACL25" s="337"/>
      <c r="ACM25" s="337"/>
      <c r="ACN25" s="337"/>
      <c r="ACO25" s="337"/>
      <c r="ACP25" s="337"/>
      <c r="ACQ25" s="337"/>
      <c r="ACR25" s="337"/>
      <c r="ACS25" s="337"/>
      <c r="ACT25" s="337"/>
      <c r="ACU25" s="337"/>
      <c r="ACV25" s="337"/>
      <c r="ACW25" s="337"/>
      <c r="ACX25" s="337"/>
      <c r="ACY25" s="337"/>
      <c r="ACZ25" s="337"/>
      <c r="ADA25" s="337"/>
      <c r="ADB25" s="337"/>
      <c r="ADC25" s="337"/>
      <c r="ADD25" s="337"/>
      <c r="ADE25" s="337"/>
      <c r="ADF25" s="337"/>
      <c r="ADG25" s="337"/>
      <c r="ADH25" s="337"/>
      <c r="ADI25" s="337"/>
      <c r="ADJ25" s="337"/>
      <c r="ADK25" s="337"/>
      <c r="ADL25" s="337"/>
      <c r="ADM25" s="337"/>
      <c r="ADN25" s="337"/>
      <c r="ADO25" s="337"/>
      <c r="ADP25" s="337"/>
      <c r="ADQ25" s="337"/>
      <c r="ADR25" s="337"/>
      <c r="ADS25" s="337"/>
      <c r="ADT25" s="337"/>
      <c r="ADU25" s="337"/>
      <c r="ADV25" s="337"/>
      <c r="ADW25" s="337"/>
      <c r="ADX25" s="337"/>
      <c r="ADY25" s="337"/>
      <c r="ADZ25" s="337"/>
      <c r="AEA25" s="337"/>
      <c r="AEB25" s="337"/>
      <c r="AEC25" s="337"/>
      <c r="AED25" s="337"/>
      <c r="AEE25" s="337"/>
      <c r="AEF25" s="337"/>
      <c r="AEG25" s="337"/>
      <c r="AEH25" s="337"/>
      <c r="AEI25" s="337"/>
      <c r="AEJ25" s="337"/>
      <c r="AEK25" s="337"/>
      <c r="AEL25" s="337"/>
      <c r="AEM25" s="337"/>
      <c r="AEN25" s="337"/>
      <c r="AEO25" s="337"/>
      <c r="AEP25" s="337"/>
      <c r="AEQ25" s="337"/>
      <c r="AER25" s="337"/>
      <c r="AES25" s="337"/>
      <c r="AET25" s="337"/>
      <c r="AEU25" s="337"/>
      <c r="AEV25" s="337"/>
      <c r="AEW25" s="337"/>
      <c r="AEX25" s="337"/>
      <c r="AEY25" s="337"/>
      <c r="AEZ25" s="337"/>
      <c r="AFA25" s="337"/>
      <c r="AFB25" s="337"/>
      <c r="AFC25" s="337"/>
      <c r="AFD25" s="337"/>
      <c r="AFE25" s="337"/>
      <c r="AFF25" s="337"/>
      <c r="AFG25" s="337"/>
      <c r="AFH25" s="337"/>
      <c r="AFI25" s="337"/>
      <c r="AFJ25" s="337"/>
      <c r="AFK25" s="337"/>
      <c r="AFL25" s="337"/>
      <c r="AFM25" s="337"/>
      <c r="AFN25" s="337"/>
      <c r="AFO25" s="337"/>
      <c r="AFP25" s="337"/>
      <c r="AFQ25" s="337"/>
      <c r="AFR25" s="337"/>
      <c r="AFS25" s="337"/>
      <c r="AFT25" s="337"/>
      <c r="AFU25" s="337"/>
      <c r="AFV25" s="337"/>
      <c r="AFW25" s="337"/>
      <c r="AFX25" s="337"/>
      <c r="AFY25" s="337"/>
      <c r="AFZ25" s="337"/>
      <c r="AGA25" s="337"/>
      <c r="AGB25" s="337"/>
      <c r="AGC25" s="337"/>
      <c r="AGD25" s="337"/>
      <c r="AGE25" s="337"/>
      <c r="AGF25" s="337"/>
      <c r="AGG25" s="337"/>
      <c r="AGH25" s="337"/>
      <c r="AGI25" s="337"/>
      <c r="AGJ25" s="337"/>
      <c r="AGK25" s="337"/>
      <c r="AGL25" s="337"/>
      <c r="AGM25" s="337"/>
      <c r="AGN25" s="337"/>
      <c r="AGO25" s="337"/>
      <c r="AGP25" s="337"/>
      <c r="AGQ25" s="337"/>
      <c r="AGR25" s="337"/>
      <c r="AGS25" s="337"/>
      <c r="AGT25" s="337"/>
      <c r="AGU25" s="337"/>
      <c r="AGV25" s="337"/>
      <c r="AGW25" s="337"/>
      <c r="AGX25" s="337"/>
      <c r="AGY25" s="337"/>
      <c r="AGZ25" s="337"/>
      <c r="AHA25" s="337"/>
      <c r="AHB25" s="337"/>
      <c r="AHC25" s="337"/>
      <c r="AHD25" s="337"/>
      <c r="AHE25" s="337"/>
      <c r="AHF25" s="337"/>
      <c r="AHG25" s="337"/>
      <c r="AHH25" s="337"/>
      <c r="AHI25" s="337"/>
      <c r="AHJ25" s="337"/>
      <c r="AHK25" s="337"/>
      <c r="AHL25" s="337"/>
      <c r="AHM25" s="337"/>
      <c r="AHN25" s="337"/>
      <c r="AHO25" s="337"/>
      <c r="AHP25" s="337"/>
      <c r="AHQ25" s="337"/>
      <c r="AHR25" s="337"/>
      <c r="AHS25" s="337"/>
      <c r="AHT25" s="337"/>
      <c r="AHU25" s="337"/>
      <c r="AHV25" s="337"/>
      <c r="AHW25" s="337"/>
      <c r="AHX25" s="337"/>
      <c r="AHY25" s="337"/>
      <c r="AHZ25" s="337"/>
      <c r="AIA25" s="337"/>
      <c r="AIB25" s="337"/>
      <c r="AIC25" s="337"/>
      <c r="AID25" s="337"/>
      <c r="AIE25" s="337"/>
      <c r="AIF25" s="337"/>
      <c r="AIG25" s="337"/>
      <c r="AIH25" s="337"/>
      <c r="AII25" s="337"/>
      <c r="AIJ25" s="337"/>
      <c r="AIK25" s="337"/>
      <c r="AIL25" s="337"/>
      <c r="AIM25" s="337"/>
      <c r="AIN25" s="337"/>
      <c r="AIO25" s="337"/>
      <c r="AIP25" s="337"/>
      <c r="AIQ25" s="337"/>
      <c r="AIR25" s="337"/>
      <c r="AIS25" s="337"/>
      <c r="AIT25" s="337"/>
      <c r="AIU25" s="337"/>
      <c r="AIV25" s="337"/>
      <c r="AIW25" s="337"/>
      <c r="AIX25" s="337"/>
      <c r="AIY25" s="337"/>
      <c r="AIZ25" s="337"/>
      <c r="AJA25" s="337"/>
      <c r="AJB25" s="337"/>
      <c r="AJC25" s="337"/>
      <c r="AJD25" s="337"/>
      <c r="AJE25" s="337"/>
      <c r="AJF25" s="337"/>
      <c r="AJG25" s="337"/>
      <c r="AJH25" s="337"/>
      <c r="AJI25" s="337"/>
      <c r="AJJ25" s="337"/>
      <c r="AJK25" s="337"/>
      <c r="AJL25" s="337"/>
      <c r="AJM25" s="337"/>
      <c r="AJN25" s="337"/>
      <c r="AJO25" s="337"/>
      <c r="AJP25" s="337"/>
      <c r="AJQ25" s="337"/>
      <c r="AJR25" s="337"/>
      <c r="AJS25" s="337"/>
      <c r="AJT25" s="337"/>
      <c r="AJU25" s="337"/>
      <c r="AJV25" s="337"/>
      <c r="AJW25" s="337"/>
      <c r="AJX25" s="337"/>
      <c r="AJY25" s="337"/>
      <c r="AJZ25" s="337"/>
      <c r="AKA25" s="337"/>
      <c r="AKB25" s="337"/>
      <c r="AKC25" s="337"/>
      <c r="AKD25" s="337"/>
      <c r="AKE25" s="337"/>
      <c r="AKF25" s="337"/>
      <c r="AKG25" s="337"/>
      <c r="AKH25" s="337"/>
      <c r="AKI25" s="337"/>
      <c r="AKJ25" s="337"/>
      <c r="AKK25" s="337"/>
      <c r="AKL25" s="337"/>
      <c r="AKM25" s="337"/>
      <c r="AKN25" s="337"/>
      <c r="AKO25" s="337"/>
      <c r="AKP25" s="337"/>
      <c r="AKQ25" s="337"/>
      <c r="AKR25" s="337"/>
      <c r="AKS25" s="337"/>
      <c r="AKT25" s="337"/>
      <c r="AKU25" s="337"/>
      <c r="AKV25" s="337"/>
      <c r="AKW25" s="337"/>
      <c r="AKX25" s="337"/>
      <c r="AKY25" s="337"/>
      <c r="AKZ25" s="337"/>
      <c r="ALA25" s="337"/>
      <c r="ALB25" s="337"/>
      <c r="ALC25" s="337"/>
      <c r="ALD25" s="337"/>
      <c r="ALE25" s="337"/>
      <c r="ALF25" s="337"/>
      <c r="ALG25" s="337"/>
      <c r="ALH25" s="337"/>
      <c r="ALI25" s="337"/>
      <c r="ALJ25" s="337"/>
      <c r="ALK25" s="337"/>
      <c r="ALL25" s="337"/>
      <c r="ALM25" s="337"/>
      <c r="ALN25" s="337"/>
      <c r="ALO25" s="337"/>
      <c r="ALP25" s="337"/>
      <c r="ALQ25" s="337"/>
      <c r="ALR25" s="337"/>
      <c r="ALS25" s="337"/>
      <c r="ALT25" s="337"/>
      <c r="ALU25" s="337"/>
      <c r="ALV25" s="337"/>
      <c r="ALW25" s="337"/>
      <c r="ALX25" s="337"/>
      <c r="ALY25" s="337"/>
      <c r="ALZ25" s="337"/>
      <c r="AMA25" s="337"/>
      <c r="AMB25" s="337"/>
      <c r="AMC25" s="337"/>
      <c r="AMD25" s="337"/>
      <c r="AME25" s="337"/>
      <c r="AMF25" s="337"/>
      <c r="AMG25" s="337"/>
      <c r="AMH25" s="337"/>
      <c r="AMI25" s="337"/>
      <c r="AMJ25" s="337"/>
      <c r="AMK25" s="337"/>
    </row>
    <row r="26" ht="9" customHeight="1" spans="1:10" s="317" customFormat="1" x14ac:dyDescent="0.25">
      <c r="A26" s="356"/>
      <c r="B26" s="356"/>
      <c r="C26" s="356"/>
      <c r="D26" s="356"/>
      <c r="E26" s="356"/>
      <c r="F26" s="356"/>
      <c r="G26" s="356"/>
      <c r="H26" s="356"/>
      <c r="I26" s="356"/>
      <c r="J26" s="356"/>
    </row>
    <row r="27" ht="18" customHeight="1" spans="1:10" s="317" customFormat="1" x14ac:dyDescent="0.25">
      <c r="A27" s="357"/>
      <c r="B27" s="157" t="s">
        <v>847</v>
      </c>
      <c r="C27" s="183"/>
      <c r="D27" s="183"/>
      <c r="E27" s="183"/>
      <c r="F27" s="183"/>
      <c r="G27" s="183"/>
      <c r="H27" s="183"/>
      <c r="I27" s="183"/>
      <c r="J27" s="358"/>
    </row>
    <row r="28" ht="17.5" customHeight="1" spans="1:10" x14ac:dyDescent="0.25">
      <c r="A28" s="368" t="s">
        <v>876</v>
      </c>
      <c r="B28" s="352">
        <v>0</v>
      </c>
      <c r="C28" s="354"/>
      <c r="D28" s="369">
        <v>0</v>
      </c>
      <c r="E28" s="369">
        <v>0</v>
      </c>
      <c r="F28" s="369">
        <v>0</v>
      </c>
      <c r="G28" s="369">
        <v>0</v>
      </c>
      <c r="H28" s="369">
        <v>0</v>
      </c>
      <c r="I28" s="369">
        <v>0</v>
      </c>
      <c r="J28" s="354"/>
    </row>
    <row r="29" ht="17.5" customHeight="1" spans="1:10" x14ac:dyDescent="0.25">
      <c r="A29" s="368" t="s">
        <v>877</v>
      </c>
      <c r="B29" s="352">
        <v>0.2</v>
      </c>
      <c r="C29" s="369">
        <v>0</v>
      </c>
      <c r="D29" s="369">
        <v>0</v>
      </c>
      <c r="E29" s="369">
        <v>0</v>
      </c>
      <c r="F29" s="369">
        <v>0</v>
      </c>
      <c r="G29" s="369">
        <v>0</v>
      </c>
      <c r="H29" s="369">
        <v>0</v>
      </c>
      <c r="I29" s="369">
        <v>0</v>
      </c>
      <c r="J29" s="369">
        <v>0</v>
      </c>
    </row>
    <row r="30" ht="17.5" customHeight="1" spans="1:10" x14ac:dyDescent="0.25">
      <c r="A30" s="368" t="s">
        <v>878</v>
      </c>
      <c r="B30" s="352">
        <v>0.5</v>
      </c>
      <c r="C30" s="369">
        <v>0</v>
      </c>
      <c r="D30" s="369">
        <v>0</v>
      </c>
      <c r="E30" s="369">
        <v>0</v>
      </c>
      <c r="F30" s="369">
        <v>0</v>
      </c>
      <c r="G30" s="369">
        <v>0</v>
      </c>
      <c r="H30" s="369">
        <v>0</v>
      </c>
      <c r="I30" s="369">
        <v>0</v>
      </c>
      <c r="J30" s="369">
        <v>0</v>
      </c>
    </row>
    <row r="31" ht="17.5" customHeight="1" spans="1:10" x14ac:dyDescent="0.25">
      <c r="A31" s="368" t="s">
        <v>879</v>
      </c>
      <c r="B31" s="352">
        <v>1</v>
      </c>
      <c r="C31" s="369">
        <v>0</v>
      </c>
      <c r="D31" s="369">
        <v>0</v>
      </c>
      <c r="E31" s="369">
        <v>0</v>
      </c>
      <c r="F31" s="369">
        <v>0</v>
      </c>
      <c r="G31" s="369">
        <v>0</v>
      </c>
      <c r="H31" s="369">
        <v>0</v>
      </c>
      <c r="I31" s="369">
        <v>0</v>
      </c>
      <c r="J31" s="369">
        <v>0</v>
      </c>
    </row>
    <row r="32" ht="17.5" customHeight="1" spans="1:10" x14ac:dyDescent="0.25">
      <c r="A32" s="368" t="s">
        <v>880</v>
      </c>
      <c r="B32" s="352">
        <v>1.5</v>
      </c>
      <c r="C32" s="369">
        <v>0</v>
      </c>
      <c r="D32" s="369">
        <v>0</v>
      </c>
      <c r="E32" s="369">
        <v>0</v>
      </c>
      <c r="F32" s="369">
        <v>0</v>
      </c>
      <c r="G32" s="369">
        <v>0</v>
      </c>
      <c r="H32" s="369">
        <v>0</v>
      </c>
      <c r="I32" s="369">
        <v>0</v>
      </c>
      <c r="J32" s="369">
        <v>0</v>
      </c>
    </row>
    <row r="33" ht="18" customHeight="1" spans="1:1025" s="371" customFormat="1" x14ac:dyDescent="0.25">
      <c r="A33" s="368" t="s">
        <v>881</v>
      </c>
      <c r="B33" s="57" t="s">
        <v>520</v>
      </c>
      <c r="C33" s="370">
        <v>0</v>
      </c>
      <c r="D33" s="370">
        <v>0</v>
      </c>
      <c r="E33" s="370">
        <v>0</v>
      </c>
      <c r="F33" s="370">
        <v>0</v>
      </c>
      <c r="G33" s="370">
        <v>0</v>
      </c>
      <c r="H33" s="370">
        <v>0</v>
      </c>
      <c r="I33" s="370">
        <v>0</v>
      </c>
      <c r="J33" s="370">
        <v>0</v>
      </c>
      <c r="K33" s="337"/>
      <c r="L33" s="337"/>
      <c r="M33" s="337"/>
      <c r="N33" s="337"/>
      <c r="O33" s="337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7"/>
      <c r="AD33" s="337"/>
      <c r="AE33" s="337"/>
      <c r="AF33" s="337"/>
      <c r="AG33" s="337"/>
      <c r="AH33" s="337"/>
      <c r="AI33" s="337"/>
      <c r="AJ33" s="337"/>
      <c r="AK33" s="337"/>
      <c r="AL33" s="337"/>
      <c r="AM33" s="337"/>
      <c r="AN33" s="337"/>
      <c r="AO33" s="337"/>
      <c r="AP33" s="337"/>
      <c r="AQ33" s="337"/>
      <c r="AR33" s="337"/>
      <c r="AS33" s="337"/>
      <c r="AT33" s="337"/>
      <c r="AU33" s="337"/>
      <c r="AV33" s="337"/>
      <c r="AW33" s="337"/>
      <c r="AX33" s="337"/>
      <c r="AY33" s="337"/>
      <c r="AZ33" s="337"/>
      <c r="BA33" s="337"/>
      <c r="BB33" s="337"/>
      <c r="BC33" s="337"/>
      <c r="BD33" s="337"/>
      <c r="BE33" s="337"/>
      <c r="BF33" s="337"/>
      <c r="BG33" s="337"/>
      <c r="BH33" s="337"/>
      <c r="BI33" s="337"/>
      <c r="BJ33" s="337"/>
      <c r="BK33" s="337"/>
      <c r="BL33" s="337"/>
      <c r="BM33" s="337"/>
      <c r="BN33" s="337"/>
      <c r="BO33" s="337"/>
      <c r="BP33" s="337"/>
      <c r="BQ33" s="337"/>
      <c r="BR33" s="337"/>
      <c r="BS33" s="337"/>
      <c r="BT33" s="337"/>
      <c r="BU33" s="337"/>
      <c r="BV33" s="337"/>
      <c r="BW33" s="337"/>
      <c r="BX33" s="337"/>
      <c r="BY33" s="337"/>
      <c r="BZ33" s="337"/>
      <c r="CA33" s="337"/>
      <c r="CB33" s="337"/>
      <c r="CC33" s="337"/>
      <c r="CD33" s="337"/>
      <c r="CE33" s="337"/>
      <c r="CF33" s="337"/>
      <c r="CG33" s="337"/>
      <c r="CH33" s="337"/>
      <c r="CI33" s="337"/>
      <c r="CJ33" s="337"/>
      <c r="CK33" s="337"/>
      <c r="CL33" s="337"/>
      <c r="CM33" s="337"/>
      <c r="CN33" s="337"/>
      <c r="CO33" s="337"/>
      <c r="CP33" s="337"/>
      <c r="CQ33" s="337"/>
      <c r="CR33" s="337"/>
      <c r="CS33" s="337"/>
      <c r="CT33" s="337"/>
      <c r="CU33" s="337"/>
      <c r="CV33" s="337"/>
      <c r="CW33" s="337"/>
      <c r="CX33" s="337"/>
      <c r="CY33" s="337"/>
      <c r="CZ33" s="337"/>
      <c r="DA33" s="337"/>
      <c r="DB33" s="337"/>
      <c r="DC33" s="337"/>
      <c r="DD33" s="337"/>
      <c r="DE33" s="337"/>
      <c r="DF33" s="337"/>
      <c r="DG33" s="337"/>
      <c r="DH33" s="337"/>
      <c r="DI33" s="337"/>
      <c r="DJ33" s="337"/>
      <c r="DK33" s="337"/>
      <c r="DL33" s="337"/>
      <c r="DM33" s="337"/>
      <c r="DN33" s="337"/>
      <c r="DO33" s="337"/>
      <c r="DP33" s="337"/>
      <c r="DQ33" s="337"/>
      <c r="DR33" s="337"/>
      <c r="DS33" s="337"/>
      <c r="DT33" s="337"/>
      <c r="DU33" s="337"/>
      <c r="DV33" s="337"/>
      <c r="DW33" s="337"/>
      <c r="DX33" s="337"/>
      <c r="DY33" s="337"/>
      <c r="DZ33" s="337"/>
      <c r="EA33" s="337"/>
      <c r="EB33" s="337"/>
      <c r="EC33" s="337"/>
      <c r="ED33" s="337"/>
      <c r="EE33" s="337"/>
      <c r="EF33" s="337"/>
      <c r="EG33" s="337"/>
      <c r="EH33" s="337"/>
      <c r="EI33" s="337"/>
      <c r="EJ33" s="337"/>
      <c r="EK33" s="337"/>
      <c r="EL33" s="337"/>
      <c r="EM33" s="337"/>
      <c r="EN33" s="337"/>
      <c r="EO33" s="337"/>
      <c r="EP33" s="337"/>
      <c r="EQ33" s="337"/>
      <c r="ER33" s="337"/>
      <c r="ES33" s="337"/>
      <c r="ET33" s="337"/>
      <c r="EU33" s="337"/>
      <c r="EV33" s="337"/>
      <c r="EW33" s="337"/>
      <c r="EX33" s="337"/>
      <c r="EY33" s="337"/>
      <c r="EZ33" s="337"/>
      <c r="FA33" s="337"/>
      <c r="FB33" s="337"/>
      <c r="FC33" s="337"/>
      <c r="FD33" s="337"/>
      <c r="FE33" s="337"/>
      <c r="FF33" s="337"/>
      <c r="FG33" s="337"/>
      <c r="FH33" s="337"/>
      <c r="FI33" s="337"/>
      <c r="FJ33" s="337"/>
      <c r="FK33" s="337"/>
      <c r="FL33" s="337"/>
      <c r="FM33" s="337"/>
      <c r="FN33" s="337"/>
      <c r="FO33" s="337"/>
      <c r="FP33" s="337"/>
      <c r="FQ33" s="337"/>
      <c r="FR33" s="337"/>
      <c r="FS33" s="337"/>
      <c r="FT33" s="337"/>
      <c r="FU33" s="337"/>
      <c r="FV33" s="337"/>
      <c r="FW33" s="337"/>
      <c r="FX33" s="337"/>
      <c r="FY33" s="337"/>
      <c r="FZ33" s="337"/>
      <c r="GA33" s="337"/>
      <c r="GB33" s="337"/>
      <c r="GC33" s="337"/>
      <c r="GD33" s="337"/>
      <c r="GE33" s="337"/>
      <c r="GF33" s="337"/>
      <c r="GG33" s="337"/>
      <c r="GH33" s="337"/>
      <c r="GI33" s="337"/>
      <c r="GJ33" s="337"/>
      <c r="GK33" s="337"/>
      <c r="GL33" s="337"/>
      <c r="GM33" s="337"/>
      <c r="GN33" s="337"/>
      <c r="GO33" s="337"/>
      <c r="GP33" s="337"/>
      <c r="GQ33" s="337"/>
      <c r="GR33" s="337"/>
      <c r="GS33" s="337"/>
      <c r="GT33" s="337"/>
      <c r="GU33" s="337"/>
      <c r="GV33" s="337"/>
      <c r="GW33" s="337"/>
      <c r="GX33" s="337"/>
      <c r="GY33" s="337"/>
      <c r="GZ33" s="337"/>
      <c r="HA33" s="337"/>
      <c r="HB33" s="337"/>
      <c r="HC33" s="337"/>
      <c r="HD33" s="337"/>
      <c r="HE33" s="337"/>
      <c r="HF33" s="337"/>
      <c r="HG33" s="337"/>
      <c r="HH33" s="337"/>
      <c r="HI33" s="337"/>
      <c r="HJ33" s="337"/>
      <c r="HK33" s="337"/>
      <c r="HL33" s="337"/>
      <c r="HM33" s="337"/>
      <c r="HN33" s="337"/>
      <c r="HO33" s="337"/>
      <c r="HP33" s="337"/>
      <c r="HQ33" s="337"/>
      <c r="HR33" s="337"/>
      <c r="HS33" s="337"/>
      <c r="HT33" s="337"/>
      <c r="HU33" s="337"/>
      <c r="HV33" s="337"/>
      <c r="HW33" s="337"/>
      <c r="HX33" s="337"/>
      <c r="HY33" s="337"/>
      <c r="HZ33" s="337"/>
      <c r="IA33" s="337"/>
      <c r="IB33" s="337"/>
      <c r="IC33" s="337"/>
      <c r="ID33" s="337"/>
      <c r="IE33" s="337"/>
      <c r="IF33" s="337"/>
      <c r="IG33" s="337"/>
      <c r="IH33" s="337"/>
      <c r="II33" s="337"/>
      <c r="IJ33" s="337"/>
      <c r="IK33" s="337"/>
      <c r="IL33" s="337"/>
      <c r="IM33" s="337"/>
      <c r="IN33" s="337"/>
      <c r="IO33" s="337"/>
      <c r="IP33" s="337"/>
      <c r="IQ33" s="337"/>
      <c r="IR33" s="337"/>
      <c r="IS33" s="337"/>
      <c r="IT33" s="337"/>
      <c r="IU33" s="337"/>
      <c r="IV33" s="337"/>
      <c r="IW33" s="337"/>
      <c r="IX33" s="337"/>
      <c r="IY33" s="337"/>
      <c r="IZ33" s="337"/>
      <c r="JA33" s="337"/>
      <c r="JB33" s="337"/>
      <c r="JC33" s="337"/>
      <c r="JD33" s="337"/>
      <c r="JE33" s="337"/>
      <c r="JF33" s="337"/>
      <c r="JG33" s="337"/>
      <c r="JH33" s="337"/>
      <c r="JI33" s="337"/>
      <c r="JJ33" s="337"/>
      <c r="JK33" s="337"/>
      <c r="JL33" s="337"/>
      <c r="JM33" s="337"/>
      <c r="JN33" s="337"/>
      <c r="JO33" s="337"/>
      <c r="JP33" s="337"/>
      <c r="JQ33" s="337"/>
      <c r="JR33" s="337"/>
      <c r="JS33" s="337"/>
      <c r="JT33" s="337"/>
      <c r="JU33" s="337"/>
      <c r="JV33" s="337"/>
      <c r="JW33" s="337"/>
      <c r="JX33" s="337"/>
      <c r="JY33" s="337"/>
      <c r="JZ33" s="337"/>
      <c r="KA33" s="337"/>
      <c r="KB33" s="337"/>
      <c r="KC33" s="337"/>
      <c r="KD33" s="337"/>
      <c r="KE33" s="337"/>
      <c r="KF33" s="337"/>
      <c r="KG33" s="337"/>
      <c r="KH33" s="337"/>
      <c r="KI33" s="337"/>
      <c r="KJ33" s="337"/>
      <c r="KK33" s="337"/>
      <c r="KL33" s="337"/>
      <c r="KM33" s="337"/>
      <c r="KN33" s="337"/>
      <c r="KO33" s="337"/>
      <c r="KP33" s="337"/>
      <c r="KQ33" s="337"/>
      <c r="KR33" s="337"/>
      <c r="KS33" s="337"/>
      <c r="KT33" s="337"/>
      <c r="KU33" s="337"/>
      <c r="KV33" s="337"/>
      <c r="KW33" s="337"/>
      <c r="KX33" s="337"/>
      <c r="KY33" s="337"/>
      <c r="KZ33" s="337"/>
      <c r="LA33" s="337"/>
      <c r="LB33" s="337"/>
      <c r="LC33" s="337"/>
      <c r="LD33" s="337"/>
      <c r="LE33" s="337"/>
      <c r="LF33" s="337"/>
      <c r="LG33" s="337"/>
      <c r="LH33" s="337"/>
      <c r="LI33" s="337"/>
      <c r="LJ33" s="337"/>
      <c r="LK33" s="337"/>
      <c r="LL33" s="337"/>
      <c r="LM33" s="337"/>
      <c r="LN33" s="337"/>
      <c r="LO33" s="337"/>
      <c r="LP33" s="337"/>
      <c r="LQ33" s="337"/>
      <c r="LR33" s="337"/>
      <c r="LS33" s="337"/>
      <c r="LT33" s="337"/>
      <c r="LU33" s="337"/>
      <c r="LV33" s="337"/>
      <c r="LW33" s="337"/>
      <c r="LX33" s="337"/>
      <c r="LY33" s="337"/>
      <c r="LZ33" s="337"/>
      <c r="MA33" s="337"/>
      <c r="MB33" s="337"/>
      <c r="MC33" s="337"/>
      <c r="MD33" s="337"/>
      <c r="ME33" s="337"/>
      <c r="MF33" s="337"/>
      <c r="MG33" s="337"/>
      <c r="MH33" s="337"/>
      <c r="MI33" s="337"/>
      <c r="MJ33" s="337"/>
      <c r="MK33" s="337"/>
      <c r="ML33" s="337"/>
      <c r="MM33" s="337"/>
      <c r="MN33" s="337"/>
      <c r="MO33" s="337"/>
      <c r="MP33" s="337"/>
      <c r="MQ33" s="337"/>
      <c r="MR33" s="337"/>
      <c r="MS33" s="337"/>
      <c r="MT33" s="337"/>
      <c r="MU33" s="337"/>
      <c r="MV33" s="337"/>
      <c r="MW33" s="337"/>
      <c r="MX33" s="337"/>
      <c r="MY33" s="337"/>
      <c r="MZ33" s="337"/>
      <c r="NA33" s="337"/>
      <c r="NB33" s="337"/>
      <c r="NC33" s="337"/>
      <c r="ND33" s="337"/>
      <c r="NE33" s="337"/>
      <c r="NF33" s="337"/>
      <c r="NG33" s="337"/>
      <c r="NH33" s="337"/>
      <c r="NI33" s="337"/>
      <c r="NJ33" s="337"/>
      <c r="NK33" s="337"/>
      <c r="NL33" s="337"/>
      <c r="NM33" s="337"/>
      <c r="NN33" s="337"/>
      <c r="NO33" s="337"/>
      <c r="NP33" s="337"/>
      <c r="NQ33" s="337"/>
      <c r="NR33" s="337"/>
      <c r="NS33" s="337"/>
      <c r="NT33" s="337"/>
      <c r="NU33" s="337"/>
      <c r="NV33" s="337"/>
      <c r="NW33" s="337"/>
      <c r="NX33" s="337"/>
      <c r="NY33" s="337"/>
      <c r="NZ33" s="337"/>
      <c r="OA33" s="337"/>
      <c r="OB33" s="337"/>
      <c r="OC33" s="337"/>
      <c r="OD33" s="337"/>
      <c r="OE33" s="337"/>
      <c r="OF33" s="337"/>
      <c r="OG33" s="337"/>
      <c r="OH33" s="337"/>
      <c r="OI33" s="337"/>
      <c r="OJ33" s="337"/>
      <c r="OK33" s="337"/>
      <c r="OL33" s="337"/>
      <c r="OM33" s="337"/>
      <c r="ON33" s="337"/>
      <c r="OO33" s="337"/>
      <c r="OP33" s="337"/>
      <c r="OQ33" s="337"/>
      <c r="OR33" s="337"/>
      <c r="OS33" s="337"/>
      <c r="OT33" s="337"/>
      <c r="OU33" s="337"/>
      <c r="OV33" s="337"/>
      <c r="OW33" s="337"/>
      <c r="OX33" s="337"/>
      <c r="OY33" s="337"/>
      <c r="OZ33" s="337"/>
      <c r="PA33" s="337"/>
      <c r="PB33" s="337"/>
      <c r="PC33" s="337"/>
      <c r="PD33" s="337"/>
      <c r="PE33" s="337"/>
      <c r="PF33" s="337"/>
      <c r="PG33" s="337"/>
      <c r="PH33" s="337"/>
      <c r="PI33" s="337"/>
      <c r="PJ33" s="337"/>
      <c r="PK33" s="337"/>
      <c r="PL33" s="337"/>
      <c r="PM33" s="337"/>
      <c r="PN33" s="337"/>
      <c r="PO33" s="337"/>
      <c r="PP33" s="337"/>
      <c r="PQ33" s="337"/>
      <c r="PR33" s="337"/>
      <c r="PS33" s="337"/>
      <c r="PT33" s="337"/>
      <c r="PU33" s="337"/>
      <c r="PV33" s="337"/>
      <c r="PW33" s="337"/>
      <c r="PX33" s="337"/>
      <c r="PY33" s="337"/>
      <c r="PZ33" s="337"/>
      <c r="QA33" s="337"/>
      <c r="QB33" s="337"/>
      <c r="QC33" s="337"/>
      <c r="QD33" s="337"/>
      <c r="QE33" s="337"/>
      <c r="QF33" s="337"/>
      <c r="QG33" s="337"/>
      <c r="QH33" s="337"/>
      <c r="QI33" s="337"/>
      <c r="QJ33" s="337"/>
      <c r="QK33" s="337"/>
      <c r="QL33" s="337"/>
      <c r="QM33" s="337"/>
      <c r="QN33" s="337"/>
      <c r="QO33" s="337"/>
      <c r="QP33" s="337"/>
      <c r="QQ33" s="337"/>
      <c r="QR33" s="337"/>
      <c r="QS33" s="337"/>
      <c r="QT33" s="337"/>
      <c r="QU33" s="337"/>
      <c r="QV33" s="337"/>
      <c r="QW33" s="337"/>
      <c r="QX33" s="337"/>
      <c r="QY33" s="337"/>
      <c r="QZ33" s="337"/>
      <c r="RA33" s="337"/>
      <c r="RB33" s="337"/>
      <c r="RC33" s="337"/>
      <c r="RD33" s="337"/>
      <c r="RE33" s="337"/>
      <c r="RF33" s="337"/>
      <c r="RG33" s="337"/>
      <c r="RH33" s="337"/>
      <c r="RI33" s="337"/>
      <c r="RJ33" s="337"/>
      <c r="RK33" s="337"/>
      <c r="RL33" s="337"/>
      <c r="RM33" s="337"/>
      <c r="RN33" s="337"/>
      <c r="RO33" s="337"/>
      <c r="RP33" s="337"/>
      <c r="RQ33" s="337"/>
      <c r="RR33" s="337"/>
      <c r="RS33" s="337"/>
      <c r="RT33" s="337"/>
      <c r="RU33" s="337"/>
      <c r="RV33" s="337"/>
      <c r="RW33" s="337"/>
      <c r="RX33" s="337"/>
      <c r="RY33" s="337"/>
      <c r="RZ33" s="337"/>
      <c r="SA33" s="337"/>
      <c r="SB33" s="337"/>
      <c r="SC33" s="337"/>
      <c r="SD33" s="337"/>
      <c r="SE33" s="337"/>
      <c r="SF33" s="337"/>
      <c r="SG33" s="337"/>
      <c r="SH33" s="337"/>
      <c r="SI33" s="337"/>
      <c r="SJ33" s="337"/>
      <c r="SK33" s="337"/>
      <c r="SL33" s="337"/>
      <c r="SM33" s="337"/>
      <c r="SN33" s="337"/>
      <c r="SO33" s="337"/>
      <c r="SP33" s="337"/>
      <c r="SQ33" s="337"/>
      <c r="SR33" s="337"/>
      <c r="SS33" s="337"/>
      <c r="ST33" s="337"/>
      <c r="SU33" s="337"/>
      <c r="SV33" s="337"/>
      <c r="SW33" s="337"/>
      <c r="SX33" s="337"/>
      <c r="SY33" s="337"/>
      <c r="SZ33" s="337"/>
      <c r="TA33" s="337"/>
      <c r="TB33" s="337"/>
      <c r="TC33" s="337"/>
      <c r="TD33" s="337"/>
      <c r="TE33" s="337"/>
      <c r="TF33" s="337"/>
      <c r="TG33" s="337"/>
      <c r="TH33" s="337"/>
      <c r="TI33" s="337"/>
      <c r="TJ33" s="337"/>
      <c r="TK33" s="337"/>
      <c r="TL33" s="337"/>
      <c r="TM33" s="337"/>
      <c r="TN33" s="337"/>
      <c r="TO33" s="337"/>
      <c r="TP33" s="337"/>
      <c r="TQ33" s="337"/>
      <c r="TR33" s="337"/>
      <c r="TS33" s="337"/>
      <c r="TT33" s="337"/>
      <c r="TU33" s="337"/>
      <c r="TV33" s="337"/>
      <c r="TW33" s="337"/>
      <c r="TX33" s="337"/>
      <c r="TY33" s="337"/>
      <c r="TZ33" s="337"/>
      <c r="UA33" s="337"/>
      <c r="UB33" s="337"/>
      <c r="UC33" s="337"/>
      <c r="UD33" s="337"/>
      <c r="UE33" s="337"/>
      <c r="UF33" s="337"/>
      <c r="UG33" s="337"/>
      <c r="UH33" s="337"/>
      <c r="UI33" s="337"/>
      <c r="UJ33" s="337"/>
      <c r="UK33" s="337"/>
      <c r="UL33" s="337"/>
      <c r="UM33" s="337"/>
      <c r="UN33" s="337"/>
      <c r="UO33" s="337"/>
      <c r="UP33" s="337"/>
      <c r="UQ33" s="337"/>
      <c r="UR33" s="337"/>
      <c r="US33" s="337"/>
      <c r="UT33" s="337"/>
      <c r="UU33" s="337"/>
      <c r="UV33" s="337"/>
      <c r="UW33" s="337"/>
      <c r="UX33" s="337"/>
      <c r="UY33" s="337"/>
      <c r="UZ33" s="337"/>
      <c r="VA33" s="337"/>
      <c r="VB33" s="337"/>
      <c r="VC33" s="337"/>
      <c r="VD33" s="337"/>
      <c r="VE33" s="337"/>
      <c r="VF33" s="337"/>
      <c r="VG33" s="337"/>
      <c r="VH33" s="337"/>
      <c r="VI33" s="337"/>
      <c r="VJ33" s="337"/>
      <c r="VK33" s="337"/>
      <c r="VL33" s="337"/>
      <c r="VM33" s="337"/>
      <c r="VN33" s="337"/>
      <c r="VO33" s="337"/>
      <c r="VP33" s="337"/>
      <c r="VQ33" s="337"/>
      <c r="VR33" s="337"/>
      <c r="VS33" s="337"/>
      <c r="VT33" s="337"/>
      <c r="VU33" s="337"/>
      <c r="VV33" s="337"/>
      <c r="VW33" s="337"/>
      <c r="VX33" s="337"/>
      <c r="VY33" s="337"/>
      <c r="VZ33" s="337"/>
      <c r="WA33" s="337"/>
      <c r="WB33" s="337"/>
      <c r="WC33" s="337"/>
      <c r="WD33" s="337"/>
      <c r="WE33" s="337"/>
      <c r="WF33" s="337"/>
      <c r="WG33" s="337"/>
      <c r="WH33" s="337"/>
      <c r="WI33" s="337"/>
      <c r="WJ33" s="337"/>
      <c r="WK33" s="337"/>
      <c r="WL33" s="337"/>
      <c r="WM33" s="337"/>
      <c r="WN33" s="337"/>
      <c r="WO33" s="337"/>
      <c r="WP33" s="337"/>
      <c r="WQ33" s="337"/>
      <c r="WR33" s="337"/>
      <c r="WS33" s="337"/>
      <c r="WT33" s="337"/>
      <c r="WU33" s="337"/>
      <c r="WV33" s="337"/>
      <c r="WW33" s="337"/>
      <c r="WX33" s="337"/>
      <c r="WY33" s="337"/>
      <c r="WZ33" s="337"/>
      <c r="XA33" s="337"/>
      <c r="XB33" s="337"/>
      <c r="XC33" s="337"/>
      <c r="XD33" s="337"/>
      <c r="XE33" s="337"/>
      <c r="XF33" s="337"/>
      <c r="XG33" s="337"/>
      <c r="XH33" s="337"/>
      <c r="XI33" s="337"/>
      <c r="XJ33" s="337"/>
      <c r="XK33" s="337"/>
      <c r="XL33" s="337"/>
      <c r="XM33" s="337"/>
      <c r="XN33" s="337"/>
      <c r="XO33" s="337"/>
      <c r="XP33" s="337"/>
      <c r="XQ33" s="337"/>
      <c r="XR33" s="337"/>
      <c r="XS33" s="337"/>
      <c r="XT33" s="337"/>
      <c r="XU33" s="337"/>
      <c r="XV33" s="337"/>
      <c r="XW33" s="337"/>
      <c r="XX33" s="337"/>
      <c r="XY33" s="337"/>
      <c r="XZ33" s="337"/>
      <c r="YA33" s="337"/>
      <c r="YB33" s="337"/>
      <c r="YC33" s="337"/>
      <c r="YD33" s="337"/>
      <c r="YE33" s="337"/>
      <c r="YF33" s="337"/>
      <c r="YG33" s="337"/>
      <c r="YH33" s="337"/>
      <c r="YI33" s="337"/>
      <c r="YJ33" s="337"/>
      <c r="YK33" s="337"/>
      <c r="YL33" s="337"/>
      <c r="YM33" s="337"/>
      <c r="YN33" s="337"/>
      <c r="YO33" s="337"/>
      <c r="YP33" s="337"/>
      <c r="YQ33" s="337"/>
      <c r="YR33" s="337"/>
      <c r="YS33" s="337"/>
      <c r="YT33" s="337"/>
      <c r="YU33" s="337"/>
      <c r="YV33" s="337"/>
      <c r="YW33" s="337"/>
      <c r="YX33" s="337"/>
      <c r="YY33" s="337"/>
      <c r="YZ33" s="337"/>
      <c r="ZA33" s="337"/>
      <c r="ZB33" s="337"/>
      <c r="ZC33" s="337"/>
      <c r="ZD33" s="337"/>
      <c r="ZE33" s="337"/>
      <c r="ZF33" s="337"/>
      <c r="ZG33" s="337"/>
      <c r="ZH33" s="337"/>
      <c r="ZI33" s="337"/>
      <c r="ZJ33" s="337"/>
      <c r="ZK33" s="337"/>
      <c r="ZL33" s="337"/>
      <c r="ZM33" s="337"/>
      <c r="ZN33" s="337"/>
      <c r="ZO33" s="337"/>
      <c r="ZP33" s="337"/>
      <c r="ZQ33" s="337"/>
      <c r="ZR33" s="337"/>
      <c r="ZS33" s="337"/>
      <c r="ZT33" s="337"/>
      <c r="ZU33" s="337"/>
      <c r="ZV33" s="337"/>
      <c r="ZW33" s="337"/>
      <c r="ZX33" s="337"/>
      <c r="ZY33" s="337"/>
      <c r="ZZ33" s="337"/>
      <c r="AAA33" s="337"/>
      <c r="AAB33" s="337"/>
      <c r="AAC33" s="337"/>
      <c r="AAD33" s="337"/>
      <c r="AAE33" s="337"/>
      <c r="AAF33" s="337"/>
      <c r="AAG33" s="337"/>
      <c r="AAH33" s="337"/>
      <c r="AAI33" s="337"/>
      <c r="AAJ33" s="337"/>
      <c r="AAK33" s="337"/>
      <c r="AAL33" s="337"/>
      <c r="AAM33" s="337"/>
      <c r="AAN33" s="337"/>
      <c r="AAO33" s="337"/>
      <c r="AAP33" s="337"/>
      <c r="AAQ33" s="337"/>
      <c r="AAR33" s="337"/>
      <c r="AAS33" s="337"/>
      <c r="AAT33" s="337"/>
      <c r="AAU33" s="337"/>
      <c r="AAV33" s="337"/>
      <c r="AAW33" s="337"/>
      <c r="AAX33" s="337"/>
      <c r="AAY33" s="337"/>
      <c r="AAZ33" s="337"/>
      <c r="ABA33" s="337"/>
      <c r="ABB33" s="337"/>
      <c r="ABC33" s="337"/>
      <c r="ABD33" s="337"/>
      <c r="ABE33" s="337"/>
      <c r="ABF33" s="337"/>
      <c r="ABG33" s="337"/>
      <c r="ABH33" s="337"/>
      <c r="ABI33" s="337"/>
      <c r="ABJ33" s="337"/>
      <c r="ABK33" s="337"/>
      <c r="ABL33" s="337"/>
      <c r="ABM33" s="337"/>
      <c r="ABN33" s="337"/>
      <c r="ABO33" s="337"/>
      <c r="ABP33" s="337"/>
      <c r="ABQ33" s="337"/>
      <c r="ABR33" s="337"/>
      <c r="ABS33" s="337"/>
      <c r="ABT33" s="337"/>
      <c r="ABU33" s="337"/>
      <c r="ABV33" s="337"/>
      <c r="ABW33" s="337"/>
      <c r="ABX33" s="337"/>
      <c r="ABY33" s="337"/>
      <c r="ABZ33" s="337"/>
      <c r="ACA33" s="337"/>
      <c r="ACB33" s="337"/>
      <c r="ACC33" s="337"/>
      <c r="ACD33" s="337"/>
      <c r="ACE33" s="337"/>
      <c r="ACF33" s="337"/>
      <c r="ACG33" s="337"/>
      <c r="ACH33" s="337"/>
      <c r="ACI33" s="337"/>
      <c r="ACJ33" s="337"/>
      <c r="ACK33" s="337"/>
      <c r="ACL33" s="337"/>
      <c r="ACM33" s="337"/>
      <c r="ACN33" s="337"/>
      <c r="ACO33" s="337"/>
      <c r="ACP33" s="337"/>
      <c r="ACQ33" s="337"/>
      <c r="ACR33" s="337"/>
      <c r="ACS33" s="337"/>
      <c r="ACT33" s="337"/>
      <c r="ACU33" s="337"/>
      <c r="ACV33" s="337"/>
      <c r="ACW33" s="337"/>
      <c r="ACX33" s="337"/>
      <c r="ACY33" s="337"/>
      <c r="ACZ33" s="337"/>
      <c r="ADA33" s="337"/>
      <c r="ADB33" s="337"/>
      <c r="ADC33" s="337"/>
      <c r="ADD33" s="337"/>
      <c r="ADE33" s="337"/>
      <c r="ADF33" s="337"/>
      <c r="ADG33" s="337"/>
      <c r="ADH33" s="337"/>
      <c r="ADI33" s="337"/>
      <c r="ADJ33" s="337"/>
      <c r="ADK33" s="337"/>
      <c r="ADL33" s="337"/>
      <c r="ADM33" s="337"/>
      <c r="ADN33" s="337"/>
      <c r="ADO33" s="337"/>
      <c r="ADP33" s="337"/>
      <c r="ADQ33" s="337"/>
      <c r="ADR33" s="337"/>
      <c r="ADS33" s="337"/>
      <c r="ADT33" s="337"/>
      <c r="ADU33" s="337"/>
      <c r="ADV33" s="337"/>
      <c r="ADW33" s="337"/>
      <c r="ADX33" s="337"/>
      <c r="ADY33" s="337"/>
      <c r="ADZ33" s="337"/>
      <c r="AEA33" s="337"/>
      <c r="AEB33" s="337"/>
      <c r="AEC33" s="337"/>
      <c r="AED33" s="337"/>
      <c r="AEE33" s="337"/>
      <c r="AEF33" s="337"/>
      <c r="AEG33" s="337"/>
      <c r="AEH33" s="337"/>
      <c r="AEI33" s="337"/>
      <c r="AEJ33" s="337"/>
      <c r="AEK33" s="337"/>
      <c r="AEL33" s="337"/>
      <c r="AEM33" s="337"/>
      <c r="AEN33" s="337"/>
      <c r="AEO33" s="337"/>
      <c r="AEP33" s="337"/>
      <c r="AEQ33" s="337"/>
      <c r="AER33" s="337"/>
      <c r="AES33" s="337"/>
      <c r="AET33" s="337"/>
      <c r="AEU33" s="337"/>
      <c r="AEV33" s="337"/>
      <c r="AEW33" s="337"/>
      <c r="AEX33" s="337"/>
      <c r="AEY33" s="337"/>
      <c r="AEZ33" s="337"/>
      <c r="AFA33" s="337"/>
      <c r="AFB33" s="337"/>
      <c r="AFC33" s="337"/>
      <c r="AFD33" s="337"/>
      <c r="AFE33" s="337"/>
      <c r="AFF33" s="337"/>
      <c r="AFG33" s="337"/>
      <c r="AFH33" s="337"/>
      <c r="AFI33" s="337"/>
      <c r="AFJ33" s="337"/>
      <c r="AFK33" s="337"/>
      <c r="AFL33" s="337"/>
      <c r="AFM33" s="337"/>
      <c r="AFN33" s="337"/>
      <c r="AFO33" s="337"/>
      <c r="AFP33" s="337"/>
      <c r="AFQ33" s="337"/>
      <c r="AFR33" s="337"/>
      <c r="AFS33" s="337"/>
      <c r="AFT33" s="337"/>
      <c r="AFU33" s="337"/>
      <c r="AFV33" s="337"/>
      <c r="AFW33" s="337"/>
      <c r="AFX33" s="337"/>
      <c r="AFY33" s="337"/>
      <c r="AFZ33" s="337"/>
      <c r="AGA33" s="337"/>
      <c r="AGB33" s="337"/>
      <c r="AGC33" s="337"/>
      <c r="AGD33" s="337"/>
      <c r="AGE33" s="337"/>
      <c r="AGF33" s="337"/>
      <c r="AGG33" s="337"/>
      <c r="AGH33" s="337"/>
      <c r="AGI33" s="337"/>
      <c r="AGJ33" s="337"/>
      <c r="AGK33" s="337"/>
      <c r="AGL33" s="337"/>
      <c r="AGM33" s="337"/>
      <c r="AGN33" s="337"/>
      <c r="AGO33" s="337"/>
      <c r="AGP33" s="337"/>
      <c r="AGQ33" s="337"/>
      <c r="AGR33" s="337"/>
      <c r="AGS33" s="337"/>
      <c r="AGT33" s="337"/>
      <c r="AGU33" s="337"/>
      <c r="AGV33" s="337"/>
      <c r="AGW33" s="337"/>
      <c r="AGX33" s="337"/>
      <c r="AGY33" s="337"/>
      <c r="AGZ33" s="337"/>
      <c r="AHA33" s="337"/>
      <c r="AHB33" s="337"/>
      <c r="AHC33" s="337"/>
      <c r="AHD33" s="337"/>
      <c r="AHE33" s="337"/>
      <c r="AHF33" s="337"/>
      <c r="AHG33" s="337"/>
      <c r="AHH33" s="337"/>
      <c r="AHI33" s="337"/>
      <c r="AHJ33" s="337"/>
      <c r="AHK33" s="337"/>
      <c r="AHL33" s="337"/>
      <c r="AHM33" s="337"/>
      <c r="AHN33" s="337"/>
      <c r="AHO33" s="337"/>
      <c r="AHP33" s="337"/>
      <c r="AHQ33" s="337"/>
      <c r="AHR33" s="337"/>
      <c r="AHS33" s="337"/>
      <c r="AHT33" s="337"/>
      <c r="AHU33" s="337"/>
      <c r="AHV33" s="337"/>
      <c r="AHW33" s="337"/>
      <c r="AHX33" s="337"/>
      <c r="AHY33" s="337"/>
      <c r="AHZ33" s="337"/>
      <c r="AIA33" s="337"/>
      <c r="AIB33" s="337"/>
      <c r="AIC33" s="337"/>
      <c r="AID33" s="337"/>
      <c r="AIE33" s="337"/>
      <c r="AIF33" s="337"/>
      <c r="AIG33" s="337"/>
      <c r="AIH33" s="337"/>
      <c r="AII33" s="337"/>
      <c r="AIJ33" s="337"/>
      <c r="AIK33" s="337"/>
      <c r="AIL33" s="337"/>
      <c r="AIM33" s="337"/>
      <c r="AIN33" s="337"/>
      <c r="AIO33" s="337"/>
      <c r="AIP33" s="337"/>
      <c r="AIQ33" s="337"/>
      <c r="AIR33" s="337"/>
      <c r="AIS33" s="337"/>
      <c r="AIT33" s="337"/>
      <c r="AIU33" s="337"/>
      <c r="AIV33" s="337"/>
      <c r="AIW33" s="337"/>
      <c r="AIX33" s="337"/>
      <c r="AIY33" s="337"/>
      <c r="AIZ33" s="337"/>
      <c r="AJA33" s="337"/>
      <c r="AJB33" s="337"/>
      <c r="AJC33" s="337"/>
      <c r="AJD33" s="337"/>
      <c r="AJE33" s="337"/>
      <c r="AJF33" s="337"/>
      <c r="AJG33" s="337"/>
      <c r="AJH33" s="337"/>
      <c r="AJI33" s="337"/>
      <c r="AJJ33" s="337"/>
      <c r="AJK33" s="337"/>
      <c r="AJL33" s="337"/>
      <c r="AJM33" s="337"/>
      <c r="AJN33" s="337"/>
      <c r="AJO33" s="337"/>
      <c r="AJP33" s="337"/>
      <c r="AJQ33" s="337"/>
      <c r="AJR33" s="337"/>
      <c r="AJS33" s="337"/>
      <c r="AJT33" s="337"/>
      <c r="AJU33" s="337"/>
      <c r="AJV33" s="337"/>
      <c r="AJW33" s="337"/>
      <c r="AJX33" s="337"/>
      <c r="AJY33" s="337"/>
      <c r="AJZ33" s="337"/>
      <c r="AKA33" s="337"/>
      <c r="AKB33" s="337"/>
      <c r="AKC33" s="337"/>
      <c r="AKD33" s="337"/>
      <c r="AKE33" s="337"/>
      <c r="AKF33" s="337"/>
      <c r="AKG33" s="337"/>
      <c r="AKH33" s="337"/>
      <c r="AKI33" s="337"/>
      <c r="AKJ33" s="337"/>
      <c r="AKK33" s="337"/>
      <c r="AKL33" s="337"/>
      <c r="AKM33" s="337"/>
      <c r="AKN33" s="337"/>
      <c r="AKO33" s="337"/>
      <c r="AKP33" s="337"/>
      <c r="AKQ33" s="337"/>
      <c r="AKR33" s="337"/>
      <c r="AKS33" s="337"/>
      <c r="AKT33" s="337"/>
      <c r="AKU33" s="337"/>
      <c r="AKV33" s="337"/>
      <c r="AKW33" s="337"/>
      <c r="AKX33" s="337"/>
      <c r="AKY33" s="337"/>
      <c r="AKZ33" s="337"/>
      <c r="ALA33" s="337"/>
      <c r="ALB33" s="337"/>
      <c r="ALC33" s="337"/>
      <c r="ALD33" s="337"/>
      <c r="ALE33" s="337"/>
      <c r="ALF33" s="337"/>
      <c r="ALG33" s="337"/>
      <c r="ALH33" s="337"/>
      <c r="ALI33" s="337"/>
      <c r="ALJ33" s="337"/>
      <c r="ALK33" s="337"/>
      <c r="ALL33" s="337"/>
      <c r="ALM33" s="337"/>
      <c r="ALN33" s="337"/>
      <c r="ALO33" s="337"/>
      <c r="ALP33" s="337"/>
      <c r="ALQ33" s="337"/>
      <c r="ALR33" s="337"/>
      <c r="ALS33" s="337"/>
      <c r="ALT33" s="337"/>
      <c r="ALU33" s="337"/>
      <c r="ALV33" s="337"/>
      <c r="ALW33" s="337"/>
      <c r="ALX33" s="337"/>
      <c r="ALY33" s="337"/>
      <c r="ALZ33" s="337"/>
      <c r="AMA33" s="337"/>
      <c r="AMB33" s="337"/>
      <c r="AMC33" s="337"/>
      <c r="AMD33" s="337"/>
      <c r="AME33" s="337"/>
      <c r="AMF33" s="337"/>
      <c r="AMG33" s="337"/>
      <c r="AMH33" s="337"/>
      <c r="AMI33" s="337"/>
      <c r="AMJ33" s="337"/>
      <c r="AMK33" s="337"/>
    </row>
    <row r="34" ht="9" customHeight="1" spans="1:10" s="317" customFormat="1" x14ac:dyDescent="0.25">
      <c r="A34" s="356"/>
      <c r="B34" s="356"/>
      <c r="C34" s="356"/>
      <c r="D34" s="356"/>
      <c r="E34" s="356"/>
      <c r="F34" s="356"/>
      <c r="G34" s="356"/>
      <c r="H34" s="356"/>
      <c r="I34" s="356"/>
      <c r="J34" s="356"/>
    </row>
    <row r="35" ht="18" customHeight="1" spans="1:10" s="317" customFormat="1" x14ac:dyDescent="0.25">
      <c r="A35" s="357"/>
      <c r="B35" s="157" t="s">
        <v>854</v>
      </c>
      <c r="C35" s="183"/>
      <c r="D35" s="183"/>
      <c r="E35" s="183"/>
      <c r="F35" s="183"/>
      <c r="G35" s="183"/>
      <c r="H35" s="183"/>
      <c r="I35" s="183"/>
      <c r="J35" s="358"/>
    </row>
    <row r="36" ht="17.5" customHeight="1" spans="1:10" x14ac:dyDescent="0.25">
      <c r="A36" s="368" t="s">
        <v>882</v>
      </c>
      <c r="B36" s="352">
        <v>0</v>
      </c>
      <c r="C36" s="354"/>
      <c r="D36" s="369">
        <v>0</v>
      </c>
      <c r="E36" s="369">
        <v>0</v>
      </c>
      <c r="F36" s="369">
        <v>0</v>
      </c>
      <c r="G36" s="369">
        <v>0</v>
      </c>
      <c r="H36" s="369">
        <v>0</v>
      </c>
      <c r="I36" s="369">
        <v>0</v>
      </c>
      <c r="J36" s="354"/>
    </row>
    <row r="37" ht="17.5" customHeight="1" spans="1:10" x14ac:dyDescent="0.25">
      <c r="A37" s="368" t="s">
        <v>883</v>
      </c>
      <c r="B37" s="352">
        <v>0.2</v>
      </c>
      <c r="C37" s="369">
        <v>0</v>
      </c>
      <c r="D37" s="369">
        <v>0</v>
      </c>
      <c r="E37" s="369">
        <v>0</v>
      </c>
      <c r="F37" s="369">
        <v>0</v>
      </c>
      <c r="G37" s="369">
        <v>0</v>
      </c>
      <c r="H37" s="369">
        <v>0</v>
      </c>
      <c r="I37" s="369">
        <v>0</v>
      </c>
      <c r="J37" s="369">
        <v>0</v>
      </c>
    </row>
    <row r="38" ht="17.5" customHeight="1" spans="1:10" x14ac:dyDescent="0.25">
      <c r="A38" s="368" t="s">
        <v>884</v>
      </c>
      <c r="B38" s="352">
        <v>0.5</v>
      </c>
      <c r="C38" s="369">
        <v>0</v>
      </c>
      <c r="D38" s="369">
        <v>0</v>
      </c>
      <c r="E38" s="369">
        <v>0</v>
      </c>
      <c r="F38" s="369">
        <v>0</v>
      </c>
      <c r="G38" s="369">
        <v>0</v>
      </c>
      <c r="H38" s="369">
        <v>0</v>
      </c>
      <c r="I38" s="369">
        <v>0</v>
      </c>
      <c r="J38" s="369">
        <v>0</v>
      </c>
    </row>
    <row r="39" ht="17.5" customHeight="1" spans="1:10" x14ac:dyDescent="0.25">
      <c r="A39" s="368" t="s">
        <v>885</v>
      </c>
      <c r="B39" s="352">
        <v>1</v>
      </c>
      <c r="C39" s="369">
        <v>0</v>
      </c>
      <c r="D39" s="369">
        <v>0</v>
      </c>
      <c r="E39" s="369">
        <v>0</v>
      </c>
      <c r="F39" s="369">
        <v>0</v>
      </c>
      <c r="G39" s="369">
        <v>0</v>
      </c>
      <c r="H39" s="369">
        <v>0</v>
      </c>
      <c r="I39" s="369">
        <v>0</v>
      </c>
      <c r="J39" s="369">
        <v>0</v>
      </c>
    </row>
    <row r="40" ht="17.5" customHeight="1" spans="1:10" x14ac:dyDescent="0.25">
      <c r="A40" s="368" t="s">
        <v>886</v>
      </c>
      <c r="B40" s="352">
        <v>1.5</v>
      </c>
      <c r="C40" s="369">
        <v>0</v>
      </c>
      <c r="D40" s="369">
        <v>0</v>
      </c>
      <c r="E40" s="369">
        <v>0</v>
      </c>
      <c r="F40" s="369">
        <v>0</v>
      </c>
      <c r="G40" s="369">
        <v>0</v>
      </c>
      <c r="H40" s="369">
        <v>0</v>
      </c>
      <c r="I40" s="369">
        <v>0</v>
      </c>
      <c r="J40" s="369">
        <v>0</v>
      </c>
    </row>
    <row r="41" ht="18" customHeight="1" spans="1:10" x14ac:dyDescent="0.25">
      <c r="A41" s="368" t="s">
        <v>887</v>
      </c>
      <c r="B41" s="57" t="s">
        <v>520</v>
      </c>
      <c r="C41" s="369">
        <v>0</v>
      </c>
      <c r="D41" s="369">
        <v>0</v>
      </c>
      <c r="E41" s="369">
        <v>0</v>
      </c>
      <c r="F41" s="369">
        <v>0</v>
      </c>
      <c r="G41" s="369">
        <v>0</v>
      </c>
      <c r="H41" s="369">
        <v>0</v>
      </c>
      <c r="I41" s="369">
        <v>0</v>
      </c>
      <c r="J41" s="369">
        <v>0</v>
      </c>
    </row>
    <row r="42" ht="9" customHeight="1" spans="1:10" x14ac:dyDescent="0.25">
      <c r="A42" s="372"/>
      <c r="B42" s="372"/>
      <c r="C42" s="372"/>
      <c r="D42" s="372"/>
      <c r="E42" s="372"/>
      <c r="F42" s="372"/>
      <c r="G42" s="372"/>
      <c r="H42" s="372"/>
      <c r="I42" s="372"/>
      <c r="J42" s="372"/>
    </row>
    <row r="43" ht="18" customHeight="1" spans="1:10" s="337" customFormat="1" x14ac:dyDescent="0.25">
      <c r="A43" s="252" t="s">
        <v>651</v>
      </c>
      <c r="B43" s="363" t="s">
        <v>888</v>
      </c>
      <c r="C43" s="370">
        <f>C17+C25+C33+C41</f>
        <v>1014</v>
      </c>
      <c r="D43" s="370">
        <f t="shared" ref="D43:J43" si="3">D17+D25+D33+D41</f>
        <v>0</v>
      </c>
      <c r="E43" s="370">
        <f t="shared" si="3"/>
        <v>0</v>
      </c>
      <c r="F43" s="370">
        <f t="shared" si="3"/>
        <v>0</v>
      </c>
      <c r="G43" s="370">
        <f t="shared" si="3"/>
        <v>0</v>
      </c>
      <c r="H43" s="370">
        <f t="shared" si="3"/>
        <v>0</v>
      </c>
      <c r="I43" s="370">
        <f t="shared" si="3"/>
        <v>1014</v>
      </c>
      <c r="J43" s="370">
        <f t="shared" si="3"/>
        <v>202.8</v>
      </c>
    </row>
    <row r="44" ht="9" customHeight="1" spans="2:10" x14ac:dyDescent="0.25">
      <c r="B44" s="364"/>
      <c r="C44" s="364"/>
      <c r="D44" s="364"/>
      <c r="E44" s="364"/>
      <c r="F44" s="364"/>
      <c r="G44" s="364"/>
      <c r="H44" s="364"/>
      <c r="I44" s="364"/>
      <c r="J44" s="364"/>
    </row>
    <row r="45" ht="9" customHeight="1" s="317" customFormat="1" x14ac:dyDescent="0.25"/>
    <row r="46" ht="9" customHeight="1" s="317" customFormat="1" x14ac:dyDescent="0.25"/>
    <row r="47" ht="9" customHeight="1" s="317" customFormat="1" x14ac:dyDescent="0.25"/>
    <row r="48" ht="9" customHeight="1" s="317" customFormat="1" x14ac:dyDescent="0.25"/>
    <row r="49" ht="9" customHeight="1" s="317" customFormat="1" x14ac:dyDescent="0.25"/>
    <row r="50" ht="9" customHeight="1" s="317" customFormat="1" x14ac:dyDescent="0.25"/>
    <row r="51" ht="9" customHeight="1" s="317" customFormat="1" x14ac:dyDescent="0.25"/>
    <row r="52" ht="9" customHeight="1" s="317" customFormat="1" x14ac:dyDescent="0.25"/>
    <row r="53" ht="9" customHeight="1" s="317" customFormat="1" x14ac:dyDescent="0.25"/>
    <row r="54" ht="9" customHeight="1" s="317" customFormat="1" x14ac:dyDescent="0.25"/>
    <row r="55" ht="9" customHeight="1" s="317" customFormat="1" x14ac:dyDescent="0.25"/>
    <row r="56" ht="9" customHeight="1" s="317" customFormat="1" x14ac:dyDescent="0.25"/>
    <row r="57" ht="9" customHeight="1" s="317" customFormat="1" x14ac:dyDescent="0.25"/>
    <row r="58" ht="9" customHeight="1" s="317" customFormat="1" x14ac:dyDescent="0.25"/>
  </sheetData>
  <sheetProtection sheet="1" algorithmName="SHA-512" hashValue="CI7EWzMCfLdxcXCY37aaUbgdzgBhrHMdEeV1VD6Q5w/G3ipxx3P2y7Bcn27v0fVT+RWCvbxGBROp0E+VjdqaAg==" saltValue="sU2JtxYCnreX5HUPemZYuA==" spinCount="100000" objects="1" scenarios="1"/>
  <mergeCells count="12">
    <mergeCell ref="B1:I1"/>
    <mergeCell ref="D8:F8"/>
    <mergeCell ref="G8:H8"/>
    <mergeCell ref="A8:A9"/>
    <mergeCell ref="B8:B9"/>
    <mergeCell ref="J8:J9"/>
    <mergeCell ref="B11:J11"/>
    <mergeCell ref="A18:J18"/>
    <mergeCell ref="A26:J26"/>
    <mergeCell ref="A34:J34"/>
    <mergeCell ref="A42:J42"/>
    <mergeCell ref="B44:J44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7" fitToWidth="1" fitToHeight="1" firstPageNumber="1" useFirstPageNumber="1" copies="1"/>
  <headerFooter>
    <oddFooter>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58"/>
  <sheetViews>
    <sheetView workbookViewId="0" zoomScale="60" zoomScaleNormal="60" view="pageBreakPreview">
      <selection activeCell="B8" sqref="B8"/>
    </sheetView>
  </sheetViews>
  <sheetFormatPr defaultRowHeight="9" outlineLevelRow="0" outlineLevelCol="0" x14ac:dyDescent="0" defaultColWidth="10" customHeight="1"/>
  <cols>
    <col min="1" max="1" width="11.08984375" style="317" customWidth="1"/>
    <col min="2" max="2" width="57.36328125" style="317" customWidth="1"/>
    <col min="3" max="6" width="21.26953125" style="317" customWidth="1"/>
    <col min="7" max="8" width="25.90625" style="317" customWidth="1"/>
    <col min="9" max="9" width="21.26953125" style="317" customWidth="1"/>
    <col min="10" max="10" width="21.26953125" style="341" customWidth="1"/>
    <col min="11" max="16384" width="10" style="317" customWidth="1"/>
  </cols>
  <sheetData>
    <row r="1" ht="29.25" customHeight="1" spans="2:12" x14ac:dyDescent="0.25">
      <c r="B1" s="319" t="s">
        <v>889</v>
      </c>
      <c r="C1" s="319"/>
      <c r="D1" s="319"/>
      <c r="E1" s="319"/>
      <c r="F1" s="319"/>
      <c r="G1" s="319"/>
      <c r="H1" s="319"/>
      <c r="I1" s="319"/>
      <c r="J1" s="320" t="s">
        <v>60</v>
      </c>
      <c r="K1" s="323"/>
      <c r="L1" s="323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2:12" x14ac:dyDescent="0.25"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</row>
    <row r="8" ht="25.5" customHeight="1" spans="1:1025" x14ac:dyDescent="0.25">
      <c r="A8" s="135" t="s">
        <v>113</v>
      </c>
      <c r="B8" s="346" t="s">
        <v>820</v>
      </c>
      <c r="C8" s="347" t="s">
        <v>821</v>
      </c>
      <c r="D8" s="58" t="s">
        <v>822</v>
      </c>
      <c r="E8" s="58"/>
      <c r="F8" s="58"/>
      <c r="G8" s="58" t="s">
        <v>823</v>
      </c>
      <c r="H8" s="58"/>
      <c r="I8" s="135" t="s">
        <v>824</v>
      </c>
      <c r="J8" s="346" t="s">
        <v>825</v>
      </c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2"/>
      <c r="ME8" s="342"/>
      <c r="MF8" s="342"/>
      <c r="MG8" s="342"/>
      <c r="MH8" s="342"/>
      <c r="MI8" s="342"/>
      <c r="MJ8" s="342"/>
      <c r="MK8" s="342"/>
      <c r="ML8" s="342"/>
      <c r="MM8" s="342"/>
      <c r="MN8" s="342"/>
      <c r="MO8" s="342"/>
      <c r="MP8" s="342"/>
      <c r="MQ8" s="342"/>
      <c r="MR8" s="342"/>
      <c r="MS8" s="342"/>
      <c r="MT8" s="342"/>
      <c r="MU8" s="342"/>
      <c r="MV8" s="342"/>
      <c r="MW8" s="342"/>
      <c r="MX8" s="342"/>
      <c r="MY8" s="342"/>
      <c r="MZ8" s="342"/>
      <c r="NA8" s="342"/>
      <c r="NB8" s="342"/>
      <c r="NC8" s="342"/>
      <c r="ND8" s="342"/>
      <c r="NE8" s="342"/>
      <c r="NF8" s="342"/>
      <c r="NG8" s="342"/>
      <c r="NH8" s="342"/>
      <c r="NI8" s="342"/>
      <c r="NJ8" s="342"/>
      <c r="NK8" s="342"/>
      <c r="NL8" s="342"/>
      <c r="NM8" s="342"/>
      <c r="NN8" s="342"/>
      <c r="NO8" s="342"/>
      <c r="NP8" s="342"/>
      <c r="NQ8" s="342"/>
      <c r="NR8" s="342"/>
      <c r="NS8" s="342"/>
      <c r="NT8" s="342"/>
      <c r="NU8" s="342"/>
      <c r="NV8" s="342"/>
      <c r="NW8" s="342"/>
      <c r="NX8" s="342"/>
      <c r="NY8" s="342"/>
      <c r="NZ8" s="342"/>
      <c r="OA8" s="342"/>
      <c r="OB8" s="342"/>
      <c r="OC8" s="342"/>
      <c r="OD8" s="342"/>
      <c r="OE8" s="342"/>
      <c r="OF8" s="342"/>
      <c r="OG8" s="342"/>
      <c r="OH8" s="342"/>
      <c r="OI8" s="342"/>
      <c r="OJ8" s="342"/>
      <c r="OK8" s="342"/>
      <c r="OL8" s="342"/>
      <c r="OM8" s="342"/>
      <c r="ON8" s="342"/>
      <c r="OO8" s="342"/>
      <c r="OP8" s="342"/>
      <c r="OQ8" s="342"/>
      <c r="OR8" s="342"/>
      <c r="OS8" s="342"/>
      <c r="OT8" s="342"/>
      <c r="OU8" s="342"/>
      <c r="OV8" s="342"/>
      <c r="OW8" s="342"/>
      <c r="OX8" s="342"/>
      <c r="OY8" s="342"/>
      <c r="OZ8" s="342"/>
      <c r="PA8" s="342"/>
      <c r="PB8" s="342"/>
      <c r="PC8" s="342"/>
      <c r="PD8" s="342"/>
      <c r="PE8" s="342"/>
      <c r="PF8" s="342"/>
      <c r="PG8" s="342"/>
      <c r="PH8" s="342"/>
      <c r="PI8" s="342"/>
      <c r="PJ8" s="342"/>
      <c r="PK8" s="342"/>
      <c r="PL8" s="342"/>
      <c r="PM8" s="342"/>
      <c r="PN8" s="342"/>
      <c r="PO8" s="342"/>
      <c r="PP8" s="342"/>
      <c r="PQ8" s="342"/>
      <c r="PR8" s="342"/>
      <c r="PS8" s="342"/>
      <c r="PT8" s="342"/>
      <c r="PU8" s="342"/>
      <c r="PV8" s="342"/>
      <c r="PW8" s="342"/>
      <c r="PX8" s="342"/>
      <c r="PY8" s="342"/>
      <c r="PZ8" s="342"/>
      <c r="QA8" s="342"/>
      <c r="QB8" s="342"/>
      <c r="QC8" s="342"/>
      <c r="QD8" s="342"/>
      <c r="QE8" s="342"/>
      <c r="QF8" s="342"/>
      <c r="QG8" s="342"/>
      <c r="QH8" s="342"/>
      <c r="QI8" s="342"/>
      <c r="QJ8" s="342"/>
      <c r="QK8" s="342"/>
      <c r="QL8" s="342"/>
      <c r="QM8" s="342"/>
      <c r="QN8" s="342"/>
      <c r="QO8" s="342"/>
      <c r="QP8" s="342"/>
      <c r="QQ8" s="342"/>
      <c r="QR8" s="342"/>
      <c r="QS8" s="342"/>
      <c r="QT8" s="342"/>
      <c r="QU8" s="342"/>
      <c r="QV8" s="342"/>
      <c r="QW8" s="342"/>
      <c r="QX8" s="342"/>
      <c r="QY8" s="342"/>
      <c r="QZ8" s="342"/>
      <c r="RA8" s="342"/>
      <c r="RB8" s="342"/>
      <c r="RC8" s="342"/>
      <c r="RD8" s="342"/>
      <c r="RE8" s="342"/>
      <c r="RF8" s="342"/>
      <c r="RG8" s="342"/>
      <c r="RH8" s="342"/>
      <c r="RI8" s="342"/>
      <c r="RJ8" s="342"/>
      <c r="RK8" s="342"/>
      <c r="RL8" s="342"/>
      <c r="RM8" s="342"/>
      <c r="RN8" s="342"/>
      <c r="RO8" s="342"/>
      <c r="RP8" s="342"/>
      <c r="RQ8" s="342"/>
      <c r="RR8" s="342"/>
      <c r="RS8" s="342"/>
      <c r="RT8" s="342"/>
      <c r="RU8" s="342"/>
      <c r="RV8" s="342"/>
      <c r="RW8" s="342"/>
      <c r="RX8" s="342"/>
      <c r="RY8" s="342"/>
      <c r="RZ8" s="342"/>
      <c r="SA8" s="342"/>
      <c r="SB8" s="342"/>
      <c r="SC8" s="342"/>
      <c r="SD8" s="342"/>
      <c r="SE8" s="342"/>
      <c r="SF8" s="342"/>
      <c r="SG8" s="342"/>
      <c r="SH8" s="342"/>
      <c r="SI8" s="342"/>
      <c r="SJ8" s="342"/>
      <c r="SK8" s="342"/>
      <c r="SL8" s="342"/>
      <c r="SM8" s="342"/>
      <c r="SN8" s="342"/>
      <c r="SO8" s="342"/>
      <c r="SP8" s="342"/>
      <c r="SQ8" s="342"/>
      <c r="SR8" s="342"/>
      <c r="SS8" s="342"/>
      <c r="ST8" s="342"/>
      <c r="SU8" s="342"/>
      <c r="SV8" s="342"/>
      <c r="SW8" s="342"/>
      <c r="SX8" s="342"/>
      <c r="SY8" s="342"/>
      <c r="SZ8" s="342"/>
      <c r="TA8" s="342"/>
      <c r="TB8" s="342"/>
      <c r="TC8" s="342"/>
      <c r="TD8" s="342"/>
      <c r="TE8" s="342"/>
      <c r="TF8" s="342"/>
      <c r="TG8" s="342"/>
      <c r="TH8" s="342"/>
      <c r="TI8" s="342"/>
      <c r="TJ8" s="342"/>
      <c r="TK8" s="342"/>
      <c r="TL8" s="342"/>
      <c r="TM8" s="342"/>
      <c r="TN8" s="342"/>
      <c r="TO8" s="342"/>
      <c r="TP8" s="342"/>
      <c r="TQ8" s="342"/>
      <c r="TR8" s="342"/>
      <c r="TS8" s="342"/>
      <c r="TT8" s="342"/>
      <c r="TU8" s="342"/>
      <c r="TV8" s="342"/>
      <c r="TW8" s="342"/>
      <c r="TX8" s="342"/>
      <c r="TY8" s="342"/>
      <c r="TZ8" s="342"/>
      <c r="UA8" s="342"/>
      <c r="UB8" s="342"/>
      <c r="UC8" s="342"/>
      <c r="UD8" s="342"/>
      <c r="UE8" s="342"/>
      <c r="UF8" s="342"/>
      <c r="UG8" s="342"/>
      <c r="UH8" s="342"/>
      <c r="UI8" s="342"/>
      <c r="UJ8" s="342"/>
      <c r="UK8" s="342"/>
      <c r="UL8" s="342"/>
      <c r="UM8" s="342"/>
      <c r="UN8" s="342"/>
      <c r="UO8" s="342"/>
      <c r="UP8" s="342"/>
      <c r="UQ8" s="342"/>
      <c r="UR8" s="342"/>
      <c r="US8" s="342"/>
      <c r="UT8" s="342"/>
      <c r="UU8" s="342"/>
      <c r="UV8" s="342"/>
      <c r="UW8" s="342"/>
      <c r="UX8" s="342"/>
      <c r="UY8" s="342"/>
      <c r="UZ8" s="342"/>
      <c r="VA8" s="342"/>
      <c r="VB8" s="342"/>
      <c r="VC8" s="342"/>
      <c r="VD8" s="342"/>
      <c r="VE8" s="342"/>
      <c r="VF8" s="342"/>
      <c r="VG8" s="342"/>
      <c r="VH8" s="342"/>
      <c r="VI8" s="342"/>
      <c r="VJ8" s="342"/>
      <c r="VK8" s="342"/>
      <c r="VL8" s="342"/>
      <c r="VM8" s="342"/>
      <c r="VN8" s="342"/>
      <c r="VO8" s="342"/>
      <c r="VP8" s="342"/>
      <c r="VQ8" s="342"/>
      <c r="VR8" s="342"/>
      <c r="VS8" s="342"/>
      <c r="VT8" s="342"/>
      <c r="VU8" s="342"/>
      <c r="VV8" s="342"/>
      <c r="VW8" s="342"/>
      <c r="VX8" s="342"/>
      <c r="VY8" s="342"/>
      <c r="VZ8" s="342"/>
      <c r="WA8" s="342"/>
      <c r="WB8" s="342"/>
      <c r="WC8" s="342"/>
      <c r="WD8" s="342"/>
      <c r="WE8" s="342"/>
      <c r="WF8" s="342"/>
      <c r="WG8" s="342"/>
      <c r="WH8" s="342"/>
      <c r="WI8" s="342"/>
      <c r="WJ8" s="342"/>
      <c r="WK8" s="342"/>
      <c r="WL8" s="342"/>
      <c r="WM8" s="342"/>
      <c r="WN8" s="342"/>
      <c r="WO8" s="342"/>
      <c r="WP8" s="342"/>
      <c r="WQ8" s="342"/>
      <c r="WR8" s="342"/>
      <c r="WS8" s="342"/>
      <c r="WT8" s="342"/>
      <c r="WU8" s="342"/>
      <c r="WV8" s="342"/>
      <c r="WW8" s="342"/>
      <c r="WX8" s="342"/>
      <c r="WY8" s="342"/>
      <c r="WZ8" s="342"/>
      <c r="XA8" s="342"/>
      <c r="XB8" s="342"/>
      <c r="XC8" s="342"/>
      <c r="XD8" s="342"/>
      <c r="XE8" s="342"/>
      <c r="XF8" s="342"/>
      <c r="XG8" s="342"/>
      <c r="XH8" s="342"/>
      <c r="XI8" s="342"/>
      <c r="XJ8" s="342"/>
      <c r="XK8" s="342"/>
      <c r="XL8" s="342"/>
      <c r="XM8" s="342"/>
      <c r="XN8" s="342"/>
      <c r="XO8" s="342"/>
      <c r="XP8" s="342"/>
      <c r="XQ8" s="342"/>
      <c r="XR8" s="342"/>
      <c r="XS8" s="342"/>
      <c r="XT8" s="342"/>
      <c r="XU8" s="342"/>
      <c r="XV8" s="342"/>
      <c r="XW8" s="342"/>
      <c r="XX8" s="342"/>
      <c r="XY8" s="342"/>
      <c r="XZ8" s="342"/>
      <c r="YA8" s="342"/>
      <c r="YB8" s="342"/>
      <c r="YC8" s="342"/>
      <c r="YD8" s="342"/>
      <c r="YE8" s="342"/>
      <c r="YF8" s="342"/>
      <c r="YG8" s="342"/>
      <c r="YH8" s="342"/>
      <c r="YI8" s="342"/>
      <c r="YJ8" s="342"/>
      <c r="YK8" s="342"/>
      <c r="YL8" s="342"/>
      <c r="YM8" s="342"/>
      <c r="YN8" s="342"/>
      <c r="YO8" s="342"/>
      <c r="YP8" s="342"/>
      <c r="YQ8" s="342"/>
      <c r="YR8" s="342"/>
      <c r="YS8" s="342"/>
      <c r="YT8" s="342"/>
      <c r="YU8" s="342"/>
      <c r="YV8" s="342"/>
      <c r="YW8" s="342"/>
      <c r="YX8" s="342"/>
      <c r="YY8" s="342"/>
      <c r="YZ8" s="342"/>
      <c r="ZA8" s="342"/>
      <c r="ZB8" s="342"/>
      <c r="ZC8" s="342"/>
      <c r="ZD8" s="342"/>
      <c r="ZE8" s="342"/>
      <c r="ZF8" s="342"/>
      <c r="ZG8" s="342"/>
      <c r="ZH8" s="342"/>
      <c r="ZI8" s="342"/>
      <c r="ZJ8" s="342"/>
      <c r="ZK8" s="342"/>
      <c r="ZL8" s="342"/>
      <c r="ZM8" s="342"/>
      <c r="ZN8" s="342"/>
      <c r="ZO8" s="342"/>
      <c r="ZP8" s="342"/>
      <c r="ZQ8" s="342"/>
      <c r="ZR8" s="342"/>
      <c r="ZS8" s="342"/>
      <c r="ZT8" s="342"/>
      <c r="ZU8" s="342"/>
      <c r="ZV8" s="342"/>
      <c r="ZW8" s="342"/>
      <c r="ZX8" s="342"/>
      <c r="ZY8" s="342"/>
      <c r="ZZ8" s="342"/>
      <c r="AAA8" s="342"/>
      <c r="AAB8" s="342"/>
      <c r="AAC8" s="342"/>
      <c r="AAD8" s="342"/>
      <c r="AAE8" s="342"/>
      <c r="AAF8" s="342"/>
      <c r="AAG8" s="342"/>
      <c r="AAH8" s="342"/>
      <c r="AAI8" s="342"/>
      <c r="AAJ8" s="342"/>
      <c r="AAK8" s="342"/>
      <c r="AAL8" s="342"/>
      <c r="AAM8" s="342"/>
      <c r="AAN8" s="342"/>
      <c r="AAO8" s="342"/>
      <c r="AAP8" s="342"/>
      <c r="AAQ8" s="342"/>
      <c r="AAR8" s="342"/>
      <c r="AAS8" s="342"/>
      <c r="AAT8" s="342"/>
      <c r="AAU8" s="342"/>
      <c r="AAV8" s="342"/>
      <c r="AAW8" s="342"/>
      <c r="AAX8" s="342"/>
      <c r="AAY8" s="342"/>
      <c r="AAZ8" s="342"/>
      <c r="ABA8" s="342"/>
      <c r="ABB8" s="342"/>
      <c r="ABC8" s="342"/>
      <c r="ABD8" s="342"/>
      <c r="ABE8" s="342"/>
      <c r="ABF8" s="342"/>
      <c r="ABG8" s="342"/>
      <c r="ABH8" s="342"/>
      <c r="ABI8" s="342"/>
      <c r="ABJ8" s="342"/>
      <c r="ABK8" s="342"/>
      <c r="ABL8" s="342"/>
      <c r="ABM8" s="342"/>
      <c r="ABN8" s="342"/>
      <c r="ABO8" s="342"/>
      <c r="ABP8" s="342"/>
      <c r="ABQ8" s="342"/>
      <c r="ABR8" s="342"/>
      <c r="ABS8" s="342"/>
      <c r="ABT8" s="342"/>
      <c r="ABU8" s="342"/>
      <c r="ABV8" s="342"/>
      <c r="ABW8" s="342"/>
      <c r="ABX8" s="342"/>
      <c r="ABY8" s="342"/>
      <c r="ABZ8" s="342"/>
      <c r="ACA8" s="342"/>
      <c r="ACB8" s="342"/>
      <c r="ACC8" s="342"/>
      <c r="ACD8" s="342"/>
      <c r="ACE8" s="342"/>
      <c r="ACF8" s="342"/>
      <c r="ACG8" s="342"/>
      <c r="ACH8" s="342"/>
      <c r="ACI8" s="342"/>
      <c r="ACJ8" s="342"/>
      <c r="ACK8" s="342"/>
      <c r="ACL8" s="342"/>
      <c r="ACM8" s="342"/>
      <c r="ACN8" s="342"/>
      <c r="ACO8" s="342"/>
      <c r="ACP8" s="342"/>
      <c r="ACQ8" s="342"/>
      <c r="ACR8" s="342"/>
      <c r="ACS8" s="342"/>
      <c r="ACT8" s="342"/>
      <c r="ACU8" s="342"/>
      <c r="ACV8" s="342"/>
      <c r="ACW8" s="342"/>
      <c r="ACX8" s="342"/>
      <c r="ACY8" s="342"/>
      <c r="ACZ8" s="342"/>
      <c r="ADA8" s="342"/>
      <c r="ADB8" s="342"/>
      <c r="ADC8" s="342"/>
      <c r="ADD8" s="342"/>
      <c r="ADE8" s="342"/>
      <c r="ADF8" s="342"/>
      <c r="ADG8" s="342"/>
      <c r="ADH8" s="342"/>
      <c r="ADI8" s="342"/>
      <c r="ADJ8" s="342"/>
      <c r="ADK8" s="342"/>
      <c r="ADL8" s="342"/>
      <c r="ADM8" s="342"/>
      <c r="ADN8" s="342"/>
      <c r="ADO8" s="342"/>
      <c r="ADP8" s="342"/>
      <c r="ADQ8" s="342"/>
      <c r="ADR8" s="342"/>
      <c r="ADS8" s="342"/>
      <c r="ADT8" s="342"/>
      <c r="ADU8" s="342"/>
      <c r="ADV8" s="342"/>
      <c r="ADW8" s="342"/>
      <c r="ADX8" s="342"/>
      <c r="ADY8" s="342"/>
      <c r="ADZ8" s="342"/>
      <c r="AEA8" s="342"/>
      <c r="AEB8" s="342"/>
      <c r="AEC8" s="342"/>
      <c r="AED8" s="342"/>
      <c r="AEE8" s="342"/>
      <c r="AEF8" s="342"/>
      <c r="AEG8" s="342"/>
      <c r="AEH8" s="342"/>
      <c r="AEI8" s="342"/>
      <c r="AEJ8" s="342"/>
      <c r="AEK8" s="342"/>
      <c r="AEL8" s="342"/>
      <c r="AEM8" s="342"/>
      <c r="AEN8" s="342"/>
      <c r="AEO8" s="342"/>
      <c r="AEP8" s="342"/>
      <c r="AEQ8" s="342"/>
      <c r="AER8" s="342"/>
      <c r="AES8" s="342"/>
      <c r="AET8" s="342"/>
      <c r="AEU8" s="342"/>
      <c r="AEV8" s="342"/>
      <c r="AEW8" s="342"/>
      <c r="AEX8" s="342"/>
      <c r="AEY8" s="342"/>
      <c r="AEZ8" s="342"/>
      <c r="AFA8" s="342"/>
      <c r="AFB8" s="342"/>
      <c r="AFC8" s="342"/>
      <c r="AFD8" s="342"/>
      <c r="AFE8" s="342"/>
      <c r="AFF8" s="342"/>
      <c r="AFG8" s="342"/>
      <c r="AFH8" s="342"/>
      <c r="AFI8" s="342"/>
      <c r="AFJ8" s="342"/>
      <c r="AFK8" s="342"/>
      <c r="AFL8" s="342"/>
      <c r="AFM8" s="342"/>
      <c r="AFN8" s="342"/>
      <c r="AFO8" s="342"/>
      <c r="AFP8" s="342"/>
      <c r="AFQ8" s="342"/>
      <c r="AFR8" s="342"/>
      <c r="AFS8" s="342"/>
      <c r="AFT8" s="342"/>
      <c r="AFU8" s="342"/>
      <c r="AFV8" s="342"/>
      <c r="AFW8" s="342"/>
      <c r="AFX8" s="342"/>
      <c r="AFY8" s="342"/>
      <c r="AFZ8" s="342"/>
      <c r="AGA8" s="342"/>
      <c r="AGB8" s="342"/>
      <c r="AGC8" s="342"/>
      <c r="AGD8" s="342"/>
      <c r="AGE8" s="342"/>
      <c r="AGF8" s="342"/>
      <c r="AGG8" s="342"/>
      <c r="AGH8" s="342"/>
      <c r="AGI8" s="342"/>
      <c r="AGJ8" s="342"/>
      <c r="AGK8" s="342"/>
      <c r="AGL8" s="342"/>
      <c r="AGM8" s="342"/>
      <c r="AGN8" s="342"/>
      <c r="AGO8" s="342"/>
      <c r="AGP8" s="342"/>
      <c r="AGQ8" s="342"/>
      <c r="AGR8" s="342"/>
      <c r="AGS8" s="342"/>
      <c r="AGT8" s="342"/>
      <c r="AGU8" s="342"/>
      <c r="AGV8" s="342"/>
      <c r="AGW8" s="342"/>
      <c r="AGX8" s="342"/>
      <c r="AGY8" s="342"/>
      <c r="AGZ8" s="342"/>
      <c r="AHA8" s="342"/>
      <c r="AHB8" s="342"/>
      <c r="AHC8" s="342"/>
      <c r="AHD8" s="342"/>
      <c r="AHE8" s="342"/>
      <c r="AHF8" s="342"/>
      <c r="AHG8" s="342"/>
      <c r="AHH8" s="342"/>
      <c r="AHI8" s="342"/>
      <c r="AHJ8" s="342"/>
      <c r="AHK8" s="342"/>
      <c r="AHL8" s="342"/>
      <c r="AHM8" s="342"/>
      <c r="AHN8" s="342"/>
      <c r="AHO8" s="342"/>
      <c r="AHP8" s="342"/>
      <c r="AHQ8" s="342"/>
      <c r="AHR8" s="342"/>
      <c r="AHS8" s="342"/>
      <c r="AHT8" s="342"/>
      <c r="AHU8" s="342"/>
      <c r="AHV8" s="342"/>
      <c r="AHW8" s="342"/>
      <c r="AHX8" s="342"/>
      <c r="AHY8" s="342"/>
      <c r="AHZ8" s="342"/>
      <c r="AIA8" s="342"/>
      <c r="AIB8" s="342"/>
      <c r="AIC8" s="342"/>
      <c r="AID8" s="342"/>
      <c r="AIE8" s="342"/>
      <c r="AIF8" s="342"/>
      <c r="AIG8" s="342"/>
      <c r="AIH8" s="342"/>
      <c r="AII8" s="342"/>
      <c r="AIJ8" s="342"/>
      <c r="AIK8" s="342"/>
      <c r="AIL8" s="342"/>
      <c r="AIM8" s="342"/>
      <c r="AIN8" s="342"/>
      <c r="AIO8" s="342"/>
      <c r="AIP8" s="342"/>
      <c r="AIQ8" s="342"/>
      <c r="AIR8" s="342"/>
      <c r="AIS8" s="342"/>
      <c r="AIT8" s="342"/>
      <c r="AIU8" s="342"/>
      <c r="AIV8" s="342"/>
      <c r="AIW8" s="342"/>
      <c r="AIX8" s="342"/>
      <c r="AIY8" s="342"/>
      <c r="AIZ8" s="342"/>
      <c r="AJA8" s="342"/>
      <c r="AJB8" s="342"/>
      <c r="AJC8" s="342"/>
      <c r="AJD8" s="342"/>
      <c r="AJE8" s="342"/>
      <c r="AJF8" s="342"/>
      <c r="AJG8" s="342"/>
      <c r="AJH8" s="342"/>
      <c r="AJI8" s="342"/>
      <c r="AJJ8" s="342"/>
      <c r="AJK8" s="342"/>
      <c r="AJL8" s="342"/>
      <c r="AJM8" s="342"/>
      <c r="AJN8" s="342"/>
      <c r="AJO8" s="342"/>
      <c r="AJP8" s="342"/>
      <c r="AJQ8" s="342"/>
      <c r="AJR8" s="342"/>
      <c r="AJS8" s="342"/>
      <c r="AJT8" s="342"/>
      <c r="AJU8" s="342"/>
      <c r="AJV8" s="342"/>
      <c r="AJW8" s="342"/>
      <c r="AJX8" s="342"/>
      <c r="AJY8" s="342"/>
      <c r="AJZ8" s="342"/>
      <c r="AKA8" s="342"/>
      <c r="AKB8" s="342"/>
      <c r="AKC8" s="342"/>
      <c r="AKD8" s="342"/>
      <c r="AKE8" s="342"/>
      <c r="AKF8" s="342"/>
      <c r="AKG8" s="342"/>
      <c r="AKH8" s="342"/>
      <c r="AKI8" s="342"/>
      <c r="AKJ8" s="342"/>
      <c r="AKK8" s="342"/>
      <c r="AKL8" s="342"/>
      <c r="AKM8" s="342"/>
      <c r="AKN8" s="342"/>
      <c r="AKO8" s="342"/>
      <c r="AKP8" s="342"/>
      <c r="AKQ8" s="342"/>
      <c r="AKR8" s="342"/>
      <c r="AKS8" s="342"/>
      <c r="AKT8" s="342"/>
      <c r="AKU8" s="342"/>
      <c r="AKV8" s="342"/>
      <c r="AKW8" s="342"/>
      <c r="AKX8" s="342"/>
      <c r="AKY8" s="342"/>
      <c r="AKZ8" s="342"/>
      <c r="ALA8" s="342"/>
      <c r="ALB8" s="342"/>
      <c r="ALC8" s="342"/>
      <c r="ALD8" s="342"/>
      <c r="ALE8" s="342"/>
      <c r="ALF8" s="342"/>
      <c r="ALG8" s="342"/>
      <c r="ALH8" s="342"/>
      <c r="ALI8" s="342"/>
      <c r="ALJ8" s="342"/>
      <c r="ALK8" s="342"/>
      <c r="ALL8" s="342"/>
      <c r="ALM8" s="342"/>
      <c r="ALN8" s="342"/>
      <c r="ALO8" s="342"/>
      <c r="ALP8" s="342"/>
      <c r="ALQ8" s="342"/>
      <c r="ALR8" s="342"/>
      <c r="ALS8" s="342"/>
      <c r="ALT8" s="342"/>
      <c r="ALU8" s="342"/>
      <c r="ALV8" s="342"/>
      <c r="ALW8" s="342"/>
      <c r="ALX8" s="342"/>
      <c r="ALY8" s="342"/>
      <c r="ALZ8" s="342"/>
      <c r="AMA8" s="342"/>
      <c r="AMB8" s="342"/>
      <c r="AMC8" s="342"/>
      <c r="AMD8" s="342"/>
      <c r="AME8" s="342"/>
      <c r="AMF8" s="342"/>
      <c r="AMG8" s="342"/>
      <c r="AMH8" s="342"/>
      <c r="AMI8" s="342"/>
      <c r="AMJ8" s="321"/>
      <c r="AMK8" s="321"/>
    </row>
    <row r="9" ht="100.5" customHeight="1" spans="1:1025" x14ac:dyDescent="0.25">
      <c r="A9" s="135"/>
      <c r="B9" s="346"/>
      <c r="C9" s="348" t="s">
        <v>693</v>
      </c>
      <c r="D9" s="349" t="s">
        <v>826</v>
      </c>
      <c r="E9" s="349" t="s">
        <v>827</v>
      </c>
      <c r="F9" s="349" t="s">
        <v>890</v>
      </c>
      <c r="G9" s="349" t="s">
        <v>829</v>
      </c>
      <c r="H9" s="348" t="s">
        <v>830</v>
      </c>
      <c r="I9" s="348" t="s">
        <v>693</v>
      </c>
      <c r="J9" s="346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  <c r="AKV9" s="342"/>
      <c r="AKW9" s="342"/>
      <c r="AKX9" s="342"/>
      <c r="AKY9" s="342"/>
      <c r="AKZ9" s="342"/>
      <c r="ALA9" s="342"/>
      <c r="ALB9" s="342"/>
      <c r="ALC9" s="342"/>
      <c r="ALD9" s="342"/>
      <c r="ALE9" s="342"/>
      <c r="ALF9" s="342"/>
      <c r="ALG9" s="342"/>
      <c r="ALH9" s="342"/>
      <c r="ALI9" s="342"/>
      <c r="ALJ9" s="342"/>
      <c r="ALK9" s="342"/>
      <c r="ALL9" s="342"/>
      <c r="ALM9" s="342"/>
      <c r="ALN9" s="342"/>
      <c r="ALO9" s="342"/>
      <c r="ALP9" s="342"/>
      <c r="ALQ9" s="342"/>
      <c r="ALR9" s="342"/>
      <c r="ALS9" s="342"/>
      <c r="ALT9" s="342"/>
      <c r="ALU9" s="342"/>
      <c r="ALV9" s="342"/>
      <c r="ALW9" s="342"/>
      <c r="ALX9" s="342"/>
      <c r="ALY9" s="342"/>
      <c r="ALZ9" s="342"/>
      <c r="AMA9" s="342"/>
      <c r="AMB9" s="342"/>
      <c r="AMC9" s="342"/>
      <c r="AMD9" s="342"/>
      <c r="AME9" s="342"/>
      <c r="AMF9" s="342"/>
      <c r="AMG9" s="342"/>
      <c r="AMH9" s="342"/>
      <c r="AMI9" s="342"/>
      <c r="AMJ9" s="321"/>
      <c r="AMK9" s="321"/>
    </row>
    <row r="10" ht="36" customHeight="1" spans="1:1023" x14ac:dyDescent="0.25">
      <c r="A10" s="145"/>
      <c r="B10" s="350" t="s">
        <v>154</v>
      </c>
      <c r="C10" s="135" t="s">
        <v>157</v>
      </c>
      <c r="D10" s="135" t="s">
        <v>160</v>
      </c>
      <c r="E10" s="135" t="s">
        <v>164</v>
      </c>
      <c r="F10" s="135" t="s">
        <v>321</v>
      </c>
      <c r="G10" s="135" t="s">
        <v>329</v>
      </c>
      <c r="H10" s="135" t="s">
        <v>331</v>
      </c>
      <c r="I10" s="135" t="s">
        <v>831</v>
      </c>
      <c r="J10" s="135" t="s">
        <v>832</v>
      </c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7"/>
      <c r="QQ10" s="337"/>
      <c r="QR10" s="337"/>
      <c r="QS10" s="337"/>
      <c r="QT10" s="337"/>
      <c r="QU10" s="337"/>
      <c r="QV10" s="337"/>
      <c r="QW10" s="337"/>
      <c r="QX10" s="337"/>
      <c r="QY10" s="337"/>
      <c r="QZ10" s="337"/>
      <c r="RA10" s="337"/>
      <c r="RB10" s="337"/>
      <c r="RC10" s="337"/>
      <c r="RD10" s="337"/>
      <c r="RE10" s="337"/>
      <c r="RF10" s="337"/>
      <c r="RG10" s="337"/>
      <c r="RH10" s="337"/>
      <c r="RI10" s="337"/>
      <c r="RJ10" s="337"/>
      <c r="RK10" s="337"/>
      <c r="RL10" s="337"/>
      <c r="RM10" s="337"/>
      <c r="RN10" s="337"/>
      <c r="RO10" s="337"/>
      <c r="RP10" s="337"/>
      <c r="RQ10" s="337"/>
      <c r="RR10" s="337"/>
      <c r="RS10" s="337"/>
      <c r="RT10" s="337"/>
      <c r="RU10" s="337"/>
      <c r="RV10" s="337"/>
      <c r="RW10" s="337"/>
      <c r="RX10" s="337"/>
      <c r="RY10" s="337"/>
      <c r="RZ10" s="337"/>
      <c r="SA10" s="337"/>
      <c r="SB10" s="337"/>
      <c r="SC10" s="337"/>
      <c r="SD10" s="337"/>
      <c r="SE10" s="337"/>
      <c r="SF10" s="337"/>
      <c r="SG10" s="337"/>
      <c r="SH10" s="337"/>
      <c r="SI10" s="337"/>
      <c r="SJ10" s="337"/>
      <c r="SK10" s="337"/>
      <c r="SL10" s="337"/>
      <c r="SM10" s="337"/>
      <c r="SN10" s="337"/>
      <c r="SO10" s="337"/>
      <c r="SP10" s="337"/>
      <c r="SQ10" s="337"/>
      <c r="SR10" s="337"/>
      <c r="SS10" s="337"/>
      <c r="ST10" s="337"/>
      <c r="SU10" s="337"/>
      <c r="SV10" s="337"/>
      <c r="SW10" s="337"/>
      <c r="SX10" s="337"/>
      <c r="SY10" s="337"/>
      <c r="SZ10" s="337"/>
      <c r="TA10" s="337"/>
      <c r="TB10" s="337"/>
      <c r="TC10" s="337"/>
      <c r="TD10" s="337"/>
      <c r="TE10" s="337"/>
      <c r="TF10" s="337"/>
      <c r="TG10" s="337"/>
      <c r="TH10" s="337"/>
      <c r="TI10" s="337"/>
      <c r="TJ10" s="337"/>
      <c r="TK10" s="337"/>
      <c r="TL10" s="337"/>
      <c r="TM10" s="337"/>
      <c r="TN10" s="337"/>
      <c r="TO10" s="337"/>
      <c r="TP10" s="337"/>
      <c r="TQ10" s="337"/>
      <c r="TR10" s="337"/>
      <c r="TS10" s="337"/>
      <c r="TT10" s="337"/>
      <c r="TU10" s="337"/>
      <c r="TV10" s="337"/>
      <c r="TW10" s="337"/>
      <c r="TX10" s="337"/>
      <c r="TY10" s="337"/>
      <c r="TZ10" s="337"/>
      <c r="UA10" s="337"/>
      <c r="UB10" s="337"/>
      <c r="UC10" s="337"/>
      <c r="UD10" s="337"/>
      <c r="UE10" s="337"/>
      <c r="UF10" s="337"/>
      <c r="UG10" s="337"/>
      <c r="UH10" s="337"/>
      <c r="UI10" s="337"/>
      <c r="UJ10" s="337"/>
      <c r="UK10" s="337"/>
      <c r="UL10" s="337"/>
      <c r="UM10" s="337"/>
      <c r="UN10" s="337"/>
      <c r="UO10" s="337"/>
      <c r="UP10" s="337"/>
      <c r="UQ10" s="337"/>
      <c r="UR10" s="337"/>
      <c r="US10" s="337"/>
      <c r="UT10" s="337"/>
      <c r="UU10" s="337"/>
      <c r="UV10" s="337"/>
      <c r="UW10" s="337"/>
      <c r="UX10" s="337"/>
      <c r="UY10" s="337"/>
      <c r="UZ10" s="337"/>
      <c r="VA10" s="337"/>
      <c r="VB10" s="337"/>
      <c r="VC10" s="337"/>
      <c r="VD10" s="337"/>
      <c r="VE10" s="337"/>
      <c r="VF10" s="337"/>
      <c r="VG10" s="337"/>
      <c r="VH10" s="337"/>
      <c r="VI10" s="337"/>
      <c r="VJ10" s="337"/>
      <c r="VK10" s="337"/>
      <c r="VL10" s="337"/>
      <c r="VM10" s="337"/>
      <c r="VN10" s="337"/>
      <c r="VO10" s="337"/>
      <c r="VP10" s="337"/>
      <c r="VQ10" s="337"/>
      <c r="VR10" s="337"/>
      <c r="VS10" s="337"/>
      <c r="VT10" s="337"/>
      <c r="VU10" s="337"/>
      <c r="VV10" s="337"/>
      <c r="VW10" s="337"/>
      <c r="VX10" s="337"/>
      <c r="VY10" s="337"/>
      <c r="VZ10" s="337"/>
      <c r="WA10" s="337"/>
      <c r="WB10" s="337"/>
      <c r="WC10" s="337"/>
      <c r="WD10" s="337"/>
      <c r="WE10" s="337"/>
      <c r="WF10" s="337"/>
      <c r="WG10" s="337"/>
      <c r="WH10" s="337"/>
      <c r="WI10" s="337"/>
      <c r="WJ10" s="337"/>
      <c r="WK10" s="337"/>
      <c r="WL10" s="337"/>
      <c r="WM10" s="337"/>
      <c r="WN10" s="337"/>
      <c r="WO10" s="337"/>
      <c r="WP10" s="337"/>
      <c r="WQ10" s="337"/>
      <c r="WR10" s="337"/>
      <c r="WS10" s="337"/>
      <c r="WT10" s="337"/>
      <c r="WU10" s="337"/>
      <c r="WV10" s="337"/>
      <c r="WW10" s="337"/>
      <c r="WX10" s="337"/>
      <c r="WY10" s="337"/>
      <c r="WZ10" s="337"/>
      <c r="XA10" s="337"/>
      <c r="XB10" s="337"/>
      <c r="XC10" s="337"/>
      <c r="XD10" s="337"/>
      <c r="XE10" s="337"/>
      <c r="XF10" s="337"/>
      <c r="XG10" s="337"/>
      <c r="XH10" s="337"/>
      <c r="XI10" s="337"/>
      <c r="XJ10" s="337"/>
      <c r="XK10" s="337"/>
      <c r="XL10" s="337"/>
      <c r="XM10" s="337"/>
      <c r="XN10" s="337"/>
      <c r="XO10" s="337"/>
      <c r="XP10" s="337"/>
      <c r="XQ10" s="337"/>
      <c r="XR10" s="337"/>
      <c r="XS10" s="337"/>
      <c r="XT10" s="337"/>
      <c r="XU10" s="337"/>
      <c r="XV10" s="337"/>
      <c r="XW10" s="337"/>
      <c r="XX10" s="337"/>
      <c r="XY10" s="337"/>
      <c r="XZ10" s="337"/>
      <c r="YA10" s="337"/>
      <c r="YB10" s="337"/>
      <c r="YC10" s="337"/>
      <c r="YD10" s="337"/>
      <c r="YE10" s="337"/>
      <c r="YF10" s="337"/>
      <c r="YG10" s="337"/>
      <c r="YH10" s="337"/>
      <c r="YI10" s="337"/>
      <c r="YJ10" s="337"/>
      <c r="YK10" s="337"/>
      <c r="YL10" s="337"/>
      <c r="YM10" s="337"/>
      <c r="YN10" s="337"/>
      <c r="YO10" s="337"/>
      <c r="YP10" s="337"/>
      <c r="YQ10" s="337"/>
      <c r="YR10" s="337"/>
      <c r="YS10" s="337"/>
      <c r="YT10" s="337"/>
      <c r="YU10" s="337"/>
      <c r="YV10" s="337"/>
      <c r="YW10" s="337"/>
      <c r="YX10" s="337"/>
      <c r="YY10" s="337"/>
      <c r="YZ10" s="337"/>
      <c r="ZA10" s="337"/>
      <c r="ZB10" s="337"/>
      <c r="ZC10" s="337"/>
      <c r="ZD10" s="337"/>
      <c r="ZE10" s="337"/>
      <c r="ZF10" s="337"/>
      <c r="ZG10" s="337"/>
      <c r="ZH10" s="337"/>
      <c r="ZI10" s="337"/>
      <c r="ZJ10" s="337"/>
      <c r="ZK10" s="337"/>
      <c r="ZL10" s="337"/>
      <c r="ZM10" s="337"/>
      <c r="ZN10" s="337"/>
      <c r="ZO10" s="337"/>
      <c r="ZP10" s="337"/>
      <c r="ZQ10" s="337"/>
      <c r="ZR10" s="337"/>
      <c r="ZS10" s="337"/>
      <c r="ZT10" s="337"/>
      <c r="ZU10" s="337"/>
      <c r="ZV10" s="337"/>
      <c r="ZW10" s="337"/>
      <c r="ZX10" s="337"/>
      <c r="ZY10" s="337"/>
      <c r="ZZ10" s="337"/>
      <c r="AAA10" s="337"/>
      <c r="AAB10" s="337"/>
      <c r="AAC10" s="337"/>
      <c r="AAD10" s="337"/>
      <c r="AAE10" s="337"/>
      <c r="AAF10" s="337"/>
      <c r="AAG10" s="337"/>
      <c r="AAH10" s="337"/>
      <c r="AAI10" s="337"/>
      <c r="AAJ10" s="337"/>
      <c r="AAK10" s="337"/>
      <c r="AAL10" s="337"/>
      <c r="AAM10" s="337"/>
      <c r="AAN10" s="337"/>
      <c r="AAO10" s="337"/>
      <c r="AAP10" s="337"/>
      <c r="AAQ10" s="337"/>
      <c r="AAR10" s="337"/>
      <c r="AAS10" s="337"/>
      <c r="AAT10" s="337"/>
      <c r="AAU10" s="337"/>
      <c r="AAV10" s="337"/>
      <c r="AAW10" s="337"/>
      <c r="AAX10" s="337"/>
      <c r="AAY10" s="337"/>
      <c r="AAZ10" s="337"/>
      <c r="ABA10" s="337"/>
      <c r="ABB10" s="337"/>
      <c r="ABC10" s="337"/>
      <c r="ABD10" s="337"/>
      <c r="ABE10" s="337"/>
      <c r="ABF10" s="337"/>
      <c r="ABG10" s="337"/>
      <c r="ABH10" s="337"/>
      <c r="ABI10" s="337"/>
      <c r="ABJ10" s="337"/>
      <c r="ABK10" s="337"/>
      <c r="ABL10" s="337"/>
      <c r="ABM10" s="337"/>
      <c r="ABN10" s="337"/>
      <c r="ABO10" s="337"/>
      <c r="ABP10" s="337"/>
      <c r="ABQ10" s="337"/>
      <c r="ABR10" s="337"/>
      <c r="ABS10" s="337"/>
      <c r="ABT10" s="337"/>
      <c r="ABU10" s="337"/>
      <c r="ABV10" s="337"/>
      <c r="ABW10" s="337"/>
      <c r="ABX10" s="337"/>
      <c r="ABY10" s="337"/>
      <c r="ABZ10" s="337"/>
      <c r="ACA10" s="337"/>
      <c r="ACB10" s="337"/>
      <c r="ACC10" s="337"/>
      <c r="ACD10" s="337"/>
      <c r="ACE10" s="337"/>
      <c r="ACF10" s="337"/>
      <c r="ACG10" s="337"/>
      <c r="ACH10" s="337"/>
      <c r="ACI10" s="337"/>
      <c r="ACJ10" s="337"/>
      <c r="ACK10" s="337"/>
      <c r="ACL10" s="337"/>
      <c r="ACM10" s="337"/>
      <c r="ACN10" s="337"/>
      <c r="ACO10" s="337"/>
      <c r="ACP10" s="337"/>
      <c r="ACQ10" s="337"/>
      <c r="ACR10" s="337"/>
      <c r="ACS10" s="337"/>
      <c r="ACT10" s="337"/>
      <c r="ACU10" s="337"/>
      <c r="ACV10" s="337"/>
      <c r="ACW10" s="337"/>
      <c r="ACX10" s="337"/>
      <c r="ACY10" s="337"/>
      <c r="ACZ10" s="337"/>
      <c r="ADA10" s="337"/>
      <c r="ADB10" s="337"/>
      <c r="ADC10" s="337"/>
      <c r="ADD10" s="337"/>
      <c r="ADE10" s="337"/>
      <c r="ADF10" s="337"/>
      <c r="ADG10" s="337"/>
      <c r="ADH10" s="337"/>
      <c r="ADI10" s="337"/>
      <c r="ADJ10" s="337"/>
      <c r="ADK10" s="337"/>
      <c r="ADL10" s="337"/>
      <c r="ADM10" s="337"/>
      <c r="ADN10" s="337"/>
      <c r="ADO10" s="337"/>
      <c r="ADP10" s="337"/>
      <c r="ADQ10" s="337"/>
      <c r="ADR10" s="337"/>
      <c r="ADS10" s="337"/>
      <c r="ADT10" s="337"/>
      <c r="ADU10" s="337"/>
      <c r="ADV10" s="337"/>
      <c r="ADW10" s="337"/>
      <c r="ADX10" s="337"/>
      <c r="ADY10" s="337"/>
      <c r="ADZ10" s="337"/>
      <c r="AEA10" s="337"/>
      <c r="AEB10" s="337"/>
      <c r="AEC10" s="337"/>
      <c r="AED10" s="337"/>
      <c r="AEE10" s="337"/>
      <c r="AEF10" s="337"/>
      <c r="AEG10" s="337"/>
      <c r="AEH10" s="337"/>
      <c r="AEI10" s="337"/>
      <c r="AEJ10" s="337"/>
      <c r="AEK10" s="337"/>
      <c r="AEL10" s="337"/>
      <c r="AEM10" s="337"/>
      <c r="AEN10" s="337"/>
      <c r="AEO10" s="337"/>
      <c r="AEP10" s="337"/>
      <c r="AEQ10" s="337"/>
      <c r="AER10" s="337"/>
      <c r="AES10" s="337"/>
      <c r="AET10" s="337"/>
      <c r="AEU10" s="337"/>
      <c r="AEV10" s="337"/>
      <c r="AEW10" s="337"/>
      <c r="AEX10" s="337"/>
      <c r="AEY10" s="337"/>
      <c r="AEZ10" s="337"/>
      <c r="AFA10" s="337"/>
      <c r="AFB10" s="337"/>
      <c r="AFC10" s="337"/>
      <c r="AFD10" s="337"/>
      <c r="AFE10" s="337"/>
      <c r="AFF10" s="337"/>
      <c r="AFG10" s="337"/>
      <c r="AFH10" s="337"/>
      <c r="AFI10" s="337"/>
      <c r="AFJ10" s="337"/>
      <c r="AFK10" s="337"/>
      <c r="AFL10" s="337"/>
      <c r="AFM10" s="337"/>
      <c r="AFN10" s="337"/>
      <c r="AFO10" s="337"/>
      <c r="AFP10" s="337"/>
      <c r="AFQ10" s="337"/>
      <c r="AFR10" s="337"/>
      <c r="AFS10" s="337"/>
      <c r="AFT10" s="337"/>
      <c r="AFU10" s="337"/>
      <c r="AFV10" s="337"/>
      <c r="AFW10" s="337"/>
      <c r="AFX10" s="337"/>
      <c r="AFY10" s="337"/>
      <c r="AFZ10" s="337"/>
      <c r="AGA10" s="337"/>
      <c r="AGB10" s="337"/>
      <c r="AGC10" s="337"/>
      <c r="AGD10" s="337"/>
      <c r="AGE10" s="337"/>
      <c r="AGF10" s="337"/>
      <c r="AGG10" s="337"/>
      <c r="AGH10" s="337"/>
      <c r="AGI10" s="337"/>
      <c r="AGJ10" s="337"/>
      <c r="AGK10" s="337"/>
      <c r="AGL10" s="337"/>
      <c r="AGM10" s="337"/>
      <c r="AGN10" s="337"/>
      <c r="AGO10" s="337"/>
      <c r="AGP10" s="337"/>
      <c r="AGQ10" s="337"/>
      <c r="AGR10" s="337"/>
      <c r="AGS10" s="337"/>
      <c r="AGT10" s="337"/>
      <c r="AGU10" s="337"/>
      <c r="AGV10" s="337"/>
      <c r="AGW10" s="337"/>
      <c r="AGX10" s="337"/>
      <c r="AGY10" s="337"/>
      <c r="AGZ10" s="337"/>
      <c r="AHA10" s="337"/>
      <c r="AHB10" s="337"/>
      <c r="AHC10" s="337"/>
      <c r="AHD10" s="337"/>
      <c r="AHE10" s="337"/>
      <c r="AHF10" s="337"/>
      <c r="AHG10" s="337"/>
      <c r="AHH10" s="337"/>
      <c r="AHI10" s="337"/>
      <c r="AHJ10" s="337"/>
      <c r="AHK10" s="337"/>
      <c r="AHL10" s="337"/>
      <c r="AHM10" s="337"/>
      <c r="AHN10" s="337"/>
      <c r="AHO10" s="337"/>
      <c r="AHP10" s="337"/>
      <c r="AHQ10" s="337"/>
      <c r="AHR10" s="337"/>
      <c r="AHS10" s="337"/>
      <c r="AHT10" s="337"/>
      <c r="AHU10" s="337"/>
      <c r="AHV10" s="337"/>
      <c r="AHW10" s="337"/>
      <c r="AHX10" s="337"/>
      <c r="AHY10" s="337"/>
      <c r="AHZ10" s="337"/>
      <c r="AIA10" s="337"/>
      <c r="AIB10" s="337"/>
      <c r="AIC10" s="337"/>
      <c r="AID10" s="337"/>
      <c r="AIE10" s="337"/>
      <c r="AIF10" s="337"/>
      <c r="AIG10" s="337"/>
      <c r="AIH10" s="337"/>
      <c r="AII10" s="337"/>
      <c r="AIJ10" s="337"/>
      <c r="AIK10" s="337"/>
      <c r="AIL10" s="337"/>
      <c r="AIM10" s="337"/>
      <c r="AIN10" s="337"/>
      <c r="AIO10" s="337"/>
      <c r="AIP10" s="337"/>
      <c r="AIQ10" s="337"/>
      <c r="AIR10" s="337"/>
      <c r="AIS10" s="337"/>
      <c r="AIT10" s="337"/>
      <c r="AIU10" s="337"/>
      <c r="AIV10" s="337"/>
      <c r="AIW10" s="337"/>
      <c r="AIX10" s="337"/>
      <c r="AIY10" s="337"/>
      <c r="AIZ10" s="337"/>
      <c r="AJA10" s="337"/>
      <c r="AJB10" s="337"/>
      <c r="AJC10" s="337"/>
      <c r="AJD10" s="337"/>
      <c r="AJE10" s="337"/>
      <c r="AJF10" s="337"/>
      <c r="AJG10" s="337"/>
      <c r="AJH10" s="337"/>
      <c r="AJI10" s="337"/>
      <c r="AJJ10" s="337"/>
      <c r="AJK10" s="337"/>
      <c r="AJL10" s="337"/>
      <c r="AJM10" s="337"/>
      <c r="AJN10" s="337"/>
      <c r="AJO10" s="337"/>
      <c r="AJP10" s="337"/>
      <c r="AJQ10" s="337"/>
      <c r="AJR10" s="337"/>
      <c r="AJS10" s="337"/>
      <c r="AJT10" s="337"/>
      <c r="AJU10" s="337"/>
      <c r="AJV10" s="337"/>
      <c r="AJW10" s="337"/>
      <c r="AJX10" s="337"/>
      <c r="AJY10" s="337"/>
      <c r="AJZ10" s="337"/>
      <c r="AKA10" s="337"/>
      <c r="AKB10" s="337"/>
      <c r="AKC10" s="337"/>
      <c r="AKD10" s="337"/>
      <c r="AKE10" s="337"/>
      <c r="AKF10" s="337"/>
      <c r="AKG10" s="337"/>
      <c r="AKH10" s="337"/>
      <c r="AKI10" s="337"/>
      <c r="AKJ10" s="337"/>
      <c r="AKK10" s="337"/>
      <c r="AKL10" s="337"/>
      <c r="AKM10" s="337"/>
      <c r="AKN10" s="337"/>
      <c r="AKO10" s="337"/>
      <c r="AKP10" s="337"/>
      <c r="AKQ10" s="337"/>
      <c r="AKR10" s="337"/>
      <c r="AKS10" s="337"/>
      <c r="AKT10" s="337"/>
      <c r="AKU10" s="337"/>
      <c r="AKV10" s="337"/>
      <c r="AKW10" s="337"/>
      <c r="AKX10" s="337"/>
      <c r="AKY10" s="337"/>
      <c r="AKZ10" s="337"/>
      <c r="ALA10" s="337"/>
      <c r="ALB10" s="337"/>
      <c r="ALC10" s="337"/>
      <c r="ALD10" s="337"/>
      <c r="ALE10" s="337"/>
      <c r="ALF10" s="337"/>
      <c r="ALG10" s="337"/>
      <c r="ALH10" s="337"/>
      <c r="ALI10" s="337"/>
      <c r="ALJ10" s="337"/>
      <c r="ALK10" s="337"/>
      <c r="ALL10" s="337"/>
      <c r="ALM10" s="337"/>
      <c r="ALN10" s="337"/>
      <c r="ALO10" s="337"/>
      <c r="ALP10" s="337"/>
      <c r="ALQ10" s="337"/>
      <c r="ALR10" s="337"/>
      <c r="ALS10" s="337"/>
      <c r="ALT10" s="337"/>
      <c r="ALU10" s="337"/>
      <c r="ALV10" s="337"/>
      <c r="ALW10" s="337"/>
      <c r="ALX10" s="337"/>
      <c r="ALY10" s="337"/>
      <c r="ALZ10" s="337"/>
      <c r="AMA10" s="337"/>
      <c r="AMB10" s="337"/>
      <c r="AMC10" s="337"/>
      <c r="AMD10" s="337"/>
      <c r="AME10" s="337"/>
      <c r="AMF10" s="337"/>
      <c r="AMG10" s="337"/>
      <c r="AMH10" s="337"/>
      <c r="AMI10" s="337"/>
    </row>
    <row r="11" ht="17.4" customHeight="1" spans="1:10" x14ac:dyDescent="0.25">
      <c r="A11" s="145"/>
      <c r="B11" s="351" t="s">
        <v>833</v>
      </c>
      <c r="C11" s="351"/>
      <c r="D11" s="351"/>
      <c r="E11" s="351"/>
      <c r="F11" s="351"/>
      <c r="G11" s="351"/>
      <c r="H11" s="351"/>
      <c r="I11" s="351"/>
      <c r="J11" s="351"/>
    </row>
    <row r="12" ht="17.5" customHeight="1" spans="1:10" x14ac:dyDescent="0.25">
      <c r="A12" s="145" t="s">
        <v>891</v>
      </c>
      <c r="B12" s="352">
        <v>0</v>
      </c>
      <c r="C12" s="369">
        <v>0</v>
      </c>
      <c r="D12" s="369">
        <v>0</v>
      </c>
      <c r="E12" s="369">
        <v>0</v>
      </c>
      <c r="F12" s="369">
        <v>0</v>
      </c>
      <c r="G12" s="369">
        <v>0</v>
      </c>
      <c r="H12" s="369">
        <v>0</v>
      </c>
      <c r="I12" s="369">
        <v>0</v>
      </c>
      <c r="J12" s="354"/>
    </row>
    <row r="13" ht="17.5" customHeight="1" spans="1:10" x14ac:dyDescent="0.25">
      <c r="A13" s="145" t="s">
        <v>892</v>
      </c>
      <c r="B13" s="352">
        <v>0.2</v>
      </c>
      <c r="C13" s="369">
        <v>0</v>
      </c>
      <c r="D13" s="369">
        <v>0</v>
      </c>
      <c r="E13" s="369">
        <v>0</v>
      </c>
      <c r="F13" s="369">
        <v>0</v>
      </c>
      <c r="G13" s="369">
        <v>0</v>
      </c>
      <c r="H13" s="369">
        <v>0</v>
      </c>
      <c r="I13" s="369">
        <v>0</v>
      </c>
      <c r="J13" s="369">
        <v>0</v>
      </c>
    </row>
    <row r="14" ht="17.5" customHeight="1" spans="1:10" x14ac:dyDescent="0.25">
      <c r="A14" s="145" t="s">
        <v>893</v>
      </c>
      <c r="B14" s="352">
        <v>0.5</v>
      </c>
      <c r="C14" s="369">
        <v>0</v>
      </c>
      <c r="D14" s="369">
        <v>0</v>
      </c>
      <c r="E14" s="369">
        <v>0</v>
      </c>
      <c r="F14" s="369">
        <v>0</v>
      </c>
      <c r="G14" s="369">
        <v>0</v>
      </c>
      <c r="H14" s="369">
        <v>0</v>
      </c>
      <c r="I14" s="369">
        <v>0</v>
      </c>
      <c r="J14" s="369">
        <v>0</v>
      </c>
    </row>
    <row r="15" ht="17.5" customHeight="1" spans="1:10" x14ac:dyDescent="0.25">
      <c r="A15" s="145" t="s">
        <v>894</v>
      </c>
      <c r="B15" s="352">
        <v>1</v>
      </c>
      <c r="C15" s="369">
        <v>0</v>
      </c>
      <c r="D15" s="369">
        <v>0</v>
      </c>
      <c r="E15" s="369">
        <v>0</v>
      </c>
      <c r="F15" s="369">
        <v>0</v>
      </c>
      <c r="G15" s="369">
        <v>0</v>
      </c>
      <c r="H15" s="369">
        <v>0</v>
      </c>
      <c r="I15" s="369">
        <v>0</v>
      </c>
      <c r="J15" s="369">
        <v>0</v>
      </c>
    </row>
    <row r="16" ht="17.5" customHeight="1" spans="1:10" x14ac:dyDescent="0.25">
      <c r="A16" s="145" t="s">
        <v>895</v>
      </c>
      <c r="B16" s="352">
        <v>1.5</v>
      </c>
      <c r="C16" s="369">
        <v>0</v>
      </c>
      <c r="D16" s="369">
        <v>0</v>
      </c>
      <c r="E16" s="369">
        <v>0</v>
      </c>
      <c r="F16" s="369">
        <v>0</v>
      </c>
      <c r="G16" s="369">
        <v>0</v>
      </c>
      <c r="H16" s="369">
        <v>0</v>
      </c>
      <c r="I16" s="369">
        <v>0</v>
      </c>
      <c r="J16" s="369">
        <v>0</v>
      </c>
    </row>
    <row r="17" ht="18" customHeight="1" spans="1:10" s="337" customFormat="1" x14ac:dyDescent="0.25">
      <c r="A17" s="145" t="s">
        <v>896</v>
      </c>
      <c r="B17" s="57" t="s">
        <v>520</v>
      </c>
      <c r="C17" s="370">
        <v>0</v>
      </c>
      <c r="D17" s="370">
        <v>0</v>
      </c>
      <c r="E17" s="370">
        <v>0</v>
      </c>
      <c r="F17" s="370">
        <v>0</v>
      </c>
      <c r="G17" s="370">
        <v>0</v>
      </c>
      <c r="H17" s="370">
        <v>0</v>
      </c>
      <c r="I17" s="370">
        <v>0</v>
      </c>
      <c r="J17" s="370">
        <v>0</v>
      </c>
    </row>
    <row r="18" ht="9" customHeight="1" spans="1:10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</row>
    <row r="19" ht="18" customHeight="1" spans="1:10" x14ac:dyDescent="0.25">
      <c r="A19" s="357"/>
      <c r="B19" s="157" t="s">
        <v>840</v>
      </c>
      <c r="C19" s="183"/>
      <c r="D19" s="183"/>
      <c r="E19" s="183"/>
      <c r="F19" s="183"/>
      <c r="G19" s="183"/>
      <c r="H19" s="183"/>
      <c r="I19" s="183"/>
      <c r="J19" s="358"/>
    </row>
    <row r="20" ht="17.5" customHeight="1" spans="1:10" x14ac:dyDescent="0.25">
      <c r="A20" s="145" t="s">
        <v>897</v>
      </c>
      <c r="B20" s="352">
        <v>0</v>
      </c>
      <c r="C20" s="369">
        <v>0</v>
      </c>
      <c r="D20" s="369">
        <v>0</v>
      </c>
      <c r="E20" s="369">
        <v>0</v>
      </c>
      <c r="F20" s="369">
        <v>0</v>
      </c>
      <c r="G20" s="369">
        <v>0</v>
      </c>
      <c r="H20" s="369">
        <v>0</v>
      </c>
      <c r="I20" s="369">
        <v>0</v>
      </c>
      <c r="J20" s="354"/>
    </row>
    <row r="21" ht="17.5" customHeight="1" spans="1:10" x14ac:dyDescent="0.25">
      <c r="A21" s="145" t="s">
        <v>898</v>
      </c>
      <c r="B21" s="352">
        <v>0.2</v>
      </c>
      <c r="C21" s="369">
        <v>0</v>
      </c>
      <c r="D21" s="369">
        <v>0</v>
      </c>
      <c r="E21" s="369">
        <v>0</v>
      </c>
      <c r="F21" s="369">
        <v>0</v>
      </c>
      <c r="G21" s="369">
        <v>0</v>
      </c>
      <c r="H21" s="369">
        <v>0</v>
      </c>
      <c r="I21" s="369">
        <v>0</v>
      </c>
      <c r="J21" s="369">
        <v>0</v>
      </c>
    </row>
    <row r="22" ht="17.5" customHeight="1" spans="1:10" x14ac:dyDescent="0.25">
      <c r="A22" s="145" t="s">
        <v>899</v>
      </c>
      <c r="B22" s="352">
        <v>0.5</v>
      </c>
      <c r="C22" s="369">
        <v>0</v>
      </c>
      <c r="D22" s="369">
        <v>0</v>
      </c>
      <c r="E22" s="369">
        <v>0</v>
      </c>
      <c r="F22" s="369">
        <v>0</v>
      </c>
      <c r="G22" s="369">
        <v>0</v>
      </c>
      <c r="H22" s="369">
        <v>0</v>
      </c>
      <c r="I22" s="369">
        <v>0</v>
      </c>
      <c r="J22" s="369">
        <v>0</v>
      </c>
    </row>
    <row r="23" ht="17.5" customHeight="1" spans="1:10" x14ac:dyDescent="0.25">
      <c r="A23" s="145" t="s">
        <v>900</v>
      </c>
      <c r="B23" s="352">
        <v>1</v>
      </c>
      <c r="C23" s="369">
        <v>0</v>
      </c>
      <c r="D23" s="369">
        <v>0</v>
      </c>
      <c r="E23" s="369">
        <v>0</v>
      </c>
      <c r="F23" s="369">
        <v>0</v>
      </c>
      <c r="G23" s="369">
        <v>0</v>
      </c>
      <c r="H23" s="369">
        <v>0</v>
      </c>
      <c r="I23" s="369">
        <v>0</v>
      </c>
      <c r="J23" s="369">
        <v>0</v>
      </c>
    </row>
    <row r="24" ht="17.5" customHeight="1" spans="1:10" x14ac:dyDescent="0.25">
      <c r="A24" s="145" t="s">
        <v>901</v>
      </c>
      <c r="B24" s="352">
        <v>1.5</v>
      </c>
      <c r="C24" s="369">
        <v>0</v>
      </c>
      <c r="D24" s="369">
        <v>0</v>
      </c>
      <c r="E24" s="369">
        <v>0</v>
      </c>
      <c r="F24" s="369">
        <v>0</v>
      </c>
      <c r="G24" s="369">
        <v>0</v>
      </c>
      <c r="H24" s="369">
        <v>0</v>
      </c>
      <c r="I24" s="369">
        <v>0</v>
      </c>
      <c r="J24" s="369">
        <v>0</v>
      </c>
    </row>
    <row r="25" ht="18" customHeight="1" spans="1:10" s="337" customFormat="1" x14ac:dyDescent="0.25">
      <c r="A25" s="145" t="s">
        <v>902</v>
      </c>
      <c r="B25" s="57" t="s">
        <v>520</v>
      </c>
      <c r="C25" s="370">
        <v>0</v>
      </c>
      <c r="D25" s="370">
        <v>0</v>
      </c>
      <c r="E25" s="370">
        <v>0</v>
      </c>
      <c r="F25" s="370">
        <v>0</v>
      </c>
      <c r="G25" s="370">
        <v>0</v>
      </c>
      <c r="H25" s="370">
        <v>0</v>
      </c>
      <c r="I25" s="370">
        <v>0</v>
      </c>
      <c r="J25" s="370">
        <v>0</v>
      </c>
    </row>
    <row r="26" ht="9" customHeight="1" spans="1:10" x14ac:dyDescent="0.25">
      <c r="A26" s="356"/>
      <c r="B26" s="356"/>
      <c r="C26" s="356"/>
      <c r="D26" s="356"/>
      <c r="E26" s="356"/>
      <c r="F26" s="356"/>
      <c r="G26" s="356"/>
      <c r="H26" s="356"/>
      <c r="I26" s="356"/>
      <c r="J26" s="356"/>
    </row>
    <row r="27" ht="18" customHeight="1" spans="1:10" x14ac:dyDescent="0.25">
      <c r="A27" s="357"/>
      <c r="B27" s="157" t="s">
        <v>847</v>
      </c>
      <c r="C27" s="183"/>
      <c r="D27" s="183"/>
      <c r="E27" s="183"/>
      <c r="F27" s="183"/>
      <c r="G27" s="183"/>
      <c r="H27" s="183"/>
      <c r="I27" s="183"/>
      <c r="J27" s="358"/>
    </row>
    <row r="28" ht="17.5" customHeight="1" spans="1:10" x14ac:dyDescent="0.25">
      <c r="A28" s="145" t="s">
        <v>903</v>
      </c>
      <c r="B28" s="352">
        <v>0</v>
      </c>
      <c r="C28" s="369">
        <v>0</v>
      </c>
      <c r="D28" s="369">
        <v>0</v>
      </c>
      <c r="E28" s="369">
        <v>0</v>
      </c>
      <c r="F28" s="369">
        <v>0</v>
      </c>
      <c r="G28" s="369">
        <v>0</v>
      </c>
      <c r="H28" s="369">
        <v>0</v>
      </c>
      <c r="I28" s="369">
        <v>0</v>
      </c>
      <c r="J28" s="354"/>
    </row>
    <row r="29" ht="17.5" customHeight="1" spans="1:10" x14ac:dyDescent="0.25">
      <c r="A29" s="145" t="s">
        <v>904</v>
      </c>
      <c r="B29" s="352">
        <v>0.2</v>
      </c>
      <c r="C29" s="369">
        <v>0</v>
      </c>
      <c r="D29" s="369">
        <v>0</v>
      </c>
      <c r="E29" s="369">
        <v>0</v>
      </c>
      <c r="F29" s="369">
        <v>0</v>
      </c>
      <c r="G29" s="369">
        <v>0</v>
      </c>
      <c r="H29" s="369">
        <v>0</v>
      </c>
      <c r="I29" s="369">
        <v>0</v>
      </c>
      <c r="J29" s="369">
        <v>0</v>
      </c>
    </row>
    <row r="30" ht="17.5" customHeight="1" spans="1:10" x14ac:dyDescent="0.25">
      <c r="A30" s="145" t="s">
        <v>905</v>
      </c>
      <c r="B30" s="352">
        <v>0.5</v>
      </c>
      <c r="C30" s="369">
        <v>0</v>
      </c>
      <c r="D30" s="369">
        <v>0</v>
      </c>
      <c r="E30" s="369">
        <v>0</v>
      </c>
      <c r="F30" s="369">
        <v>0</v>
      </c>
      <c r="G30" s="369">
        <v>0</v>
      </c>
      <c r="H30" s="369">
        <v>0</v>
      </c>
      <c r="I30" s="369">
        <v>0</v>
      </c>
      <c r="J30" s="369">
        <v>0</v>
      </c>
    </row>
    <row r="31" ht="17.5" customHeight="1" spans="1:10" x14ac:dyDescent="0.25">
      <c r="A31" s="145" t="s">
        <v>906</v>
      </c>
      <c r="B31" s="352">
        <v>1</v>
      </c>
      <c r="C31" s="369">
        <v>0</v>
      </c>
      <c r="D31" s="369">
        <v>0</v>
      </c>
      <c r="E31" s="369">
        <v>0</v>
      </c>
      <c r="F31" s="369">
        <v>0</v>
      </c>
      <c r="G31" s="369">
        <v>0</v>
      </c>
      <c r="H31" s="369">
        <v>0</v>
      </c>
      <c r="I31" s="369">
        <v>0</v>
      </c>
      <c r="J31" s="369">
        <v>0</v>
      </c>
    </row>
    <row r="32" ht="17.5" customHeight="1" spans="1:10" x14ac:dyDescent="0.25">
      <c r="A32" s="145" t="s">
        <v>907</v>
      </c>
      <c r="B32" s="352">
        <v>1.5</v>
      </c>
      <c r="C32" s="369">
        <v>0</v>
      </c>
      <c r="D32" s="369">
        <v>0</v>
      </c>
      <c r="E32" s="369">
        <v>0</v>
      </c>
      <c r="F32" s="369">
        <v>0</v>
      </c>
      <c r="G32" s="369">
        <v>0</v>
      </c>
      <c r="H32" s="369">
        <v>0</v>
      </c>
      <c r="I32" s="369">
        <v>0</v>
      </c>
      <c r="J32" s="369">
        <v>0</v>
      </c>
    </row>
    <row r="33" ht="18" customHeight="1" spans="1:10" s="337" customFormat="1" x14ac:dyDescent="0.25">
      <c r="A33" s="145" t="s">
        <v>908</v>
      </c>
      <c r="B33" s="57" t="s">
        <v>520</v>
      </c>
      <c r="C33" s="370">
        <v>0</v>
      </c>
      <c r="D33" s="370">
        <v>0</v>
      </c>
      <c r="E33" s="370">
        <v>0</v>
      </c>
      <c r="F33" s="370">
        <v>0</v>
      </c>
      <c r="G33" s="370">
        <v>0</v>
      </c>
      <c r="H33" s="370">
        <v>0</v>
      </c>
      <c r="I33" s="370">
        <v>0</v>
      </c>
      <c r="J33" s="370">
        <v>0</v>
      </c>
    </row>
    <row r="34" ht="9" customHeight="1" spans="1:10" x14ac:dyDescent="0.25">
      <c r="A34" s="356"/>
      <c r="B34" s="356"/>
      <c r="C34" s="356"/>
      <c r="D34" s="356"/>
      <c r="E34" s="356"/>
      <c r="F34" s="356"/>
      <c r="G34" s="356"/>
      <c r="H34" s="356"/>
      <c r="I34" s="356"/>
      <c r="J34" s="356"/>
    </row>
    <row r="35" ht="18" customHeight="1" spans="1:10" x14ac:dyDescent="0.25">
      <c r="A35" s="357"/>
      <c r="B35" s="157" t="s">
        <v>854</v>
      </c>
      <c r="C35" s="183"/>
      <c r="D35" s="183"/>
      <c r="E35" s="183"/>
      <c r="F35" s="183"/>
      <c r="G35" s="183"/>
      <c r="H35" s="183"/>
      <c r="I35" s="183"/>
      <c r="J35" s="358"/>
    </row>
    <row r="36" ht="17.5" customHeight="1" spans="1:10" x14ac:dyDescent="0.25">
      <c r="A36" s="145" t="s">
        <v>909</v>
      </c>
      <c r="B36" s="352">
        <v>0</v>
      </c>
      <c r="C36" s="369">
        <v>0</v>
      </c>
      <c r="D36" s="369">
        <v>0</v>
      </c>
      <c r="E36" s="369">
        <v>0</v>
      </c>
      <c r="F36" s="369">
        <v>0</v>
      </c>
      <c r="G36" s="369">
        <v>0</v>
      </c>
      <c r="H36" s="369">
        <v>0</v>
      </c>
      <c r="I36" s="369">
        <v>0</v>
      </c>
      <c r="J36" s="354"/>
    </row>
    <row r="37" ht="17.5" customHeight="1" spans="1:10" x14ac:dyDescent="0.25">
      <c r="A37" s="145" t="s">
        <v>910</v>
      </c>
      <c r="B37" s="352">
        <v>0.2</v>
      </c>
      <c r="C37" s="369">
        <v>0</v>
      </c>
      <c r="D37" s="369">
        <v>0</v>
      </c>
      <c r="E37" s="369">
        <v>0</v>
      </c>
      <c r="F37" s="369">
        <v>0</v>
      </c>
      <c r="G37" s="369">
        <v>0</v>
      </c>
      <c r="H37" s="369">
        <v>0</v>
      </c>
      <c r="I37" s="369">
        <v>0</v>
      </c>
      <c r="J37" s="369">
        <v>0</v>
      </c>
    </row>
    <row r="38" ht="17.5" customHeight="1" spans="1:10" x14ac:dyDescent="0.25">
      <c r="A38" s="145" t="s">
        <v>911</v>
      </c>
      <c r="B38" s="352">
        <v>0.5</v>
      </c>
      <c r="C38" s="369">
        <v>0</v>
      </c>
      <c r="D38" s="369">
        <v>0</v>
      </c>
      <c r="E38" s="369">
        <v>0</v>
      </c>
      <c r="F38" s="369">
        <v>0</v>
      </c>
      <c r="G38" s="369">
        <v>0</v>
      </c>
      <c r="H38" s="369">
        <v>0</v>
      </c>
      <c r="I38" s="369">
        <v>0</v>
      </c>
      <c r="J38" s="369">
        <v>0</v>
      </c>
    </row>
    <row r="39" ht="17.5" customHeight="1" spans="1:10" x14ac:dyDescent="0.25">
      <c r="A39" s="145" t="s">
        <v>912</v>
      </c>
      <c r="B39" s="352">
        <v>1</v>
      </c>
      <c r="C39" s="369">
        <v>0</v>
      </c>
      <c r="D39" s="369">
        <v>0</v>
      </c>
      <c r="E39" s="369">
        <v>0</v>
      </c>
      <c r="F39" s="369">
        <v>0</v>
      </c>
      <c r="G39" s="369">
        <v>0</v>
      </c>
      <c r="H39" s="369">
        <v>0</v>
      </c>
      <c r="I39" s="369">
        <v>0</v>
      </c>
      <c r="J39" s="369">
        <v>0</v>
      </c>
    </row>
    <row r="40" ht="17.5" customHeight="1" spans="1:10" x14ac:dyDescent="0.25">
      <c r="A40" s="145" t="s">
        <v>913</v>
      </c>
      <c r="B40" s="352">
        <v>1.5</v>
      </c>
      <c r="C40" s="369">
        <v>0</v>
      </c>
      <c r="D40" s="369">
        <v>0</v>
      </c>
      <c r="E40" s="369">
        <v>0</v>
      </c>
      <c r="F40" s="369">
        <v>0</v>
      </c>
      <c r="G40" s="369">
        <v>0</v>
      </c>
      <c r="H40" s="369">
        <v>0</v>
      </c>
      <c r="I40" s="369">
        <v>0</v>
      </c>
      <c r="J40" s="369">
        <v>0</v>
      </c>
    </row>
    <row r="41" ht="18" customHeight="1" spans="1:10" s="337" customFormat="1" x14ac:dyDescent="0.25">
      <c r="A41" s="145" t="s">
        <v>914</v>
      </c>
      <c r="B41" s="57" t="s">
        <v>520</v>
      </c>
      <c r="C41" s="370">
        <v>0</v>
      </c>
      <c r="D41" s="370">
        <v>0</v>
      </c>
      <c r="E41" s="370">
        <v>0</v>
      </c>
      <c r="F41" s="370">
        <v>0</v>
      </c>
      <c r="G41" s="370">
        <v>0</v>
      </c>
      <c r="H41" s="370">
        <v>0</v>
      </c>
      <c r="I41" s="370">
        <v>0</v>
      </c>
      <c r="J41" s="370">
        <v>0</v>
      </c>
    </row>
    <row r="42" ht="9" customHeight="1" spans="1:10" x14ac:dyDescent="0.25">
      <c r="A42" s="362"/>
      <c r="B42" s="362"/>
      <c r="C42" s="362"/>
      <c r="D42" s="362"/>
      <c r="E42" s="362"/>
      <c r="F42" s="362"/>
      <c r="G42" s="362"/>
      <c r="H42" s="362"/>
      <c r="I42" s="362"/>
      <c r="J42" s="362"/>
    </row>
    <row r="43" ht="18" customHeight="1" spans="1:10" s="337" customFormat="1" x14ac:dyDescent="0.25">
      <c r="A43" s="252" t="s">
        <v>653</v>
      </c>
      <c r="B43" s="363" t="s">
        <v>915</v>
      </c>
      <c r="C43" s="369">
        <v>0</v>
      </c>
      <c r="D43" s="369">
        <v>0</v>
      </c>
      <c r="E43" s="369">
        <v>0</v>
      </c>
      <c r="F43" s="369">
        <v>0</v>
      </c>
      <c r="G43" s="369">
        <v>0</v>
      </c>
      <c r="H43" s="369">
        <v>0</v>
      </c>
      <c r="I43" s="369">
        <v>0</v>
      </c>
      <c r="J43" s="369">
        <v>0</v>
      </c>
    </row>
    <row r="44" ht="9" customHeight="1" spans="2:10" x14ac:dyDescent="0.25">
      <c r="B44" s="317"/>
      <c r="C44" s="317"/>
      <c r="D44" s="317"/>
      <c r="E44" s="317"/>
      <c r="F44" s="317"/>
      <c r="G44" s="317"/>
      <c r="H44" s="317"/>
      <c r="I44" s="317"/>
      <c r="J44" s="317"/>
    </row>
    <row r="45" ht="9" customHeight="1" spans="10:10" x14ac:dyDescent="0.25">
      <c r="J45" s="317"/>
    </row>
    <row r="46" ht="9" customHeight="1" spans="10:10" x14ac:dyDescent="0.25">
      <c r="J46" s="317"/>
    </row>
    <row r="47" ht="9" customHeight="1" spans="10:10" x14ac:dyDescent="0.25">
      <c r="J47" s="317"/>
    </row>
    <row r="48" ht="9" customHeight="1" spans="10:10" x14ac:dyDescent="0.25">
      <c r="J48" s="317"/>
    </row>
    <row r="49" ht="9" customHeight="1" s="317" customFormat="1" x14ac:dyDescent="0.25"/>
    <row r="50" ht="9" customHeight="1" s="317" customFormat="1" x14ac:dyDescent="0.25"/>
    <row r="51" ht="9" customHeight="1" s="317" customFormat="1" x14ac:dyDescent="0.25"/>
    <row r="52" ht="9" customHeight="1" s="317" customFormat="1" x14ac:dyDescent="0.25"/>
    <row r="53" ht="9" customHeight="1" s="317" customFormat="1" x14ac:dyDescent="0.25"/>
    <row r="54" ht="9" customHeight="1" s="317" customFormat="1" x14ac:dyDescent="0.25"/>
    <row r="55" ht="9" customHeight="1" s="317" customFormat="1" x14ac:dyDescent="0.25"/>
    <row r="56" ht="9" customHeight="1" s="317" customFormat="1" x14ac:dyDescent="0.25"/>
    <row r="57" ht="9" customHeight="1" s="317" customFormat="1" x14ac:dyDescent="0.25"/>
    <row r="58" ht="9" customHeight="1" s="317" customFormat="1" x14ac:dyDescent="0.25"/>
  </sheetData>
  <sheetProtection sheet="1" algorithmName="SHA-512" hashValue="6IPWIQp1a2aDCjrobNnDOyya66lIjPEsbOG4tspIUjg6o54kqnrsiHACcLgSS85hahGlkke3bKZMG8zduQ0SuA==" saltValue="Utx3pfgGhIeYDXR7+/Ek/A==" spinCount="100000" objects="1" scenarios="1"/>
  <mergeCells count="12">
    <mergeCell ref="B1:I1"/>
    <mergeCell ref="D8:F8"/>
    <mergeCell ref="G8:H8"/>
    <mergeCell ref="A8:A9"/>
    <mergeCell ref="B8:B9"/>
    <mergeCell ref="J8:J9"/>
    <mergeCell ref="B11:J11"/>
    <mergeCell ref="A18:J18"/>
    <mergeCell ref="A26:J26"/>
    <mergeCell ref="A34:J34"/>
    <mergeCell ref="A42:J42"/>
    <mergeCell ref="B44:J44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7" fitToWidth="1" fitToHeight="1" firstPageNumber="1" useFirstPageNumber="1" copies="1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58"/>
  <sheetViews>
    <sheetView workbookViewId="0" zoomScale="60" zoomScaleNormal="60" view="pageBreakPreview">
      <selection activeCell="C31" sqref="C31"/>
    </sheetView>
  </sheetViews>
  <sheetFormatPr defaultRowHeight="9" outlineLevelRow="0" outlineLevelCol="0" x14ac:dyDescent="0" defaultColWidth="10" customHeight="1"/>
  <cols>
    <col min="1" max="1" width="11.08984375" style="317" customWidth="1"/>
    <col min="2" max="2" width="57.36328125" style="317" customWidth="1"/>
    <col min="3" max="6" width="21.26953125" style="317" customWidth="1"/>
    <col min="7" max="8" width="25.90625" style="317" customWidth="1"/>
    <col min="9" max="9" width="21.26953125" style="317" customWidth="1"/>
    <col min="10" max="10" width="21.26953125" style="341" customWidth="1"/>
    <col min="11" max="16384" width="10" style="317" customWidth="1"/>
  </cols>
  <sheetData>
    <row r="1" ht="29.25" customHeight="1" spans="2:12" x14ac:dyDescent="0.25">
      <c r="B1" s="319" t="s">
        <v>916</v>
      </c>
      <c r="C1" s="319"/>
      <c r="D1" s="319"/>
      <c r="E1" s="319"/>
      <c r="F1" s="319"/>
      <c r="G1" s="319"/>
      <c r="H1" s="319"/>
      <c r="I1" s="319"/>
      <c r="J1" s="320" t="s">
        <v>62</v>
      </c>
      <c r="K1" s="323"/>
      <c r="L1" s="323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2:12" x14ac:dyDescent="0.25"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</row>
    <row r="8" ht="15" customHeight="1" spans="1:1025" x14ac:dyDescent="0.25">
      <c r="A8" s="135" t="s">
        <v>113</v>
      </c>
      <c r="B8" s="346" t="s">
        <v>820</v>
      </c>
      <c r="C8" s="347" t="s">
        <v>821</v>
      </c>
      <c r="D8" s="58" t="s">
        <v>822</v>
      </c>
      <c r="E8" s="58"/>
      <c r="F8" s="58"/>
      <c r="G8" s="58" t="s">
        <v>823</v>
      </c>
      <c r="H8" s="58"/>
      <c r="I8" s="135" t="s">
        <v>824</v>
      </c>
      <c r="J8" s="346" t="s">
        <v>825</v>
      </c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2"/>
      <c r="ME8" s="342"/>
      <c r="MF8" s="342"/>
      <c r="MG8" s="342"/>
      <c r="MH8" s="342"/>
      <c r="MI8" s="342"/>
      <c r="MJ8" s="342"/>
      <c r="MK8" s="342"/>
      <c r="ML8" s="342"/>
      <c r="MM8" s="342"/>
      <c r="MN8" s="342"/>
      <c r="MO8" s="342"/>
      <c r="MP8" s="342"/>
      <c r="MQ8" s="342"/>
      <c r="MR8" s="342"/>
      <c r="MS8" s="342"/>
      <c r="MT8" s="342"/>
      <c r="MU8" s="342"/>
      <c r="MV8" s="342"/>
      <c r="MW8" s="342"/>
      <c r="MX8" s="342"/>
      <c r="MY8" s="342"/>
      <c r="MZ8" s="342"/>
      <c r="NA8" s="342"/>
      <c r="NB8" s="342"/>
      <c r="NC8" s="342"/>
      <c r="ND8" s="342"/>
      <c r="NE8" s="342"/>
      <c r="NF8" s="342"/>
      <c r="NG8" s="342"/>
      <c r="NH8" s="342"/>
      <c r="NI8" s="342"/>
      <c r="NJ8" s="342"/>
      <c r="NK8" s="342"/>
      <c r="NL8" s="342"/>
      <c r="NM8" s="342"/>
      <c r="NN8" s="342"/>
      <c r="NO8" s="342"/>
      <c r="NP8" s="342"/>
      <c r="NQ8" s="342"/>
      <c r="NR8" s="342"/>
      <c r="NS8" s="342"/>
      <c r="NT8" s="342"/>
      <c r="NU8" s="342"/>
      <c r="NV8" s="342"/>
      <c r="NW8" s="342"/>
      <c r="NX8" s="342"/>
      <c r="NY8" s="342"/>
      <c r="NZ8" s="342"/>
      <c r="OA8" s="342"/>
      <c r="OB8" s="342"/>
      <c r="OC8" s="342"/>
      <c r="OD8" s="342"/>
      <c r="OE8" s="342"/>
      <c r="OF8" s="342"/>
      <c r="OG8" s="342"/>
      <c r="OH8" s="342"/>
      <c r="OI8" s="342"/>
      <c r="OJ8" s="342"/>
      <c r="OK8" s="342"/>
      <c r="OL8" s="342"/>
      <c r="OM8" s="342"/>
      <c r="ON8" s="342"/>
      <c r="OO8" s="342"/>
      <c r="OP8" s="342"/>
      <c r="OQ8" s="342"/>
      <c r="OR8" s="342"/>
      <c r="OS8" s="342"/>
      <c r="OT8" s="342"/>
      <c r="OU8" s="342"/>
      <c r="OV8" s="342"/>
      <c r="OW8" s="342"/>
      <c r="OX8" s="342"/>
      <c r="OY8" s="342"/>
      <c r="OZ8" s="342"/>
      <c r="PA8" s="342"/>
      <c r="PB8" s="342"/>
      <c r="PC8" s="342"/>
      <c r="PD8" s="342"/>
      <c r="PE8" s="342"/>
      <c r="PF8" s="342"/>
      <c r="PG8" s="342"/>
      <c r="PH8" s="342"/>
      <c r="PI8" s="342"/>
      <c r="PJ8" s="342"/>
      <c r="PK8" s="342"/>
      <c r="PL8" s="342"/>
      <c r="PM8" s="342"/>
      <c r="PN8" s="342"/>
      <c r="PO8" s="342"/>
      <c r="PP8" s="342"/>
      <c r="PQ8" s="342"/>
      <c r="PR8" s="342"/>
      <c r="PS8" s="342"/>
      <c r="PT8" s="342"/>
      <c r="PU8" s="342"/>
      <c r="PV8" s="342"/>
      <c r="PW8" s="342"/>
      <c r="PX8" s="342"/>
      <c r="PY8" s="342"/>
      <c r="PZ8" s="342"/>
      <c r="QA8" s="342"/>
      <c r="QB8" s="342"/>
      <c r="QC8" s="342"/>
      <c r="QD8" s="342"/>
      <c r="QE8" s="342"/>
      <c r="QF8" s="342"/>
      <c r="QG8" s="342"/>
      <c r="QH8" s="342"/>
      <c r="QI8" s="342"/>
      <c r="QJ8" s="342"/>
      <c r="QK8" s="342"/>
      <c r="QL8" s="342"/>
      <c r="QM8" s="342"/>
      <c r="QN8" s="342"/>
      <c r="QO8" s="342"/>
      <c r="QP8" s="342"/>
      <c r="QQ8" s="342"/>
      <c r="QR8" s="342"/>
      <c r="QS8" s="342"/>
      <c r="QT8" s="342"/>
      <c r="QU8" s="342"/>
      <c r="QV8" s="342"/>
      <c r="QW8" s="342"/>
      <c r="QX8" s="342"/>
      <c r="QY8" s="342"/>
      <c r="QZ8" s="342"/>
      <c r="RA8" s="342"/>
      <c r="RB8" s="342"/>
      <c r="RC8" s="342"/>
      <c r="RD8" s="342"/>
      <c r="RE8" s="342"/>
      <c r="RF8" s="342"/>
      <c r="RG8" s="342"/>
      <c r="RH8" s="342"/>
      <c r="RI8" s="342"/>
      <c r="RJ8" s="342"/>
      <c r="RK8" s="342"/>
      <c r="RL8" s="342"/>
      <c r="RM8" s="342"/>
      <c r="RN8" s="342"/>
      <c r="RO8" s="342"/>
      <c r="RP8" s="342"/>
      <c r="RQ8" s="342"/>
      <c r="RR8" s="342"/>
      <c r="RS8" s="342"/>
      <c r="RT8" s="342"/>
      <c r="RU8" s="342"/>
      <c r="RV8" s="342"/>
      <c r="RW8" s="342"/>
      <c r="RX8" s="342"/>
      <c r="RY8" s="342"/>
      <c r="RZ8" s="342"/>
      <c r="SA8" s="342"/>
      <c r="SB8" s="342"/>
      <c r="SC8" s="342"/>
      <c r="SD8" s="342"/>
      <c r="SE8" s="342"/>
      <c r="SF8" s="342"/>
      <c r="SG8" s="342"/>
      <c r="SH8" s="342"/>
      <c r="SI8" s="342"/>
      <c r="SJ8" s="342"/>
      <c r="SK8" s="342"/>
      <c r="SL8" s="342"/>
      <c r="SM8" s="342"/>
      <c r="SN8" s="342"/>
      <c r="SO8" s="342"/>
      <c r="SP8" s="342"/>
      <c r="SQ8" s="342"/>
      <c r="SR8" s="342"/>
      <c r="SS8" s="342"/>
      <c r="ST8" s="342"/>
      <c r="SU8" s="342"/>
      <c r="SV8" s="342"/>
      <c r="SW8" s="342"/>
      <c r="SX8" s="342"/>
      <c r="SY8" s="342"/>
      <c r="SZ8" s="342"/>
      <c r="TA8" s="342"/>
      <c r="TB8" s="342"/>
      <c r="TC8" s="342"/>
      <c r="TD8" s="342"/>
      <c r="TE8" s="342"/>
      <c r="TF8" s="342"/>
      <c r="TG8" s="342"/>
      <c r="TH8" s="342"/>
      <c r="TI8" s="342"/>
      <c r="TJ8" s="342"/>
      <c r="TK8" s="342"/>
      <c r="TL8" s="342"/>
      <c r="TM8" s="342"/>
      <c r="TN8" s="342"/>
      <c r="TO8" s="342"/>
      <c r="TP8" s="342"/>
      <c r="TQ8" s="342"/>
      <c r="TR8" s="342"/>
      <c r="TS8" s="342"/>
      <c r="TT8" s="342"/>
      <c r="TU8" s="342"/>
      <c r="TV8" s="342"/>
      <c r="TW8" s="342"/>
      <c r="TX8" s="342"/>
      <c r="TY8" s="342"/>
      <c r="TZ8" s="342"/>
      <c r="UA8" s="342"/>
      <c r="UB8" s="342"/>
      <c r="UC8" s="342"/>
      <c r="UD8" s="342"/>
      <c r="UE8" s="342"/>
      <c r="UF8" s="342"/>
      <c r="UG8" s="342"/>
      <c r="UH8" s="342"/>
      <c r="UI8" s="342"/>
      <c r="UJ8" s="342"/>
      <c r="UK8" s="342"/>
      <c r="UL8" s="342"/>
      <c r="UM8" s="342"/>
      <c r="UN8" s="342"/>
      <c r="UO8" s="342"/>
      <c r="UP8" s="342"/>
      <c r="UQ8" s="342"/>
      <c r="UR8" s="342"/>
      <c r="US8" s="342"/>
      <c r="UT8" s="342"/>
      <c r="UU8" s="342"/>
      <c r="UV8" s="342"/>
      <c r="UW8" s="342"/>
      <c r="UX8" s="342"/>
      <c r="UY8" s="342"/>
      <c r="UZ8" s="342"/>
      <c r="VA8" s="342"/>
      <c r="VB8" s="342"/>
      <c r="VC8" s="342"/>
      <c r="VD8" s="342"/>
      <c r="VE8" s="342"/>
      <c r="VF8" s="342"/>
      <c r="VG8" s="342"/>
      <c r="VH8" s="342"/>
      <c r="VI8" s="342"/>
      <c r="VJ8" s="342"/>
      <c r="VK8" s="342"/>
      <c r="VL8" s="342"/>
      <c r="VM8" s="342"/>
      <c r="VN8" s="342"/>
      <c r="VO8" s="342"/>
      <c r="VP8" s="342"/>
      <c r="VQ8" s="342"/>
      <c r="VR8" s="342"/>
      <c r="VS8" s="342"/>
      <c r="VT8" s="342"/>
      <c r="VU8" s="342"/>
      <c r="VV8" s="342"/>
      <c r="VW8" s="342"/>
      <c r="VX8" s="342"/>
      <c r="VY8" s="342"/>
      <c r="VZ8" s="342"/>
      <c r="WA8" s="342"/>
      <c r="WB8" s="342"/>
      <c r="WC8" s="342"/>
      <c r="WD8" s="342"/>
      <c r="WE8" s="342"/>
      <c r="WF8" s="342"/>
      <c r="WG8" s="342"/>
      <c r="WH8" s="342"/>
      <c r="WI8" s="342"/>
      <c r="WJ8" s="342"/>
      <c r="WK8" s="342"/>
      <c r="WL8" s="342"/>
      <c r="WM8" s="342"/>
      <c r="WN8" s="342"/>
      <c r="WO8" s="342"/>
      <c r="WP8" s="342"/>
      <c r="WQ8" s="342"/>
      <c r="WR8" s="342"/>
      <c r="WS8" s="342"/>
      <c r="WT8" s="342"/>
      <c r="WU8" s="342"/>
      <c r="WV8" s="342"/>
      <c r="WW8" s="342"/>
      <c r="WX8" s="342"/>
      <c r="WY8" s="342"/>
      <c r="WZ8" s="342"/>
      <c r="XA8" s="342"/>
      <c r="XB8" s="342"/>
      <c r="XC8" s="342"/>
      <c r="XD8" s="342"/>
      <c r="XE8" s="342"/>
      <c r="XF8" s="342"/>
      <c r="XG8" s="342"/>
      <c r="XH8" s="342"/>
      <c r="XI8" s="342"/>
      <c r="XJ8" s="342"/>
      <c r="XK8" s="342"/>
      <c r="XL8" s="342"/>
      <c r="XM8" s="342"/>
      <c r="XN8" s="342"/>
      <c r="XO8" s="342"/>
      <c r="XP8" s="342"/>
      <c r="XQ8" s="342"/>
      <c r="XR8" s="342"/>
      <c r="XS8" s="342"/>
      <c r="XT8" s="342"/>
      <c r="XU8" s="342"/>
      <c r="XV8" s="342"/>
      <c r="XW8" s="342"/>
      <c r="XX8" s="342"/>
      <c r="XY8" s="342"/>
      <c r="XZ8" s="342"/>
      <c r="YA8" s="342"/>
      <c r="YB8" s="342"/>
      <c r="YC8" s="342"/>
      <c r="YD8" s="342"/>
      <c r="YE8" s="342"/>
      <c r="YF8" s="342"/>
      <c r="YG8" s="342"/>
      <c r="YH8" s="342"/>
      <c r="YI8" s="342"/>
      <c r="YJ8" s="342"/>
      <c r="YK8" s="342"/>
      <c r="YL8" s="342"/>
      <c r="YM8" s="342"/>
      <c r="YN8" s="342"/>
      <c r="YO8" s="342"/>
      <c r="YP8" s="342"/>
      <c r="YQ8" s="342"/>
      <c r="YR8" s="342"/>
      <c r="YS8" s="342"/>
      <c r="YT8" s="342"/>
      <c r="YU8" s="342"/>
      <c r="YV8" s="342"/>
      <c r="YW8" s="342"/>
      <c r="YX8" s="342"/>
      <c r="YY8" s="342"/>
      <c r="YZ8" s="342"/>
      <c r="ZA8" s="342"/>
      <c r="ZB8" s="342"/>
      <c r="ZC8" s="342"/>
      <c r="ZD8" s="342"/>
      <c r="ZE8" s="342"/>
      <c r="ZF8" s="342"/>
      <c r="ZG8" s="342"/>
      <c r="ZH8" s="342"/>
      <c r="ZI8" s="342"/>
      <c r="ZJ8" s="342"/>
      <c r="ZK8" s="342"/>
      <c r="ZL8" s="342"/>
      <c r="ZM8" s="342"/>
      <c r="ZN8" s="342"/>
      <c r="ZO8" s="342"/>
      <c r="ZP8" s="342"/>
      <c r="ZQ8" s="342"/>
      <c r="ZR8" s="342"/>
      <c r="ZS8" s="342"/>
      <c r="ZT8" s="342"/>
      <c r="ZU8" s="342"/>
      <c r="ZV8" s="342"/>
      <c r="ZW8" s="342"/>
      <c r="ZX8" s="342"/>
      <c r="ZY8" s="342"/>
      <c r="ZZ8" s="342"/>
      <c r="AAA8" s="342"/>
      <c r="AAB8" s="342"/>
      <c r="AAC8" s="342"/>
      <c r="AAD8" s="342"/>
      <c r="AAE8" s="342"/>
      <c r="AAF8" s="342"/>
      <c r="AAG8" s="342"/>
      <c r="AAH8" s="342"/>
      <c r="AAI8" s="342"/>
      <c r="AAJ8" s="342"/>
      <c r="AAK8" s="342"/>
      <c r="AAL8" s="342"/>
      <c r="AAM8" s="342"/>
      <c r="AAN8" s="342"/>
      <c r="AAO8" s="342"/>
      <c r="AAP8" s="342"/>
      <c r="AAQ8" s="342"/>
      <c r="AAR8" s="342"/>
      <c r="AAS8" s="342"/>
      <c r="AAT8" s="342"/>
      <c r="AAU8" s="342"/>
      <c r="AAV8" s="342"/>
      <c r="AAW8" s="342"/>
      <c r="AAX8" s="342"/>
      <c r="AAY8" s="342"/>
      <c r="AAZ8" s="342"/>
      <c r="ABA8" s="342"/>
      <c r="ABB8" s="342"/>
      <c r="ABC8" s="342"/>
      <c r="ABD8" s="342"/>
      <c r="ABE8" s="342"/>
      <c r="ABF8" s="342"/>
      <c r="ABG8" s="342"/>
      <c r="ABH8" s="342"/>
      <c r="ABI8" s="342"/>
      <c r="ABJ8" s="342"/>
      <c r="ABK8" s="342"/>
      <c r="ABL8" s="342"/>
      <c r="ABM8" s="342"/>
      <c r="ABN8" s="342"/>
      <c r="ABO8" s="342"/>
      <c r="ABP8" s="342"/>
      <c r="ABQ8" s="342"/>
      <c r="ABR8" s="342"/>
      <c r="ABS8" s="342"/>
      <c r="ABT8" s="342"/>
      <c r="ABU8" s="342"/>
      <c r="ABV8" s="342"/>
      <c r="ABW8" s="342"/>
      <c r="ABX8" s="342"/>
      <c r="ABY8" s="342"/>
      <c r="ABZ8" s="342"/>
      <c r="ACA8" s="342"/>
      <c r="ACB8" s="342"/>
      <c r="ACC8" s="342"/>
      <c r="ACD8" s="342"/>
      <c r="ACE8" s="342"/>
      <c r="ACF8" s="342"/>
      <c r="ACG8" s="342"/>
      <c r="ACH8" s="342"/>
      <c r="ACI8" s="342"/>
      <c r="ACJ8" s="342"/>
      <c r="ACK8" s="342"/>
      <c r="ACL8" s="342"/>
      <c r="ACM8" s="342"/>
      <c r="ACN8" s="342"/>
      <c r="ACO8" s="342"/>
      <c r="ACP8" s="342"/>
      <c r="ACQ8" s="342"/>
      <c r="ACR8" s="342"/>
      <c r="ACS8" s="342"/>
      <c r="ACT8" s="342"/>
      <c r="ACU8" s="342"/>
      <c r="ACV8" s="342"/>
      <c r="ACW8" s="342"/>
      <c r="ACX8" s="342"/>
      <c r="ACY8" s="342"/>
      <c r="ACZ8" s="342"/>
      <c r="ADA8" s="342"/>
      <c r="ADB8" s="342"/>
      <c r="ADC8" s="342"/>
      <c r="ADD8" s="342"/>
      <c r="ADE8" s="342"/>
      <c r="ADF8" s="342"/>
      <c r="ADG8" s="342"/>
      <c r="ADH8" s="342"/>
      <c r="ADI8" s="342"/>
      <c r="ADJ8" s="342"/>
      <c r="ADK8" s="342"/>
      <c r="ADL8" s="342"/>
      <c r="ADM8" s="342"/>
      <c r="ADN8" s="342"/>
      <c r="ADO8" s="342"/>
      <c r="ADP8" s="342"/>
      <c r="ADQ8" s="342"/>
      <c r="ADR8" s="342"/>
      <c r="ADS8" s="342"/>
      <c r="ADT8" s="342"/>
      <c r="ADU8" s="342"/>
      <c r="ADV8" s="342"/>
      <c r="ADW8" s="342"/>
      <c r="ADX8" s="342"/>
      <c r="ADY8" s="342"/>
      <c r="ADZ8" s="342"/>
      <c r="AEA8" s="342"/>
      <c r="AEB8" s="342"/>
      <c r="AEC8" s="342"/>
      <c r="AED8" s="342"/>
      <c r="AEE8" s="342"/>
      <c r="AEF8" s="342"/>
      <c r="AEG8" s="342"/>
      <c r="AEH8" s="342"/>
      <c r="AEI8" s="342"/>
      <c r="AEJ8" s="342"/>
      <c r="AEK8" s="342"/>
      <c r="AEL8" s="342"/>
      <c r="AEM8" s="342"/>
      <c r="AEN8" s="342"/>
      <c r="AEO8" s="342"/>
      <c r="AEP8" s="342"/>
      <c r="AEQ8" s="342"/>
      <c r="AER8" s="342"/>
      <c r="AES8" s="342"/>
      <c r="AET8" s="342"/>
      <c r="AEU8" s="342"/>
      <c r="AEV8" s="342"/>
      <c r="AEW8" s="342"/>
      <c r="AEX8" s="342"/>
      <c r="AEY8" s="342"/>
      <c r="AEZ8" s="342"/>
      <c r="AFA8" s="342"/>
      <c r="AFB8" s="342"/>
      <c r="AFC8" s="342"/>
      <c r="AFD8" s="342"/>
      <c r="AFE8" s="342"/>
      <c r="AFF8" s="342"/>
      <c r="AFG8" s="342"/>
      <c r="AFH8" s="342"/>
      <c r="AFI8" s="342"/>
      <c r="AFJ8" s="342"/>
      <c r="AFK8" s="342"/>
      <c r="AFL8" s="342"/>
      <c r="AFM8" s="342"/>
      <c r="AFN8" s="342"/>
      <c r="AFO8" s="342"/>
      <c r="AFP8" s="342"/>
      <c r="AFQ8" s="342"/>
      <c r="AFR8" s="342"/>
      <c r="AFS8" s="342"/>
      <c r="AFT8" s="342"/>
      <c r="AFU8" s="342"/>
      <c r="AFV8" s="342"/>
      <c r="AFW8" s="342"/>
      <c r="AFX8" s="342"/>
      <c r="AFY8" s="342"/>
      <c r="AFZ8" s="342"/>
      <c r="AGA8" s="342"/>
      <c r="AGB8" s="342"/>
      <c r="AGC8" s="342"/>
      <c r="AGD8" s="342"/>
      <c r="AGE8" s="342"/>
      <c r="AGF8" s="342"/>
      <c r="AGG8" s="342"/>
      <c r="AGH8" s="342"/>
      <c r="AGI8" s="342"/>
      <c r="AGJ8" s="342"/>
      <c r="AGK8" s="342"/>
      <c r="AGL8" s="342"/>
      <c r="AGM8" s="342"/>
      <c r="AGN8" s="342"/>
      <c r="AGO8" s="342"/>
      <c r="AGP8" s="342"/>
      <c r="AGQ8" s="342"/>
      <c r="AGR8" s="342"/>
      <c r="AGS8" s="342"/>
      <c r="AGT8" s="342"/>
      <c r="AGU8" s="342"/>
      <c r="AGV8" s="342"/>
      <c r="AGW8" s="342"/>
      <c r="AGX8" s="342"/>
      <c r="AGY8" s="342"/>
      <c r="AGZ8" s="342"/>
      <c r="AHA8" s="342"/>
      <c r="AHB8" s="342"/>
      <c r="AHC8" s="342"/>
      <c r="AHD8" s="342"/>
      <c r="AHE8" s="342"/>
      <c r="AHF8" s="342"/>
      <c r="AHG8" s="342"/>
      <c r="AHH8" s="342"/>
      <c r="AHI8" s="342"/>
      <c r="AHJ8" s="342"/>
      <c r="AHK8" s="342"/>
      <c r="AHL8" s="342"/>
      <c r="AHM8" s="342"/>
      <c r="AHN8" s="342"/>
      <c r="AHO8" s="342"/>
      <c r="AHP8" s="342"/>
      <c r="AHQ8" s="342"/>
      <c r="AHR8" s="342"/>
      <c r="AHS8" s="342"/>
      <c r="AHT8" s="342"/>
      <c r="AHU8" s="342"/>
      <c r="AHV8" s="342"/>
      <c r="AHW8" s="342"/>
      <c r="AHX8" s="342"/>
      <c r="AHY8" s="342"/>
      <c r="AHZ8" s="342"/>
      <c r="AIA8" s="342"/>
      <c r="AIB8" s="342"/>
      <c r="AIC8" s="342"/>
      <c r="AID8" s="342"/>
      <c r="AIE8" s="342"/>
      <c r="AIF8" s="342"/>
      <c r="AIG8" s="342"/>
      <c r="AIH8" s="342"/>
      <c r="AII8" s="342"/>
      <c r="AIJ8" s="342"/>
      <c r="AIK8" s="342"/>
      <c r="AIL8" s="342"/>
      <c r="AIM8" s="342"/>
      <c r="AIN8" s="342"/>
      <c r="AIO8" s="342"/>
      <c r="AIP8" s="342"/>
      <c r="AIQ8" s="342"/>
      <c r="AIR8" s="342"/>
      <c r="AIS8" s="342"/>
      <c r="AIT8" s="342"/>
      <c r="AIU8" s="342"/>
      <c r="AIV8" s="342"/>
      <c r="AIW8" s="342"/>
      <c r="AIX8" s="342"/>
      <c r="AIY8" s="342"/>
      <c r="AIZ8" s="342"/>
      <c r="AJA8" s="342"/>
      <c r="AJB8" s="342"/>
      <c r="AJC8" s="342"/>
      <c r="AJD8" s="342"/>
      <c r="AJE8" s="342"/>
      <c r="AJF8" s="342"/>
      <c r="AJG8" s="342"/>
      <c r="AJH8" s="342"/>
      <c r="AJI8" s="342"/>
      <c r="AJJ8" s="342"/>
      <c r="AJK8" s="342"/>
      <c r="AJL8" s="342"/>
      <c r="AJM8" s="342"/>
      <c r="AJN8" s="342"/>
      <c r="AJO8" s="342"/>
      <c r="AJP8" s="342"/>
      <c r="AJQ8" s="342"/>
      <c r="AJR8" s="342"/>
      <c r="AJS8" s="342"/>
      <c r="AJT8" s="342"/>
      <c r="AJU8" s="342"/>
      <c r="AJV8" s="342"/>
      <c r="AJW8" s="342"/>
      <c r="AJX8" s="342"/>
      <c r="AJY8" s="342"/>
      <c r="AJZ8" s="342"/>
      <c r="AKA8" s="342"/>
      <c r="AKB8" s="342"/>
      <c r="AKC8" s="342"/>
      <c r="AKD8" s="342"/>
      <c r="AKE8" s="342"/>
      <c r="AKF8" s="342"/>
      <c r="AKG8" s="342"/>
      <c r="AKH8" s="342"/>
      <c r="AKI8" s="342"/>
      <c r="AKJ8" s="342"/>
      <c r="AKK8" s="342"/>
      <c r="AKL8" s="342"/>
      <c r="AKM8" s="342"/>
      <c r="AKN8" s="342"/>
      <c r="AKO8" s="342"/>
      <c r="AKP8" s="342"/>
      <c r="AKQ8" s="342"/>
      <c r="AKR8" s="342"/>
      <c r="AKS8" s="342"/>
      <c r="AKT8" s="342"/>
      <c r="AKU8" s="342"/>
      <c r="AKV8" s="342"/>
      <c r="AKW8" s="342"/>
      <c r="AKX8" s="342"/>
      <c r="AKY8" s="342"/>
      <c r="AKZ8" s="342"/>
      <c r="ALA8" s="342"/>
      <c r="ALB8" s="342"/>
      <c r="ALC8" s="342"/>
      <c r="ALD8" s="342"/>
      <c r="ALE8" s="342"/>
      <c r="ALF8" s="342"/>
      <c r="ALG8" s="342"/>
      <c r="ALH8" s="342"/>
      <c r="ALI8" s="342"/>
      <c r="ALJ8" s="342"/>
      <c r="ALK8" s="342"/>
      <c r="ALL8" s="342"/>
      <c r="ALM8" s="342"/>
      <c r="ALN8" s="342"/>
      <c r="ALO8" s="342"/>
      <c r="ALP8" s="342"/>
      <c r="ALQ8" s="342"/>
      <c r="ALR8" s="342"/>
      <c r="ALS8" s="342"/>
      <c r="ALT8" s="342"/>
      <c r="ALU8" s="342"/>
      <c r="ALV8" s="342"/>
      <c r="ALW8" s="342"/>
      <c r="ALX8" s="342"/>
      <c r="ALY8" s="342"/>
      <c r="ALZ8" s="342"/>
      <c r="AMA8" s="342"/>
      <c r="AMB8" s="342"/>
      <c r="AMC8" s="342"/>
      <c r="AMD8" s="342"/>
      <c r="AME8" s="342"/>
      <c r="AMF8" s="342"/>
      <c r="AMG8" s="342"/>
      <c r="AMH8" s="342"/>
      <c r="AMI8" s="342"/>
      <c r="AMJ8" s="321"/>
      <c r="AMK8" s="321"/>
    </row>
    <row r="9" ht="100.5" customHeight="1" spans="1:1025" x14ac:dyDescent="0.25">
      <c r="A9" s="135"/>
      <c r="B9" s="346"/>
      <c r="C9" s="348" t="s">
        <v>693</v>
      </c>
      <c r="D9" s="349" t="s">
        <v>826</v>
      </c>
      <c r="E9" s="349" t="s">
        <v>827</v>
      </c>
      <c r="F9" s="349" t="s">
        <v>828</v>
      </c>
      <c r="G9" s="349" t="s">
        <v>829</v>
      </c>
      <c r="H9" s="348" t="s">
        <v>830</v>
      </c>
      <c r="I9" s="348" t="s">
        <v>693</v>
      </c>
      <c r="J9" s="346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  <c r="AKV9" s="342"/>
      <c r="AKW9" s="342"/>
      <c r="AKX9" s="342"/>
      <c r="AKY9" s="342"/>
      <c r="AKZ9" s="342"/>
      <c r="ALA9" s="342"/>
      <c r="ALB9" s="342"/>
      <c r="ALC9" s="342"/>
      <c r="ALD9" s="342"/>
      <c r="ALE9" s="342"/>
      <c r="ALF9" s="342"/>
      <c r="ALG9" s="342"/>
      <c r="ALH9" s="342"/>
      <c r="ALI9" s="342"/>
      <c r="ALJ9" s="342"/>
      <c r="ALK9" s="342"/>
      <c r="ALL9" s="342"/>
      <c r="ALM9" s="342"/>
      <c r="ALN9" s="342"/>
      <c r="ALO9" s="342"/>
      <c r="ALP9" s="342"/>
      <c r="ALQ9" s="342"/>
      <c r="ALR9" s="342"/>
      <c r="ALS9" s="342"/>
      <c r="ALT9" s="342"/>
      <c r="ALU9" s="342"/>
      <c r="ALV9" s="342"/>
      <c r="ALW9" s="342"/>
      <c r="ALX9" s="342"/>
      <c r="ALY9" s="342"/>
      <c r="ALZ9" s="342"/>
      <c r="AMA9" s="342"/>
      <c r="AMB9" s="342"/>
      <c r="AMC9" s="342"/>
      <c r="AMD9" s="342"/>
      <c r="AME9" s="342"/>
      <c r="AMF9" s="342"/>
      <c r="AMG9" s="342"/>
      <c r="AMH9" s="342"/>
      <c r="AMI9" s="342"/>
      <c r="AMJ9" s="321"/>
      <c r="AMK9" s="321"/>
    </row>
    <row r="10" ht="36" customHeight="1" spans="1:1023" x14ac:dyDescent="0.25">
      <c r="A10" s="145"/>
      <c r="B10" s="350" t="s">
        <v>154</v>
      </c>
      <c r="C10" s="135" t="s">
        <v>157</v>
      </c>
      <c r="D10" s="135" t="s">
        <v>160</v>
      </c>
      <c r="E10" s="135" t="s">
        <v>164</v>
      </c>
      <c r="F10" s="135" t="s">
        <v>321</v>
      </c>
      <c r="G10" s="135" t="s">
        <v>329</v>
      </c>
      <c r="H10" s="135" t="s">
        <v>331</v>
      </c>
      <c r="I10" s="135" t="s">
        <v>831</v>
      </c>
      <c r="J10" s="135" t="s">
        <v>832</v>
      </c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7"/>
      <c r="QQ10" s="337"/>
      <c r="QR10" s="337"/>
      <c r="QS10" s="337"/>
      <c r="QT10" s="337"/>
      <c r="QU10" s="337"/>
      <c r="QV10" s="337"/>
      <c r="QW10" s="337"/>
      <c r="QX10" s="337"/>
      <c r="QY10" s="337"/>
      <c r="QZ10" s="337"/>
      <c r="RA10" s="337"/>
      <c r="RB10" s="337"/>
      <c r="RC10" s="337"/>
      <c r="RD10" s="337"/>
      <c r="RE10" s="337"/>
      <c r="RF10" s="337"/>
      <c r="RG10" s="337"/>
      <c r="RH10" s="337"/>
      <c r="RI10" s="337"/>
      <c r="RJ10" s="337"/>
      <c r="RK10" s="337"/>
      <c r="RL10" s="337"/>
      <c r="RM10" s="337"/>
      <c r="RN10" s="337"/>
      <c r="RO10" s="337"/>
      <c r="RP10" s="337"/>
      <c r="RQ10" s="337"/>
      <c r="RR10" s="337"/>
      <c r="RS10" s="337"/>
      <c r="RT10" s="337"/>
      <c r="RU10" s="337"/>
      <c r="RV10" s="337"/>
      <c r="RW10" s="337"/>
      <c r="RX10" s="337"/>
      <c r="RY10" s="337"/>
      <c r="RZ10" s="337"/>
      <c r="SA10" s="337"/>
      <c r="SB10" s="337"/>
      <c r="SC10" s="337"/>
      <c r="SD10" s="337"/>
      <c r="SE10" s="337"/>
      <c r="SF10" s="337"/>
      <c r="SG10" s="337"/>
      <c r="SH10" s="337"/>
      <c r="SI10" s="337"/>
      <c r="SJ10" s="337"/>
      <c r="SK10" s="337"/>
      <c r="SL10" s="337"/>
      <c r="SM10" s="337"/>
      <c r="SN10" s="337"/>
      <c r="SO10" s="337"/>
      <c r="SP10" s="337"/>
      <c r="SQ10" s="337"/>
      <c r="SR10" s="337"/>
      <c r="SS10" s="337"/>
      <c r="ST10" s="337"/>
      <c r="SU10" s="337"/>
      <c r="SV10" s="337"/>
      <c r="SW10" s="337"/>
      <c r="SX10" s="337"/>
      <c r="SY10" s="337"/>
      <c r="SZ10" s="337"/>
      <c r="TA10" s="337"/>
      <c r="TB10" s="337"/>
      <c r="TC10" s="337"/>
      <c r="TD10" s="337"/>
      <c r="TE10" s="337"/>
      <c r="TF10" s="337"/>
      <c r="TG10" s="337"/>
      <c r="TH10" s="337"/>
      <c r="TI10" s="337"/>
      <c r="TJ10" s="337"/>
      <c r="TK10" s="337"/>
      <c r="TL10" s="337"/>
      <c r="TM10" s="337"/>
      <c r="TN10" s="337"/>
      <c r="TO10" s="337"/>
      <c r="TP10" s="337"/>
      <c r="TQ10" s="337"/>
      <c r="TR10" s="337"/>
      <c r="TS10" s="337"/>
      <c r="TT10" s="337"/>
      <c r="TU10" s="337"/>
      <c r="TV10" s="337"/>
      <c r="TW10" s="337"/>
      <c r="TX10" s="337"/>
      <c r="TY10" s="337"/>
      <c r="TZ10" s="337"/>
      <c r="UA10" s="337"/>
      <c r="UB10" s="337"/>
      <c r="UC10" s="337"/>
      <c r="UD10" s="337"/>
      <c r="UE10" s="337"/>
      <c r="UF10" s="337"/>
      <c r="UG10" s="337"/>
      <c r="UH10" s="337"/>
      <c r="UI10" s="337"/>
      <c r="UJ10" s="337"/>
      <c r="UK10" s="337"/>
      <c r="UL10" s="337"/>
      <c r="UM10" s="337"/>
      <c r="UN10" s="337"/>
      <c r="UO10" s="337"/>
      <c r="UP10" s="337"/>
      <c r="UQ10" s="337"/>
      <c r="UR10" s="337"/>
      <c r="US10" s="337"/>
      <c r="UT10" s="337"/>
      <c r="UU10" s="337"/>
      <c r="UV10" s="337"/>
      <c r="UW10" s="337"/>
      <c r="UX10" s="337"/>
      <c r="UY10" s="337"/>
      <c r="UZ10" s="337"/>
      <c r="VA10" s="337"/>
      <c r="VB10" s="337"/>
      <c r="VC10" s="337"/>
      <c r="VD10" s="337"/>
      <c r="VE10" s="337"/>
      <c r="VF10" s="337"/>
      <c r="VG10" s="337"/>
      <c r="VH10" s="337"/>
      <c r="VI10" s="337"/>
      <c r="VJ10" s="337"/>
      <c r="VK10" s="337"/>
      <c r="VL10" s="337"/>
      <c r="VM10" s="337"/>
      <c r="VN10" s="337"/>
      <c r="VO10" s="337"/>
      <c r="VP10" s="337"/>
      <c r="VQ10" s="337"/>
      <c r="VR10" s="337"/>
      <c r="VS10" s="337"/>
      <c r="VT10" s="337"/>
      <c r="VU10" s="337"/>
      <c r="VV10" s="337"/>
      <c r="VW10" s="337"/>
      <c r="VX10" s="337"/>
      <c r="VY10" s="337"/>
      <c r="VZ10" s="337"/>
      <c r="WA10" s="337"/>
      <c r="WB10" s="337"/>
      <c r="WC10" s="337"/>
      <c r="WD10" s="337"/>
      <c r="WE10" s="337"/>
      <c r="WF10" s="337"/>
      <c r="WG10" s="337"/>
      <c r="WH10" s="337"/>
      <c r="WI10" s="337"/>
      <c r="WJ10" s="337"/>
      <c r="WK10" s="337"/>
      <c r="WL10" s="337"/>
      <c r="WM10" s="337"/>
      <c r="WN10" s="337"/>
      <c r="WO10" s="337"/>
      <c r="WP10" s="337"/>
      <c r="WQ10" s="337"/>
      <c r="WR10" s="337"/>
      <c r="WS10" s="337"/>
      <c r="WT10" s="337"/>
      <c r="WU10" s="337"/>
      <c r="WV10" s="337"/>
      <c r="WW10" s="337"/>
      <c r="WX10" s="337"/>
      <c r="WY10" s="337"/>
      <c r="WZ10" s="337"/>
      <c r="XA10" s="337"/>
      <c r="XB10" s="337"/>
      <c r="XC10" s="337"/>
      <c r="XD10" s="337"/>
      <c r="XE10" s="337"/>
      <c r="XF10" s="337"/>
      <c r="XG10" s="337"/>
      <c r="XH10" s="337"/>
      <c r="XI10" s="337"/>
      <c r="XJ10" s="337"/>
      <c r="XK10" s="337"/>
      <c r="XL10" s="337"/>
      <c r="XM10" s="337"/>
      <c r="XN10" s="337"/>
      <c r="XO10" s="337"/>
      <c r="XP10" s="337"/>
      <c r="XQ10" s="337"/>
      <c r="XR10" s="337"/>
      <c r="XS10" s="337"/>
      <c r="XT10" s="337"/>
      <c r="XU10" s="337"/>
      <c r="XV10" s="337"/>
      <c r="XW10" s="337"/>
      <c r="XX10" s="337"/>
      <c r="XY10" s="337"/>
      <c r="XZ10" s="337"/>
      <c r="YA10" s="337"/>
      <c r="YB10" s="337"/>
      <c r="YC10" s="337"/>
      <c r="YD10" s="337"/>
      <c r="YE10" s="337"/>
      <c r="YF10" s="337"/>
      <c r="YG10" s="337"/>
      <c r="YH10" s="337"/>
      <c r="YI10" s="337"/>
      <c r="YJ10" s="337"/>
      <c r="YK10" s="337"/>
      <c r="YL10" s="337"/>
      <c r="YM10" s="337"/>
      <c r="YN10" s="337"/>
      <c r="YO10" s="337"/>
      <c r="YP10" s="337"/>
      <c r="YQ10" s="337"/>
      <c r="YR10" s="337"/>
      <c r="YS10" s="337"/>
      <c r="YT10" s="337"/>
      <c r="YU10" s="337"/>
      <c r="YV10" s="337"/>
      <c r="YW10" s="337"/>
      <c r="YX10" s="337"/>
      <c r="YY10" s="337"/>
      <c r="YZ10" s="337"/>
      <c r="ZA10" s="337"/>
      <c r="ZB10" s="337"/>
      <c r="ZC10" s="337"/>
      <c r="ZD10" s="337"/>
      <c r="ZE10" s="337"/>
      <c r="ZF10" s="337"/>
      <c r="ZG10" s="337"/>
      <c r="ZH10" s="337"/>
      <c r="ZI10" s="337"/>
      <c r="ZJ10" s="337"/>
      <c r="ZK10" s="337"/>
      <c r="ZL10" s="337"/>
      <c r="ZM10" s="337"/>
      <c r="ZN10" s="337"/>
      <c r="ZO10" s="337"/>
      <c r="ZP10" s="337"/>
      <c r="ZQ10" s="337"/>
      <c r="ZR10" s="337"/>
      <c r="ZS10" s="337"/>
      <c r="ZT10" s="337"/>
      <c r="ZU10" s="337"/>
      <c r="ZV10" s="337"/>
      <c r="ZW10" s="337"/>
      <c r="ZX10" s="337"/>
      <c r="ZY10" s="337"/>
      <c r="ZZ10" s="337"/>
      <c r="AAA10" s="337"/>
      <c r="AAB10" s="337"/>
      <c r="AAC10" s="337"/>
      <c r="AAD10" s="337"/>
      <c r="AAE10" s="337"/>
      <c r="AAF10" s="337"/>
      <c r="AAG10" s="337"/>
      <c r="AAH10" s="337"/>
      <c r="AAI10" s="337"/>
      <c r="AAJ10" s="337"/>
      <c r="AAK10" s="337"/>
      <c r="AAL10" s="337"/>
      <c r="AAM10" s="337"/>
      <c r="AAN10" s="337"/>
      <c r="AAO10" s="337"/>
      <c r="AAP10" s="337"/>
      <c r="AAQ10" s="337"/>
      <c r="AAR10" s="337"/>
      <c r="AAS10" s="337"/>
      <c r="AAT10" s="337"/>
      <c r="AAU10" s="337"/>
      <c r="AAV10" s="337"/>
      <c r="AAW10" s="337"/>
      <c r="AAX10" s="337"/>
      <c r="AAY10" s="337"/>
      <c r="AAZ10" s="337"/>
      <c r="ABA10" s="337"/>
      <c r="ABB10" s="337"/>
      <c r="ABC10" s="337"/>
      <c r="ABD10" s="337"/>
      <c r="ABE10" s="337"/>
      <c r="ABF10" s="337"/>
      <c r="ABG10" s="337"/>
      <c r="ABH10" s="337"/>
      <c r="ABI10" s="337"/>
      <c r="ABJ10" s="337"/>
      <c r="ABK10" s="337"/>
      <c r="ABL10" s="337"/>
      <c r="ABM10" s="337"/>
      <c r="ABN10" s="337"/>
      <c r="ABO10" s="337"/>
      <c r="ABP10" s="337"/>
      <c r="ABQ10" s="337"/>
      <c r="ABR10" s="337"/>
      <c r="ABS10" s="337"/>
      <c r="ABT10" s="337"/>
      <c r="ABU10" s="337"/>
      <c r="ABV10" s="337"/>
      <c r="ABW10" s="337"/>
      <c r="ABX10" s="337"/>
      <c r="ABY10" s="337"/>
      <c r="ABZ10" s="337"/>
      <c r="ACA10" s="337"/>
      <c r="ACB10" s="337"/>
      <c r="ACC10" s="337"/>
      <c r="ACD10" s="337"/>
      <c r="ACE10" s="337"/>
      <c r="ACF10" s="337"/>
      <c r="ACG10" s="337"/>
      <c r="ACH10" s="337"/>
      <c r="ACI10" s="337"/>
      <c r="ACJ10" s="337"/>
      <c r="ACK10" s="337"/>
      <c r="ACL10" s="337"/>
      <c r="ACM10" s="337"/>
      <c r="ACN10" s="337"/>
      <c r="ACO10" s="337"/>
      <c r="ACP10" s="337"/>
      <c r="ACQ10" s="337"/>
      <c r="ACR10" s="337"/>
      <c r="ACS10" s="337"/>
      <c r="ACT10" s="337"/>
      <c r="ACU10" s="337"/>
      <c r="ACV10" s="337"/>
      <c r="ACW10" s="337"/>
      <c r="ACX10" s="337"/>
      <c r="ACY10" s="337"/>
      <c r="ACZ10" s="337"/>
      <c r="ADA10" s="337"/>
      <c r="ADB10" s="337"/>
      <c r="ADC10" s="337"/>
      <c r="ADD10" s="337"/>
      <c r="ADE10" s="337"/>
      <c r="ADF10" s="337"/>
      <c r="ADG10" s="337"/>
      <c r="ADH10" s="337"/>
      <c r="ADI10" s="337"/>
      <c r="ADJ10" s="337"/>
      <c r="ADK10" s="337"/>
      <c r="ADL10" s="337"/>
      <c r="ADM10" s="337"/>
      <c r="ADN10" s="337"/>
      <c r="ADO10" s="337"/>
      <c r="ADP10" s="337"/>
      <c r="ADQ10" s="337"/>
      <c r="ADR10" s="337"/>
      <c r="ADS10" s="337"/>
      <c r="ADT10" s="337"/>
      <c r="ADU10" s="337"/>
      <c r="ADV10" s="337"/>
      <c r="ADW10" s="337"/>
      <c r="ADX10" s="337"/>
      <c r="ADY10" s="337"/>
      <c r="ADZ10" s="337"/>
      <c r="AEA10" s="337"/>
      <c r="AEB10" s="337"/>
      <c r="AEC10" s="337"/>
      <c r="AED10" s="337"/>
      <c r="AEE10" s="337"/>
      <c r="AEF10" s="337"/>
      <c r="AEG10" s="337"/>
      <c r="AEH10" s="337"/>
      <c r="AEI10" s="337"/>
      <c r="AEJ10" s="337"/>
      <c r="AEK10" s="337"/>
      <c r="AEL10" s="337"/>
      <c r="AEM10" s="337"/>
      <c r="AEN10" s="337"/>
      <c r="AEO10" s="337"/>
      <c r="AEP10" s="337"/>
      <c r="AEQ10" s="337"/>
      <c r="AER10" s="337"/>
      <c r="AES10" s="337"/>
      <c r="AET10" s="337"/>
      <c r="AEU10" s="337"/>
      <c r="AEV10" s="337"/>
      <c r="AEW10" s="337"/>
      <c r="AEX10" s="337"/>
      <c r="AEY10" s="337"/>
      <c r="AEZ10" s="337"/>
      <c r="AFA10" s="337"/>
      <c r="AFB10" s="337"/>
      <c r="AFC10" s="337"/>
      <c r="AFD10" s="337"/>
      <c r="AFE10" s="337"/>
      <c r="AFF10" s="337"/>
      <c r="AFG10" s="337"/>
      <c r="AFH10" s="337"/>
      <c r="AFI10" s="337"/>
      <c r="AFJ10" s="337"/>
      <c r="AFK10" s="337"/>
      <c r="AFL10" s="337"/>
      <c r="AFM10" s="337"/>
      <c r="AFN10" s="337"/>
      <c r="AFO10" s="337"/>
      <c r="AFP10" s="337"/>
      <c r="AFQ10" s="337"/>
      <c r="AFR10" s="337"/>
      <c r="AFS10" s="337"/>
      <c r="AFT10" s="337"/>
      <c r="AFU10" s="337"/>
      <c r="AFV10" s="337"/>
      <c r="AFW10" s="337"/>
      <c r="AFX10" s="337"/>
      <c r="AFY10" s="337"/>
      <c r="AFZ10" s="337"/>
      <c r="AGA10" s="337"/>
      <c r="AGB10" s="337"/>
      <c r="AGC10" s="337"/>
      <c r="AGD10" s="337"/>
      <c r="AGE10" s="337"/>
      <c r="AGF10" s="337"/>
      <c r="AGG10" s="337"/>
      <c r="AGH10" s="337"/>
      <c r="AGI10" s="337"/>
      <c r="AGJ10" s="337"/>
      <c r="AGK10" s="337"/>
      <c r="AGL10" s="337"/>
      <c r="AGM10" s="337"/>
      <c r="AGN10" s="337"/>
      <c r="AGO10" s="337"/>
      <c r="AGP10" s="337"/>
      <c r="AGQ10" s="337"/>
      <c r="AGR10" s="337"/>
      <c r="AGS10" s="337"/>
      <c r="AGT10" s="337"/>
      <c r="AGU10" s="337"/>
      <c r="AGV10" s="337"/>
      <c r="AGW10" s="337"/>
      <c r="AGX10" s="337"/>
      <c r="AGY10" s="337"/>
      <c r="AGZ10" s="337"/>
      <c r="AHA10" s="337"/>
      <c r="AHB10" s="337"/>
      <c r="AHC10" s="337"/>
      <c r="AHD10" s="337"/>
      <c r="AHE10" s="337"/>
      <c r="AHF10" s="337"/>
      <c r="AHG10" s="337"/>
      <c r="AHH10" s="337"/>
      <c r="AHI10" s="337"/>
      <c r="AHJ10" s="337"/>
      <c r="AHK10" s="337"/>
      <c r="AHL10" s="337"/>
      <c r="AHM10" s="337"/>
      <c r="AHN10" s="337"/>
      <c r="AHO10" s="337"/>
      <c r="AHP10" s="337"/>
      <c r="AHQ10" s="337"/>
      <c r="AHR10" s="337"/>
      <c r="AHS10" s="337"/>
      <c r="AHT10" s="337"/>
      <c r="AHU10" s="337"/>
      <c r="AHV10" s="337"/>
      <c r="AHW10" s="337"/>
      <c r="AHX10" s="337"/>
      <c r="AHY10" s="337"/>
      <c r="AHZ10" s="337"/>
      <c r="AIA10" s="337"/>
      <c r="AIB10" s="337"/>
      <c r="AIC10" s="337"/>
      <c r="AID10" s="337"/>
      <c r="AIE10" s="337"/>
      <c r="AIF10" s="337"/>
      <c r="AIG10" s="337"/>
      <c r="AIH10" s="337"/>
      <c r="AII10" s="337"/>
      <c r="AIJ10" s="337"/>
      <c r="AIK10" s="337"/>
      <c r="AIL10" s="337"/>
      <c r="AIM10" s="337"/>
      <c r="AIN10" s="337"/>
      <c r="AIO10" s="337"/>
      <c r="AIP10" s="337"/>
      <c r="AIQ10" s="337"/>
      <c r="AIR10" s="337"/>
      <c r="AIS10" s="337"/>
      <c r="AIT10" s="337"/>
      <c r="AIU10" s="337"/>
      <c r="AIV10" s="337"/>
      <c r="AIW10" s="337"/>
      <c r="AIX10" s="337"/>
      <c r="AIY10" s="337"/>
      <c r="AIZ10" s="337"/>
      <c r="AJA10" s="337"/>
      <c r="AJB10" s="337"/>
      <c r="AJC10" s="337"/>
      <c r="AJD10" s="337"/>
      <c r="AJE10" s="337"/>
      <c r="AJF10" s="337"/>
      <c r="AJG10" s="337"/>
      <c r="AJH10" s="337"/>
      <c r="AJI10" s="337"/>
      <c r="AJJ10" s="337"/>
      <c r="AJK10" s="337"/>
      <c r="AJL10" s="337"/>
      <c r="AJM10" s="337"/>
      <c r="AJN10" s="337"/>
      <c r="AJO10" s="337"/>
      <c r="AJP10" s="337"/>
      <c r="AJQ10" s="337"/>
      <c r="AJR10" s="337"/>
      <c r="AJS10" s="337"/>
      <c r="AJT10" s="337"/>
      <c r="AJU10" s="337"/>
      <c r="AJV10" s="337"/>
      <c r="AJW10" s="337"/>
      <c r="AJX10" s="337"/>
      <c r="AJY10" s="337"/>
      <c r="AJZ10" s="337"/>
      <c r="AKA10" s="337"/>
      <c r="AKB10" s="337"/>
      <c r="AKC10" s="337"/>
      <c r="AKD10" s="337"/>
      <c r="AKE10" s="337"/>
      <c r="AKF10" s="337"/>
      <c r="AKG10" s="337"/>
      <c r="AKH10" s="337"/>
      <c r="AKI10" s="337"/>
      <c r="AKJ10" s="337"/>
      <c r="AKK10" s="337"/>
      <c r="AKL10" s="337"/>
      <c r="AKM10" s="337"/>
      <c r="AKN10" s="337"/>
      <c r="AKO10" s="337"/>
      <c r="AKP10" s="337"/>
      <c r="AKQ10" s="337"/>
      <c r="AKR10" s="337"/>
      <c r="AKS10" s="337"/>
      <c r="AKT10" s="337"/>
      <c r="AKU10" s="337"/>
      <c r="AKV10" s="337"/>
      <c r="AKW10" s="337"/>
      <c r="AKX10" s="337"/>
      <c r="AKY10" s="337"/>
      <c r="AKZ10" s="337"/>
      <c r="ALA10" s="337"/>
      <c r="ALB10" s="337"/>
      <c r="ALC10" s="337"/>
      <c r="ALD10" s="337"/>
      <c r="ALE10" s="337"/>
      <c r="ALF10" s="337"/>
      <c r="ALG10" s="337"/>
      <c r="ALH10" s="337"/>
      <c r="ALI10" s="337"/>
      <c r="ALJ10" s="337"/>
      <c r="ALK10" s="337"/>
      <c r="ALL10" s="337"/>
      <c r="ALM10" s="337"/>
      <c r="ALN10" s="337"/>
      <c r="ALO10" s="337"/>
      <c r="ALP10" s="337"/>
      <c r="ALQ10" s="337"/>
      <c r="ALR10" s="337"/>
      <c r="ALS10" s="337"/>
      <c r="ALT10" s="337"/>
      <c r="ALU10" s="337"/>
      <c r="ALV10" s="337"/>
      <c r="ALW10" s="337"/>
      <c r="ALX10" s="337"/>
      <c r="ALY10" s="337"/>
      <c r="ALZ10" s="337"/>
      <c r="AMA10" s="337"/>
      <c r="AMB10" s="337"/>
      <c r="AMC10" s="337"/>
      <c r="AMD10" s="337"/>
      <c r="AME10" s="337"/>
      <c r="AMF10" s="337"/>
      <c r="AMG10" s="337"/>
      <c r="AMH10" s="337"/>
      <c r="AMI10" s="337"/>
    </row>
    <row r="11" ht="17.4" customHeight="1" spans="1:10" x14ac:dyDescent="0.25">
      <c r="A11" s="145"/>
      <c r="B11" s="351" t="s">
        <v>833</v>
      </c>
      <c r="C11" s="351"/>
      <c r="D11" s="351"/>
      <c r="E11" s="351"/>
      <c r="F11" s="351"/>
      <c r="G11" s="351"/>
      <c r="H11" s="351"/>
      <c r="I11" s="351"/>
      <c r="J11" s="351"/>
    </row>
    <row r="12" ht="17.5" customHeight="1" spans="1:10" x14ac:dyDescent="0.25">
      <c r="A12" s="145" t="s">
        <v>917</v>
      </c>
      <c r="B12" s="352">
        <v>0</v>
      </c>
      <c r="C12" s="354"/>
      <c r="D12" s="369">
        <v>0</v>
      </c>
      <c r="E12" s="369">
        <v>0</v>
      </c>
      <c r="F12" s="369">
        <v>0</v>
      </c>
      <c r="G12" s="369">
        <v>0</v>
      </c>
      <c r="H12" s="369">
        <v>0</v>
      </c>
      <c r="I12" s="369">
        <f t="shared" ref="I12:I16" si="0">H12+G12+F12+E12+D12+C12</f>
        <v>0</v>
      </c>
      <c r="J12" s="354"/>
    </row>
    <row r="13" ht="17.5" customHeight="1" spans="1:10" x14ac:dyDescent="0.25">
      <c r="A13" s="145" t="s">
        <v>918</v>
      </c>
      <c r="B13" s="352">
        <v>0.2</v>
      </c>
      <c r="C13" s="369">
        <v>228</v>
      </c>
      <c r="D13" s="369">
        <v>0</v>
      </c>
      <c r="E13" s="369">
        <v>0</v>
      </c>
      <c r="F13" s="369">
        <v>0</v>
      </c>
      <c r="G13" s="369">
        <v>0</v>
      </c>
      <c r="H13" s="369">
        <v>0</v>
      </c>
      <c r="I13" s="369">
        <f t="shared" si="0"/>
        <v>228</v>
      </c>
      <c r="J13" s="369">
        <f>I13*B13</f>
        <v>45.6</v>
      </c>
    </row>
    <row r="14" ht="17.5" customHeight="1" spans="1:10" x14ac:dyDescent="0.25">
      <c r="A14" s="145" t="s">
        <v>919</v>
      </c>
      <c r="B14" s="352">
        <v>0.5</v>
      </c>
      <c r="C14" s="369">
        <v>67214</v>
      </c>
      <c r="D14" s="369">
        <v>0</v>
      </c>
      <c r="E14" s="369">
        <v>0</v>
      </c>
      <c r="F14" s="369">
        <v>0</v>
      </c>
      <c r="G14" s="369">
        <v>0</v>
      </c>
      <c r="H14" s="369">
        <v>0</v>
      </c>
      <c r="I14" s="369">
        <f t="shared" si="0"/>
        <v>67214</v>
      </c>
      <c r="J14" s="369">
        <f>I14*B14</f>
        <v>33607</v>
      </c>
    </row>
    <row r="15" ht="17.5" customHeight="1" spans="1:10" x14ac:dyDescent="0.25">
      <c r="A15" s="145" t="s">
        <v>920</v>
      </c>
      <c r="B15" s="352">
        <v>1</v>
      </c>
      <c r="C15" s="369">
        <v>0</v>
      </c>
      <c r="D15" s="369">
        <v>0</v>
      </c>
      <c r="E15" s="369">
        <v>0</v>
      </c>
      <c r="F15" s="369">
        <v>0</v>
      </c>
      <c r="G15" s="369">
        <v>0</v>
      </c>
      <c r="H15" s="369">
        <v>0</v>
      </c>
      <c r="I15" s="369">
        <f t="shared" si="0"/>
        <v>0</v>
      </c>
      <c r="J15" s="369">
        <f>I15*B15</f>
        <v>0</v>
      </c>
    </row>
    <row r="16" ht="17.5" customHeight="1" spans="1:10" x14ac:dyDescent="0.25">
      <c r="A16" s="145" t="s">
        <v>921</v>
      </c>
      <c r="B16" s="352">
        <v>1.5</v>
      </c>
      <c r="C16" s="369">
        <v>0</v>
      </c>
      <c r="D16" s="369">
        <v>0</v>
      </c>
      <c r="E16" s="369">
        <v>0</v>
      </c>
      <c r="F16" s="369">
        <v>0</v>
      </c>
      <c r="G16" s="369">
        <v>0</v>
      </c>
      <c r="H16" s="369">
        <v>0</v>
      </c>
      <c r="I16" s="369">
        <f t="shared" si="0"/>
        <v>0</v>
      </c>
      <c r="J16" s="369">
        <f>I16*B16</f>
        <v>0</v>
      </c>
    </row>
    <row r="17" ht="18" customHeight="1" spans="1:10" s="337" customFormat="1" x14ac:dyDescent="0.25">
      <c r="A17" s="145" t="s">
        <v>922</v>
      </c>
      <c r="B17" s="57" t="s">
        <v>520</v>
      </c>
      <c r="C17" s="369">
        <f>C12+C13+C14+C15+C16</f>
        <v>67442</v>
      </c>
      <c r="D17" s="369">
        <f t="shared" ref="D17:J17" si="1">D12+D13+D14+D15+D16</f>
        <v>0</v>
      </c>
      <c r="E17" s="369">
        <f t="shared" si="1"/>
        <v>0</v>
      </c>
      <c r="F17" s="369">
        <f t="shared" si="1"/>
        <v>0</v>
      </c>
      <c r="G17" s="369">
        <f t="shared" si="1"/>
        <v>0</v>
      </c>
      <c r="H17" s="369">
        <f t="shared" si="1"/>
        <v>0</v>
      </c>
      <c r="I17" s="369">
        <f t="shared" si="1"/>
        <v>67442</v>
      </c>
      <c r="J17" s="369">
        <f t="shared" si="1"/>
        <v>33652.6</v>
      </c>
    </row>
    <row r="18" ht="9" customHeight="1" spans="1:10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</row>
    <row r="19" ht="18" customHeight="1" spans="1:10" x14ac:dyDescent="0.25">
      <c r="A19" s="357"/>
      <c r="B19" s="157" t="s">
        <v>840</v>
      </c>
      <c r="C19" s="183"/>
      <c r="D19" s="183"/>
      <c r="E19" s="183"/>
      <c r="F19" s="183"/>
      <c r="G19" s="183"/>
      <c r="H19" s="183"/>
      <c r="I19" s="183"/>
      <c r="J19" s="358"/>
    </row>
    <row r="20" ht="17.5" customHeight="1" spans="1:10" x14ac:dyDescent="0.25">
      <c r="A20" s="145" t="s">
        <v>923</v>
      </c>
      <c r="B20" s="352">
        <v>0</v>
      </c>
      <c r="C20" s="354"/>
      <c r="D20" s="369">
        <v>0</v>
      </c>
      <c r="E20" s="369">
        <v>0</v>
      </c>
      <c r="F20" s="369">
        <v>0</v>
      </c>
      <c r="G20" s="369">
        <v>0</v>
      </c>
      <c r="H20" s="369">
        <v>0</v>
      </c>
      <c r="I20" s="369">
        <v>0</v>
      </c>
      <c r="J20" s="354"/>
    </row>
    <row r="21" ht="17.5" customHeight="1" spans="1:10" x14ac:dyDescent="0.25">
      <c r="A21" s="145" t="s">
        <v>924</v>
      </c>
      <c r="B21" s="352">
        <v>0.2</v>
      </c>
      <c r="C21" s="369">
        <v>0</v>
      </c>
      <c r="D21" s="369">
        <v>0</v>
      </c>
      <c r="E21" s="369">
        <v>0</v>
      </c>
      <c r="F21" s="369">
        <v>0</v>
      </c>
      <c r="G21" s="369">
        <v>0</v>
      </c>
      <c r="H21" s="369">
        <v>0</v>
      </c>
      <c r="I21" s="369">
        <v>0</v>
      </c>
      <c r="J21" s="369">
        <v>0</v>
      </c>
    </row>
    <row r="22" ht="17.5" customHeight="1" spans="1:10" x14ac:dyDescent="0.25">
      <c r="A22" s="145" t="s">
        <v>925</v>
      </c>
      <c r="B22" s="352">
        <v>0.5</v>
      </c>
      <c r="C22" s="369">
        <v>0</v>
      </c>
      <c r="D22" s="369">
        <v>0</v>
      </c>
      <c r="E22" s="369">
        <v>0</v>
      </c>
      <c r="F22" s="369">
        <v>0</v>
      </c>
      <c r="G22" s="369">
        <v>0</v>
      </c>
      <c r="H22" s="369">
        <v>0</v>
      </c>
      <c r="I22" s="369">
        <v>0</v>
      </c>
      <c r="J22" s="369">
        <v>0</v>
      </c>
    </row>
    <row r="23" ht="17.5" customHeight="1" spans="1:10" x14ac:dyDescent="0.25">
      <c r="A23" s="145" t="s">
        <v>926</v>
      </c>
      <c r="B23" s="352">
        <v>1</v>
      </c>
      <c r="C23" s="369">
        <v>0</v>
      </c>
      <c r="D23" s="369">
        <v>0</v>
      </c>
      <c r="E23" s="369">
        <v>0</v>
      </c>
      <c r="F23" s="369">
        <v>0</v>
      </c>
      <c r="G23" s="369">
        <v>0</v>
      </c>
      <c r="H23" s="369">
        <v>0</v>
      </c>
      <c r="I23" s="369">
        <v>0</v>
      </c>
      <c r="J23" s="369">
        <v>0</v>
      </c>
    </row>
    <row r="24" ht="17.5" customHeight="1" spans="1:10" x14ac:dyDescent="0.25">
      <c r="A24" s="145" t="s">
        <v>927</v>
      </c>
      <c r="B24" s="352">
        <v>1.5</v>
      </c>
      <c r="C24" s="369">
        <v>0</v>
      </c>
      <c r="D24" s="369">
        <v>0</v>
      </c>
      <c r="E24" s="369">
        <v>0</v>
      </c>
      <c r="F24" s="369">
        <v>0</v>
      </c>
      <c r="G24" s="369">
        <v>0</v>
      </c>
      <c r="H24" s="369">
        <v>0</v>
      </c>
      <c r="I24" s="369">
        <v>0</v>
      </c>
      <c r="J24" s="369">
        <v>0</v>
      </c>
    </row>
    <row r="25" ht="18" customHeight="1" spans="1:10" x14ac:dyDescent="0.25">
      <c r="A25" s="145" t="s">
        <v>928</v>
      </c>
      <c r="B25" s="57" t="s">
        <v>520</v>
      </c>
      <c r="C25" s="369">
        <v>0</v>
      </c>
      <c r="D25" s="369">
        <v>0</v>
      </c>
      <c r="E25" s="369">
        <v>0</v>
      </c>
      <c r="F25" s="369">
        <v>0</v>
      </c>
      <c r="G25" s="369">
        <v>0</v>
      </c>
      <c r="H25" s="369">
        <v>0</v>
      </c>
      <c r="I25" s="369">
        <v>0</v>
      </c>
      <c r="J25" s="369">
        <v>0</v>
      </c>
    </row>
    <row r="26" ht="9" customHeight="1" spans="1:10" x14ac:dyDescent="0.25">
      <c r="A26" s="356"/>
      <c r="B26" s="356"/>
      <c r="C26" s="356"/>
      <c r="D26" s="356"/>
      <c r="E26" s="356"/>
      <c r="F26" s="356"/>
      <c r="G26" s="356"/>
      <c r="H26" s="356"/>
      <c r="I26" s="356"/>
      <c r="J26" s="356"/>
    </row>
    <row r="27" ht="18" customHeight="1" spans="1:10" x14ac:dyDescent="0.25">
      <c r="A27" s="357"/>
      <c r="B27" s="157" t="s">
        <v>847</v>
      </c>
      <c r="C27" s="183"/>
      <c r="D27" s="183"/>
      <c r="E27" s="183"/>
      <c r="F27" s="183"/>
      <c r="G27" s="183"/>
      <c r="H27" s="183"/>
      <c r="I27" s="183"/>
      <c r="J27" s="358"/>
    </row>
    <row r="28" ht="17.5" customHeight="1" spans="1:10" x14ac:dyDescent="0.25">
      <c r="A28" s="145" t="s">
        <v>929</v>
      </c>
      <c r="B28" s="352">
        <v>0</v>
      </c>
      <c r="C28" s="354"/>
      <c r="D28" s="369">
        <v>0</v>
      </c>
      <c r="E28" s="369">
        <v>0</v>
      </c>
      <c r="F28" s="369">
        <v>0</v>
      </c>
      <c r="G28" s="369">
        <v>0</v>
      </c>
      <c r="H28" s="369">
        <v>0</v>
      </c>
      <c r="I28" s="369">
        <f t="shared" ref="I28:I32" si="2">H28+G28+F28+E28+D28+C28</f>
        <v>0</v>
      </c>
      <c r="J28" s="354"/>
    </row>
    <row r="29" ht="17.5" customHeight="1" spans="1:10" x14ac:dyDescent="0.25">
      <c r="A29" s="145" t="s">
        <v>930</v>
      </c>
      <c r="B29" s="352">
        <v>0.2</v>
      </c>
      <c r="C29" s="369">
        <v>0</v>
      </c>
      <c r="D29" s="369">
        <v>0</v>
      </c>
      <c r="E29" s="369">
        <v>0</v>
      </c>
      <c r="F29" s="369">
        <v>0</v>
      </c>
      <c r="G29" s="369">
        <v>0</v>
      </c>
      <c r="H29" s="369">
        <v>0</v>
      </c>
      <c r="I29" s="369">
        <f t="shared" si="2"/>
        <v>0</v>
      </c>
      <c r="J29" s="369">
        <f>I29*B29</f>
        <v>0</v>
      </c>
    </row>
    <row r="30" ht="17.5" customHeight="1" spans="1:10" x14ac:dyDescent="0.25">
      <c r="A30" s="145" t="s">
        <v>931</v>
      </c>
      <c r="B30" s="352">
        <v>0.5</v>
      </c>
      <c r="C30" s="369">
        <f>'EP10'!N34</f>
        <v>9458</v>
      </c>
      <c r="D30" s="369">
        <v>0</v>
      </c>
      <c r="E30" s="369">
        <v>0</v>
      </c>
      <c r="F30" s="369">
        <v>0</v>
      </c>
      <c r="G30" s="369">
        <v>0</v>
      </c>
      <c r="H30" s="369">
        <v>0</v>
      </c>
      <c r="I30" s="369">
        <f t="shared" si="2"/>
        <v>9458</v>
      </c>
      <c r="J30" s="369">
        <f>I30*B30</f>
        <v>4729</v>
      </c>
    </row>
    <row r="31" ht="17.5" customHeight="1" spans="1:10" x14ac:dyDescent="0.25">
      <c r="A31" s="145" t="s">
        <v>932</v>
      </c>
      <c r="B31" s="352">
        <v>1</v>
      </c>
      <c r="C31" s="369">
        <v>0</v>
      </c>
      <c r="D31" s="369">
        <v>0</v>
      </c>
      <c r="E31" s="369">
        <v>0</v>
      </c>
      <c r="F31" s="369">
        <v>0</v>
      </c>
      <c r="G31" s="369">
        <v>0</v>
      </c>
      <c r="H31" s="369">
        <v>0</v>
      </c>
      <c r="I31" s="369">
        <f t="shared" si="2"/>
        <v>0</v>
      </c>
      <c r="J31" s="369">
        <f>I31*B31</f>
        <v>0</v>
      </c>
    </row>
    <row r="32" ht="17.5" customHeight="1" spans="1:10" x14ac:dyDescent="0.25">
      <c r="A32" s="145" t="s">
        <v>933</v>
      </c>
      <c r="B32" s="352">
        <v>1.5</v>
      </c>
      <c r="C32" s="369">
        <v>0</v>
      </c>
      <c r="D32" s="369">
        <v>0</v>
      </c>
      <c r="E32" s="369">
        <v>0</v>
      </c>
      <c r="F32" s="369">
        <v>0</v>
      </c>
      <c r="G32" s="369">
        <v>0</v>
      </c>
      <c r="H32" s="369">
        <v>0</v>
      </c>
      <c r="I32" s="369">
        <f t="shared" si="2"/>
        <v>0</v>
      </c>
      <c r="J32" s="369">
        <f>I32*B32</f>
        <v>0</v>
      </c>
    </row>
    <row r="33" ht="18" customHeight="1" spans="1:10" x14ac:dyDescent="0.25">
      <c r="A33" s="145" t="s">
        <v>934</v>
      </c>
      <c r="B33" s="57" t="s">
        <v>520</v>
      </c>
      <c r="C33" s="369">
        <f>C28+C29+C30+C31+C32</f>
        <v>9458</v>
      </c>
      <c r="D33" s="369">
        <f t="shared" ref="D33:J33" si="3">D28+D29+D30+D31+D32</f>
        <v>0</v>
      </c>
      <c r="E33" s="369">
        <f t="shared" si="3"/>
        <v>0</v>
      </c>
      <c r="F33" s="369">
        <f t="shared" si="3"/>
        <v>0</v>
      </c>
      <c r="G33" s="369">
        <f t="shared" si="3"/>
        <v>0</v>
      </c>
      <c r="H33" s="369">
        <f t="shared" si="3"/>
        <v>0</v>
      </c>
      <c r="I33" s="369">
        <f t="shared" si="3"/>
        <v>9458</v>
      </c>
      <c r="J33" s="369">
        <f t="shared" si="3"/>
        <v>4729</v>
      </c>
    </row>
    <row r="34" ht="9" customHeight="1" spans="1:10" x14ac:dyDescent="0.25">
      <c r="A34" s="356"/>
      <c r="B34" s="356"/>
      <c r="C34" s="356"/>
      <c r="D34" s="356"/>
      <c r="E34" s="356"/>
      <c r="F34" s="356"/>
      <c r="G34" s="356"/>
      <c r="H34" s="356"/>
      <c r="I34" s="356"/>
      <c r="J34" s="356"/>
    </row>
    <row r="35" ht="18" customHeight="1" spans="1:10" x14ac:dyDescent="0.25">
      <c r="A35" s="357"/>
      <c r="B35" s="157" t="s">
        <v>854</v>
      </c>
      <c r="C35" s="183"/>
      <c r="D35" s="183"/>
      <c r="E35" s="183"/>
      <c r="F35" s="183"/>
      <c r="G35" s="183"/>
      <c r="H35" s="183"/>
      <c r="I35" s="183"/>
      <c r="J35" s="358"/>
    </row>
    <row r="36" ht="17.5" customHeight="1" spans="1:10" x14ac:dyDescent="0.25">
      <c r="A36" s="145" t="s">
        <v>935</v>
      </c>
      <c r="B36" s="352">
        <v>0</v>
      </c>
      <c r="C36" s="354"/>
      <c r="D36" s="369">
        <v>0</v>
      </c>
      <c r="E36" s="369">
        <v>0</v>
      </c>
      <c r="F36" s="369">
        <v>0</v>
      </c>
      <c r="G36" s="369">
        <v>0</v>
      </c>
      <c r="H36" s="369">
        <v>0</v>
      </c>
      <c r="I36" s="369">
        <v>0</v>
      </c>
      <c r="J36" s="354"/>
    </row>
    <row r="37" ht="17.5" customHeight="1" spans="1:10" x14ac:dyDescent="0.25">
      <c r="A37" s="145" t="s">
        <v>936</v>
      </c>
      <c r="B37" s="352">
        <v>0.2</v>
      </c>
      <c r="C37" s="369">
        <v>0</v>
      </c>
      <c r="D37" s="369">
        <v>0</v>
      </c>
      <c r="E37" s="369">
        <v>0</v>
      </c>
      <c r="F37" s="369">
        <v>0</v>
      </c>
      <c r="G37" s="369">
        <v>0</v>
      </c>
      <c r="H37" s="369">
        <v>0</v>
      </c>
      <c r="I37" s="369">
        <v>0</v>
      </c>
      <c r="J37" s="369">
        <v>0</v>
      </c>
    </row>
    <row r="38" ht="17.5" customHeight="1" spans="1:10" x14ac:dyDescent="0.25">
      <c r="A38" s="145" t="s">
        <v>937</v>
      </c>
      <c r="B38" s="352">
        <v>0.5</v>
      </c>
      <c r="C38" s="369">
        <v>0</v>
      </c>
      <c r="D38" s="369">
        <v>0</v>
      </c>
      <c r="E38" s="369">
        <v>0</v>
      </c>
      <c r="F38" s="369">
        <v>0</v>
      </c>
      <c r="G38" s="369">
        <v>0</v>
      </c>
      <c r="H38" s="369">
        <v>0</v>
      </c>
      <c r="I38" s="369">
        <v>0</v>
      </c>
      <c r="J38" s="369">
        <v>0</v>
      </c>
    </row>
    <row r="39" ht="17.5" customHeight="1" spans="1:10" x14ac:dyDescent="0.25">
      <c r="A39" s="145" t="s">
        <v>938</v>
      </c>
      <c r="B39" s="352">
        <v>1</v>
      </c>
      <c r="C39" s="369">
        <v>0</v>
      </c>
      <c r="D39" s="369">
        <v>0</v>
      </c>
      <c r="E39" s="369">
        <v>0</v>
      </c>
      <c r="F39" s="369">
        <v>0</v>
      </c>
      <c r="G39" s="369">
        <v>0</v>
      </c>
      <c r="H39" s="369">
        <v>0</v>
      </c>
      <c r="I39" s="369">
        <v>0</v>
      </c>
      <c r="J39" s="369">
        <v>0</v>
      </c>
    </row>
    <row r="40" ht="17.5" customHeight="1" spans="1:10" x14ac:dyDescent="0.25">
      <c r="A40" s="145" t="s">
        <v>939</v>
      </c>
      <c r="B40" s="352">
        <v>1.5</v>
      </c>
      <c r="C40" s="369">
        <v>0</v>
      </c>
      <c r="D40" s="369">
        <v>0</v>
      </c>
      <c r="E40" s="369">
        <v>0</v>
      </c>
      <c r="F40" s="369">
        <v>0</v>
      </c>
      <c r="G40" s="369">
        <v>0</v>
      </c>
      <c r="H40" s="369">
        <v>0</v>
      </c>
      <c r="I40" s="369">
        <v>0</v>
      </c>
      <c r="J40" s="369">
        <v>0</v>
      </c>
    </row>
    <row r="41" ht="18" customHeight="1" spans="1:10" x14ac:dyDescent="0.25">
      <c r="A41" s="145" t="s">
        <v>940</v>
      </c>
      <c r="B41" s="57" t="s">
        <v>520</v>
      </c>
      <c r="C41" s="369">
        <v>0</v>
      </c>
      <c r="D41" s="369">
        <v>0</v>
      </c>
      <c r="E41" s="369">
        <v>0</v>
      </c>
      <c r="F41" s="369">
        <v>0</v>
      </c>
      <c r="G41" s="369">
        <v>0</v>
      </c>
      <c r="H41" s="369">
        <v>0</v>
      </c>
      <c r="I41" s="369">
        <v>0</v>
      </c>
      <c r="J41" s="369">
        <v>0</v>
      </c>
    </row>
    <row r="42" ht="9" customHeight="1" spans="1:10" x14ac:dyDescent="0.25">
      <c r="A42" s="362"/>
      <c r="B42" s="362"/>
      <c r="C42" s="362"/>
      <c r="D42" s="362"/>
      <c r="E42" s="362"/>
      <c r="F42" s="362"/>
      <c r="G42" s="362"/>
      <c r="H42" s="362"/>
      <c r="I42" s="362"/>
      <c r="J42" s="362"/>
    </row>
    <row r="43" ht="18" customHeight="1" spans="1:10" s="337" customFormat="1" x14ac:dyDescent="0.25">
      <c r="A43" s="252" t="s">
        <v>655</v>
      </c>
      <c r="B43" s="363" t="s">
        <v>941</v>
      </c>
      <c r="C43" s="369">
        <f>C17+C25+C33+C41</f>
        <v>76900</v>
      </c>
      <c r="D43" s="369">
        <f t="shared" ref="D43:I43" si="4">D17+D25+D33+D41</f>
        <v>0</v>
      </c>
      <c r="E43" s="369">
        <f t="shared" si="4"/>
        <v>0</v>
      </c>
      <c r="F43" s="369">
        <f t="shared" si="4"/>
        <v>0</v>
      </c>
      <c r="G43" s="369">
        <f t="shared" si="4"/>
        <v>0</v>
      </c>
      <c r="H43" s="369">
        <f t="shared" si="4"/>
        <v>0</v>
      </c>
      <c r="I43" s="369">
        <f t="shared" si="4"/>
        <v>76900</v>
      </c>
      <c r="J43" s="369">
        <f>J17+J25+J33+J41</f>
        <v>38381.6</v>
      </c>
    </row>
    <row r="44" ht="9" customHeight="1" spans="2:10" x14ac:dyDescent="0.25">
      <c r="B44" s="317"/>
      <c r="C44" s="317"/>
      <c r="D44" s="317"/>
      <c r="E44" s="317"/>
      <c r="F44" s="317"/>
      <c r="G44" s="317"/>
      <c r="H44" s="317"/>
      <c r="I44" s="317"/>
      <c r="J44" s="317"/>
    </row>
    <row r="45" ht="9" customHeight="1" spans="10:10" x14ac:dyDescent="0.25">
      <c r="J45" s="317"/>
    </row>
    <row r="46" ht="9" customHeight="1" spans="10:10" x14ac:dyDescent="0.25">
      <c r="J46" s="317"/>
    </row>
    <row r="47" ht="9" customHeight="1" spans="10:10" x14ac:dyDescent="0.25">
      <c r="J47" s="317"/>
    </row>
    <row r="48" ht="9" customHeight="1" spans="10:10" x14ac:dyDescent="0.25">
      <c r="J48" s="317"/>
    </row>
    <row r="49" ht="9" customHeight="1" s="317" customFormat="1" x14ac:dyDescent="0.25"/>
    <row r="50" ht="9" customHeight="1" s="317" customFormat="1" x14ac:dyDescent="0.25"/>
    <row r="51" ht="9" customHeight="1" s="317" customFormat="1" x14ac:dyDescent="0.25"/>
    <row r="52" ht="9" customHeight="1" s="317" customFormat="1" x14ac:dyDescent="0.25"/>
    <row r="53" ht="9" customHeight="1" s="317" customFormat="1" x14ac:dyDescent="0.25"/>
    <row r="54" ht="9" customHeight="1" s="317" customFormat="1" x14ac:dyDescent="0.25"/>
    <row r="55" ht="9" customHeight="1" s="317" customFormat="1" x14ac:dyDescent="0.25"/>
    <row r="56" ht="9" customHeight="1" s="317" customFormat="1" x14ac:dyDescent="0.25"/>
    <row r="57" ht="9" customHeight="1" s="317" customFormat="1" x14ac:dyDescent="0.25"/>
    <row r="58" ht="9" customHeight="1" s="317" customFormat="1" x14ac:dyDescent="0.25"/>
  </sheetData>
  <sheetProtection sheet="1" algorithmName="SHA-512" hashValue="p2SoXJ8ivcTcuzyYoxUgU8acn8uJsfnYc0KxkS3JuK7Muj/f/W6a35atOnJfljUrcNNEgSIMKT3ccRH9261MbQ==" saltValue="IvFG321oFRsFsoNvUiw2mA==" spinCount="100000" objects="1" scenarios="1"/>
  <mergeCells count="12">
    <mergeCell ref="B1:I1"/>
    <mergeCell ref="D8:F8"/>
    <mergeCell ref="G8:H8"/>
    <mergeCell ref="A8:A9"/>
    <mergeCell ref="B8:B9"/>
    <mergeCell ref="J8:J9"/>
    <mergeCell ref="B11:J11"/>
    <mergeCell ref="A18:J18"/>
    <mergeCell ref="A26:J26"/>
    <mergeCell ref="A34:J34"/>
    <mergeCell ref="A42:J42"/>
    <mergeCell ref="B44:J44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7" fitToWidth="1" fitToHeight="1" firstPageNumber="1" useFirstPageNumber="1" copies="1"/>
  <headerFooter>
    <oddFooter>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62"/>
  <sheetViews>
    <sheetView workbookViewId="0" zoomScale="60" zoomScaleNormal="60" view="pageBreakPreview">
      <selection activeCell="C17" sqref="C17"/>
    </sheetView>
  </sheetViews>
  <sheetFormatPr defaultRowHeight="9" outlineLevelRow="0" outlineLevelCol="0" x14ac:dyDescent="0" defaultColWidth="10" customHeight="1"/>
  <cols>
    <col min="1" max="1" width="10" style="317" customWidth="1"/>
    <col min="2" max="2" width="57.36328125" style="317" customWidth="1"/>
    <col min="3" max="6" width="21.26953125" style="317" customWidth="1"/>
    <col min="7" max="8" width="25.90625" style="317" customWidth="1"/>
    <col min="9" max="9" width="21.26953125" style="317" customWidth="1"/>
    <col min="10" max="10" width="21.26953125" style="341" customWidth="1"/>
    <col min="11" max="16384" width="10" style="317" customWidth="1"/>
  </cols>
  <sheetData>
    <row r="1" ht="29.25" customHeight="1" spans="2:12" x14ac:dyDescent="0.25">
      <c r="B1" s="319" t="s">
        <v>942</v>
      </c>
      <c r="C1" s="319"/>
      <c r="D1" s="319"/>
      <c r="E1" s="319"/>
      <c r="F1" s="319"/>
      <c r="G1" s="319"/>
      <c r="H1" s="319"/>
      <c r="I1" s="319"/>
      <c r="J1" s="320" t="s">
        <v>64</v>
      </c>
      <c r="K1" s="323"/>
      <c r="L1" s="323"/>
    </row>
    <row r="2" ht="31.5" customHeight="1" spans="2:1025" s="364" customFormat="1" x14ac:dyDescent="0.25">
      <c r="B2" s="373"/>
      <c r="C2" s="374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1:12" s="343" customFormat="1" x14ac:dyDescent="0.25">
      <c r="A3" s="375"/>
      <c r="B3" s="376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76"/>
      <c r="B4" s="375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76"/>
      <c r="B5" s="375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1:12" s="343" customFormat="1" x14ac:dyDescent="0.25">
      <c r="A6" s="375"/>
      <c r="B6" s="375"/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2:12" x14ac:dyDescent="0.25">
      <c r="B7" s="377"/>
      <c r="C7" s="377"/>
      <c r="D7" s="377"/>
      <c r="E7" s="377"/>
      <c r="F7" s="377"/>
      <c r="G7" s="377"/>
      <c r="H7" s="377"/>
      <c r="I7" s="377"/>
      <c r="J7" s="377"/>
      <c r="K7" s="377"/>
      <c r="L7" s="377"/>
    </row>
    <row r="8" ht="20.25" customHeight="1" spans="1:1025" s="377" customFormat="1" x14ac:dyDescent="0.25">
      <c r="A8" s="135" t="s">
        <v>113</v>
      </c>
      <c r="B8" s="346" t="s">
        <v>820</v>
      </c>
      <c r="C8" s="378" t="s">
        <v>821</v>
      </c>
      <c r="D8" s="379" t="s">
        <v>822</v>
      </c>
      <c r="E8" s="379"/>
      <c r="F8" s="379"/>
      <c r="G8" s="379" t="s">
        <v>823</v>
      </c>
      <c r="H8" s="379"/>
      <c r="I8" s="380" t="s">
        <v>824</v>
      </c>
      <c r="J8" s="346" t="s">
        <v>825</v>
      </c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D8" s="373"/>
      <c r="AE8" s="373"/>
      <c r="AF8" s="373"/>
      <c r="AG8" s="373"/>
      <c r="AH8" s="373"/>
      <c r="AI8" s="373"/>
      <c r="AJ8" s="373"/>
      <c r="AK8" s="373"/>
      <c r="AL8" s="373"/>
      <c r="AM8" s="373"/>
      <c r="AN8" s="373"/>
      <c r="AO8" s="373"/>
      <c r="AP8" s="373"/>
      <c r="AQ8" s="373"/>
      <c r="AR8" s="373"/>
      <c r="AS8" s="373"/>
      <c r="AT8" s="373"/>
      <c r="AU8" s="373"/>
      <c r="AV8" s="373"/>
      <c r="AW8" s="373"/>
      <c r="AX8" s="373"/>
      <c r="AY8" s="373"/>
      <c r="AZ8" s="373"/>
      <c r="BA8" s="373"/>
      <c r="BB8" s="373"/>
      <c r="BC8" s="373"/>
      <c r="BD8" s="373"/>
      <c r="BE8" s="373"/>
      <c r="BF8" s="373"/>
      <c r="BG8" s="373"/>
      <c r="BH8" s="373"/>
      <c r="BI8" s="373"/>
      <c r="BJ8" s="373"/>
      <c r="BK8" s="373"/>
      <c r="BL8" s="373"/>
      <c r="BM8" s="373"/>
      <c r="BN8" s="373"/>
      <c r="BO8" s="373"/>
      <c r="BP8" s="373"/>
      <c r="BQ8" s="373"/>
      <c r="BR8" s="373"/>
      <c r="BS8" s="373"/>
      <c r="BT8" s="373"/>
      <c r="BU8" s="373"/>
      <c r="BV8" s="373"/>
      <c r="BW8" s="373"/>
      <c r="BX8" s="373"/>
      <c r="BY8" s="373"/>
      <c r="BZ8" s="373"/>
      <c r="CA8" s="373"/>
      <c r="CB8" s="373"/>
      <c r="CC8" s="373"/>
      <c r="CD8" s="373"/>
      <c r="CE8" s="373"/>
      <c r="CF8" s="373"/>
      <c r="CG8" s="373"/>
      <c r="CH8" s="373"/>
      <c r="CI8" s="373"/>
      <c r="CJ8" s="373"/>
      <c r="CK8" s="373"/>
      <c r="CL8" s="373"/>
      <c r="CM8" s="373"/>
      <c r="CN8" s="373"/>
      <c r="CO8" s="373"/>
      <c r="CP8" s="373"/>
      <c r="CQ8" s="373"/>
      <c r="CR8" s="373"/>
      <c r="CS8" s="373"/>
      <c r="CT8" s="373"/>
      <c r="CU8" s="373"/>
      <c r="CV8" s="373"/>
      <c r="CW8" s="373"/>
      <c r="CX8" s="373"/>
      <c r="CY8" s="373"/>
      <c r="CZ8" s="373"/>
      <c r="DA8" s="373"/>
      <c r="DB8" s="373"/>
      <c r="DC8" s="373"/>
      <c r="DD8" s="373"/>
      <c r="DE8" s="373"/>
      <c r="DF8" s="373"/>
      <c r="DG8" s="373"/>
      <c r="DH8" s="373"/>
      <c r="DI8" s="373"/>
      <c r="DJ8" s="373"/>
      <c r="DK8" s="373"/>
      <c r="DL8" s="373"/>
      <c r="DM8" s="373"/>
      <c r="DN8" s="373"/>
      <c r="DO8" s="373"/>
      <c r="DP8" s="373"/>
      <c r="DQ8" s="373"/>
      <c r="DR8" s="373"/>
      <c r="DS8" s="373"/>
      <c r="DT8" s="373"/>
      <c r="DU8" s="373"/>
      <c r="DV8" s="373"/>
      <c r="DW8" s="373"/>
      <c r="DX8" s="373"/>
      <c r="DY8" s="373"/>
      <c r="DZ8" s="373"/>
      <c r="EA8" s="373"/>
      <c r="EB8" s="373"/>
      <c r="EC8" s="373"/>
      <c r="ED8" s="373"/>
      <c r="EE8" s="373"/>
      <c r="EF8" s="373"/>
      <c r="EG8" s="373"/>
      <c r="EH8" s="373"/>
      <c r="EI8" s="373"/>
      <c r="EJ8" s="373"/>
      <c r="EK8" s="373"/>
      <c r="EL8" s="373"/>
      <c r="EM8" s="373"/>
      <c r="EN8" s="373"/>
      <c r="EO8" s="373"/>
      <c r="EP8" s="373"/>
      <c r="EQ8" s="373"/>
      <c r="ER8" s="373"/>
      <c r="ES8" s="373"/>
      <c r="ET8" s="373"/>
      <c r="EU8" s="373"/>
      <c r="EV8" s="373"/>
      <c r="EW8" s="373"/>
      <c r="EX8" s="373"/>
      <c r="EY8" s="373"/>
      <c r="EZ8" s="373"/>
      <c r="FA8" s="373"/>
      <c r="FB8" s="373"/>
      <c r="FC8" s="373"/>
      <c r="FD8" s="373"/>
      <c r="FE8" s="373"/>
      <c r="FF8" s="373"/>
      <c r="FG8" s="373"/>
      <c r="FH8" s="373"/>
      <c r="FI8" s="373"/>
      <c r="FJ8" s="373"/>
      <c r="FK8" s="373"/>
      <c r="FL8" s="373"/>
      <c r="FM8" s="373"/>
      <c r="FN8" s="373"/>
      <c r="FO8" s="373"/>
      <c r="FP8" s="373"/>
      <c r="FQ8" s="373"/>
      <c r="FR8" s="373"/>
      <c r="FS8" s="373"/>
      <c r="FT8" s="373"/>
      <c r="FU8" s="373"/>
      <c r="FV8" s="373"/>
      <c r="FW8" s="373"/>
      <c r="FX8" s="373"/>
      <c r="FY8" s="373"/>
      <c r="FZ8" s="373"/>
      <c r="GA8" s="373"/>
      <c r="GB8" s="373"/>
      <c r="GC8" s="373"/>
      <c r="GD8" s="373"/>
      <c r="GE8" s="373"/>
      <c r="GF8" s="373"/>
      <c r="GG8" s="373"/>
      <c r="GH8" s="373"/>
      <c r="GI8" s="373"/>
      <c r="GJ8" s="373"/>
      <c r="GK8" s="373"/>
      <c r="GL8" s="373"/>
      <c r="GM8" s="373"/>
      <c r="GN8" s="373"/>
      <c r="GO8" s="373"/>
      <c r="GP8" s="373"/>
      <c r="GQ8" s="373"/>
      <c r="GR8" s="373"/>
      <c r="GS8" s="373"/>
      <c r="GT8" s="373"/>
      <c r="GU8" s="373"/>
      <c r="GV8" s="373"/>
      <c r="GW8" s="373"/>
      <c r="GX8" s="373"/>
      <c r="GY8" s="373"/>
      <c r="GZ8" s="373"/>
      <c r="HA8" s="373"/>
      <c r="HB8" s="373"/>
      <c r="HC8" s="373"/>
      <c r="HD8" s="373"/>
      <c r="HE8" s="373"/>
      <c r="HF8" s="373"/>
      <c r="HG8" s="373"/>
      <c r="HH8" s="373"/>
      <c r="HI8" s="373"/>
      <c r="HJ8" s="373"/>
      <c r="HK8" s="373"/>
      <c r="HL8" s="373"/>
      <c r="HM8" s="373"/>
      <c r="HN8" s="373"/>
      <c r="HO8" s="373"/>
      <c r="HP8" s="373"/>
      <c r="HQ8" s="373"/>
      <c r="HR8" s="373"/>
      <c r="HS8" s="373"/>
      <c r="HT8" s="373"/>
      <c r="HU8" s="373"/>
      <c r="HV8" s="373"/>
      <c r="HW8" s="373"/>
      <c r="HX8" s="373"/>
      <c r="HY8" s="373"/>
      <c r="HZ8" s="373"/>
      <c r="IA8" s="373"/>
      <c r="IB8" s="373"/>
      <c r="IC8" s="373"/>
      <c r="ID8" s="373"/>
      <c r="IE8" s="373"/>
      <c r="IF8" s="373"/>
      <c r="IG8" s="373"/>
      <c r="IH8" s="373"/>
      <c r="II8" s="373"/>
      <c r="IJ8" s="373"/>
      <c r="IK8" s="373"/>
      <c r="IL8" s="373"/>
      <c r="IM8" s="373"/>
      <c r="IN8" s="373"/>
      <c r="IO8" s="373"/>
      <c r="IP8" s="373"/>
      <c r="IQ8" s="373"/>
      <c r="IR8" s="373"/>
      <c r="IS8" s="373"/>
      <c r="IT8" s="373"/>
      <c r="IU8" s="373"/>
      <c r="IV8" s="373"/>
      <c r="IW8" s="373"/>
      <c r="IX8" s="373"/>
      <c r="IY8" s="373"/>
      <c r="IZ8" s="373"/>
      <c r="JA8" s="373"/>
      <c r="JB8" s="373"/>
      <c r="JC8" s="373"/>
      <c r="JD8" s="373"/>
      <c r="JE8" s="373"/>
      <c r="JF8" s="373"/>
      <c r="JG8" s="373"/>
      <c r="JH8" s="373"/>
      <c r="JI8" s="373"/>
      <c r="JJ8" s="373"/>
      <c r="JK8" s="373"/>
      <c r="JL8" s="373"/>
      <c r="JM8" s="373"/>
      <c r="JN8" s="373"/>
      <c r="JO8" s="373"/>
      <c r="JP8" s="373"/>
      <c r="JQ8" s="373"/>
      <c r="JR8" s="373"/>
      <c r="JS8" s="373"/>
      <c r="JT8" s="373"/>
      <c r="JU8" s="373"/>
      <c r="JV8" s="373"/>
      <c r="JW8" s="373"/>
      <c r="JX8" s="373"/>
      <c r="JY8" s="373"/>
      <c r="JZ8" s="373"/>
      <c r="KA8" s="373"/>
      <c r="KB8" s="373"/>
      <c r="KC8" s="373"/>
      <c r="KD8" s="373"/>
      <c r="KE8" s="373"/>
      <c r="KF8" s="373"/>
      <c r="KG8" s="373"/>
      <c r="KH8" s="373"/>
      <c r="KI8" s="373"/>
      <c r="KJ8" s="373"/>
      <c r="KK8" s="373"/>
      <c r="KL8" s="373"/>
      <c r="KM8" s="373"/>
      <c r="KN8" s="373"/>
      <c r="KO8" s="373"/>
      <c r="KP8" s="373"/>
      <c r="KQ8" s="373"/>
      <c r="KR8" s="373"/>
      <c r="KS8" s="373"/>
      <c r="KT8" s="373"/>
      <c r="KU8" s="373"/>
      <c r="KV8" s="373"/>
      <c r="KW8" s="373"/>
      <c r="KX8" s="373"/>
      <c r="KY8" s="373"/>
      <c r="KZ8" s="373"/>
      <c r="LA8" s="373"/>
      <c r="LB8" s="373"/>
      <c r="LC8" s="373"/>
      <c r="LD8" s="373"/>
      <c r="LE8" s="373"/>
      <c r="LF8" s="373"/>
      <c r="LG8" s="373"/>
      <c r="LH8" s="373"/>
      <c r="LI8" s="373"/>
      <c r="LJ8" s="373"/>
      <c r="LK8" s="373"/>
      <c r="LL8" s="373"/>
      <c r="LM8" s="373"/>
      <c r="LN8" s="373"/>
      <c r="LO8" s="373"/>
      <c r="LP8" s="373"/>
      <c r="LQ8" s="373"/>
      <c r="LR8" s="373"/>
      <c r="LS8" s="373"/>
      <c r="LT8" s="373"/>
      <c r="LU8" s="373"/>
      <c r="LV8" s="373"/>
      <c r="LW8" s="373"/>
      <c r="LX8" s="373"/>
      <c r="LY8" s="373"/>
      <c r="LZ8" s="373"/>
      <c r="MA8" s="373"/>
      <c r="MB8" s="373"/>
      <c r="MC8" s="373"/>
      <c r="MD8" s="373"/>
      <c r="ME8" s="373"/>
      <c r="MF8" s="373"/>
      <c r="MG8" s="373"/>
      <c r="MH8" s="373"/>
      <c r="MI8" s="373"/>
      <c r="MJ8" s="373"/>
      <c r="MK8" s="373"/>
      <c r="ML8" s="373"/>
      <c r="MM8" s="373"/>
      <c r="MN8" s="373"/>
      <c r="MO8" s="373"/>
      <c r="MP8" s="373"/>
      <c r="MQ8" s="373"/>
      <c r="MR8" s="373"/>
      <c r="MS8" s="373"/>
      <c r="MT8" s="373"/>
      <c r="MU8" s="373"/>
      <c r="MV8" s="373"/>
      <c r="MW8" s="373"/>
      <c r="MX8" s="373"/>
      <c r="MY8" s="373"/>
      <c r="MZ8" s="373"/>
      <c r="NA8" s="373"/>
      <c r="NB8" s="373"/>
      <c r="NC8" s="373"/>
      <c r="ND8" s="373"/>
      <c r="NE8" s="373"/>
      <c r="NF8" s="373"/>
      <c r="NG8" s="373"/>
      <c r="NH8" s="373"/>
      <c r="NI8" s="373"/>
      <c r="NJ8" s="373"/>
      <c r="NK8" s="373"/>
      <c r="NL8" s="373"/>
      <c r="NM8" s="373"/>
      <c r="NN8" s="373"/>
      <c r="NO8" s="373"/>
      <c r="NP8" s="373"/>
      <c r="NQ8" s="373"/>
      <c r="NR8" s="373"/>
      <c r="NS8" s="373"/>
      <c r="NT8" s="373"/>
      <c r="NU8" s="373"/>
      <c r="NV8" s="373"/>
      <c r="NW8" s="373"/>
      <c r="NX8" s="373"/>
      <c r="NY8" s="373"/>
      <c r="NZ8" s="373"/>
      <c r="OA8" s="373"/>
      <c r="OB8" s="373"/>
      <c r="OC8" s="373"/>
      <c r="OD8" s="373"/>
      <c r="OE8" s="373"/>
      <c r="OF8" s="373"/>
      <c r="OG8" s="373"/>
      <c r="OH8" s="373"/>
      <c r="OI8" s="373"/>
      <c r="OJ8" s="373"/>
      <c r="OK8" s="373"/>
      <c r="OL8" s="373"/>
      <c r="OM8" s="373"/>
      <c r="ON8" s="373"/>
      <c r="OO8" s="373"/>
      <c r="OP8" s="373"/>
      <c r="OQ8" s="373"/>
      <c r="OR8" s="373"/>
      <c r="OS8" s="373"/>
      <c r="OT8" s="373"/>
      <c r="OU8" s="373"/>
      <c r="OV8" s="373"/>
      <c r="OW8" s="373"/>
      <c r="OX8" s="373"/>
      <c r="OY8" s="373"/>
      <c r="OZ8" s="373"/>
      <c r="PA8" s="373"/>
      <c r="PB8" s="373"/>
      <c r="PC8" s="373"/>
      <c r="PD8" s="373"/>
      <c r="PE8" s="373"/>
      <c r="PF8" s="373"/>
      <c r="PG8" s="373"/>
      <c r="PH8" s="373"/>
      <c r="PI8" s="373"/>
      <c r="PJ8" s="373"/>
      <c r="PK8" s="373"/>
      <c r="PL8" s="373"/>
      <c r="PM8" s="373"/>
      <c r="PN8" s="373"/>
      <c r="PO8" s="373"/>
      <c r="PP8" s="373"/>
      <c r="PQ8" s="373"/>
      <c r="PR8" s="373"/>
      <c r="PS8" s="373"/>
      <c r="PT8" s="373"/>
      <c r="PU8" s="373"/>
      <c r="PV8" s="373"/>
      <c r="PW8" s="373"/>
      <c r="PX8" s="373"/>
      <c r="PY8" s="373"/>
      <c r="PZ8" s="373"/>
      <c r="QA8" s="373"/>
      <c r="QB8" s="373"/>
      <c r="QC8" s="373"/>
      <c r="QD8" s="373"/>
      <c r="QE8" s="373"/>
      <c r="QF8" s="373"/>
      <c r="QG8" s="373"/>
      <c r="QH8" s="373"/>
      <c r="QI8" s="373"/>
      <c r="QJ8" s="373"/>
      <c r="QK8" s="373"/>
      <c r="QL8" s="373"/>
      <c r="QM8" s="373"/>
      <c r="QN8" s="373"/>
      <c r="QO8" s="373"/>
      <c r="QP8" s="373"/>
      <c r="QQ8" s="373"/>
      <c r="QR8" s="373"/>
      <c r="QS8" s="373"/>
      <c r="QT8" s="373"/>
      <c r="QU8" s="373"/>
      <c r="QV8" s="373"/>
      <c r="QW8" s="373"/>
      <c r="QX8" s="373"/>
      <c r="QY8" s="373"/>
      <c r="QZ8" s="373"/>
      <c r="RA8" s="373"/>
      <c r="RB8" s="373"/>
      <c r="RC8" s="373"/>
      <c r="RD8" s="373"/>
      <c r="RE8" s="373"/>
      <c r="RF8" s="373"/>
      <c r="RG8" s="373"/>
      <c r="RH8" s="373"/>
      <c r="RI8" s="373"/>
      <c r="RJ8" s="373"/>
      <c r="RK8" s="373"/>
      <c r="RL8" s="373"/>
      <c r="RM8" s="373"/>
      <c r="RN8" s="373"/>
      <c r="RO8" s="373"/>
      <c r="RP8" s="373"/>
      <c r="RQ8" s="373"/>
      <c r="RR8" s="373"/>
      <c r="RS8" s="373"/>
      <c r="RT8" s="373"/>
      <c r="RU8" s="373"/>
      <c r="RV8" s="373"/>
      <c r="RW8" s="373"/>
      <c r="RX8" s="373"/>
      <c r="RY8" s="373"/>
      <c r="RZ8" s="373"/>
      <c r="SA8" s="373"/>
      <c r="SB8" s="373"/>
      <c r="SC8" s="373"/>
      <c r="SD8" s="373"/>
      <c r="SE8" s="373"/>
      <c r="SF8" s="373"/>
      <c r="SG8" s="373"/>
      <c r="SH8" s="373"/>
      <c r="SI8" s="373"/>
      <c r="SJ8" s="373"/>
      <c r="SK8" s="373"/>
      <c r="SL8" s="373"/>
      <c r="SM8" s="373"/>
      <c r="SN8" s="373"/>
      <c r="SO8" s="373"/>
      <c r="SP8" s="373"/>
      <c r="SQ8" s="373"/>
      <c r="SR8" s="373"/>
      <c r="SS8" s="373"/>
      <c r="ST8" s="373"/>
      <c r="SU8" s="373"/>
      <c r="SV8" s="373"/>
      <c r="SW8" s="373"/>
      <c r="SX8" s="373"/>
      <c r="SY8" s="373"/>
      <c r="SZ8" s="373"/>
      <c r="TA8" s="373"/>
      <c r="TB8" s="373"/>
      <c r="TC8" s="373"/>
      <c r="TD8" s="373"/>
      <c r="TE8" s="373"/>
      <c r="TF8" s="373"/>
      <c r="TG8" s="373"/>
      <c r="TH8" s="373"/>
      <c r="TI8" s="373"/>
      <c r="TJ8" s="373"/>
      <c r="TK8" s="373"/>
      <c r="TL8" s="373"/>
      <c r="TM8" s="373"/>
      <c r="TN8" s="373"/>
      <c r="TO8" s="373"/>
      <c r="TP8" s="373"/>
      <c r="TQ8" s="373"/>
      <c r="TR8" s="373"/>
      <c r="TS8" s="373"/>
      <c r="TT8" s="373"/>
      <c r="TU8" s="373"/>
      <c r="TV8" s="373"/>
      <c r="TW8" s="373"/>
      <c r="TX8" s="373"/>
      <c r="TY8" s="373"/>
      <c r="TZ8" s="373"/>
      <c r="UA8" s="373"/>
      <c r="UB8" s="373"/>
      <c r="UC8" s="373"/>
      <c r="UD8" s="373"/>
      <c r="UE8" s="373"/>
      <c r="UF8" s="373"/>
      <c r="UG8" s="373"/>
      <c r="UH8" s="373"/>
      <c r="UI8" s="373"/>
      <c r="UJ8" s="373"/>
      <c r="UK8" s="373"/>
      <c r="UL8" s="373"/>
      <c r="UM8" s="373"/>
      <c r="UN8" s="373"/>
      <c r="UO8" s="373"/>
      <c r="UP8" s="373"/>
      <c r="UQ8" s="373"/>
      <c r="UR8" s="373"/>
      <c r="US8" s="373"/>
      <c r="UT8" s="373"/>
      <c r="UU8" s="373"/>
      <c r="UV8" s="373"/>
      <c r="UW8" s="373"/>
      <c r="UX8" s="373"/>
      <c r="UY8" s="373"/>
      <c r="UZ8" s="373"/>
      <c r="VA8" s="373"/>
      <c r="VB8" s="373"/>
      <c r="VC8" s="373"/>
      <c r="VD8" s="373"/>
      <c r="VE8" s="373"/>
      <c r="VF8" s="373"/>
      <c r="VG8" s="373"/>
      <c r="VH8" s="373"/>
      <c r="VI8" s="373"/>
      <c r="VJ8" s="373"/>
      <c r="VK8" s="373"/>
      <c r="VL8" s="373"/>
      <c r="VM8" s="373"/>
      <c r="VN8" s="373"/>
      <c r="VO8" s="373"/>
      <c r="VP8" s="373"/>
      <c r="VQ8" s="373"/>
      <c r="VR8" s="373"/>
      <c r="VS8" s="373"/>
      <c r="VT8" s="373"/>
      <c r="VU8" s="373"/>
      <c r="VV8" s="373"/>
      <c r="VW8" s="373"/>
      <c r="VX8" s="373"/>
      <c r="VY8" s="373"/>
      <c r="VZ8" s="373"/>
      <c r="WA8" s="373"/>
      <c r="WB8" s="373"/>
      <c r="WC8" s="373"/>
      <c r="WD8" s="373"/>
      <c r="WE8" s="373"/>
      <c r="WF8" s="373"/>
      <c r="WG8" s="373"/>
      <c r="WH8" s="373"/>
      <c r="WI8" s="373"/>
      <c r="WJ8" s="373"/>
      <c r="WK8" s="373"/>
      <c r="WL8" s="373"/>
      <c r="WM8" s="373"/>
      <c r="WN8" s="373"/>
      <c r="WO8" s="373"/>
      <c r="WP8" s="373"/>
      <c r="WQ8" s="373"/>
      <c r="WR8" s="373"/>
      <c r="WS8" s="373"/>
      <c r="WT8" s="373"/>
      <c r="WU8" s="373"/>
      <c r="WV8" s="373"/>
      <c r="WW8" s="373"/>
      <c r="WX8" s="373"/>
      <c r="WY8" s="373"/>
      <c r="WZ8" s="373"/>
      <c r="XA8" s="373"/>
      <c r="XB8" s="373"/>
      <c r="XC8" s="373"/>
      <c r="XD8" s="373"/>
      <c r="XE8" s="373"/>
      <c r="XF8" s="373"/>
      <c r="XG8" s="373"/>
      <c r="XH8" s="373"/>
      <c r="XI8" s="373"/>
      <c r="XJ8" s="373"/>
      <c r="XK8" s="373"/>
      <c r="XL8" s="373"/>
      <c r="XM8" s="373"/>
      <c r="XN8" s="373"/>
      <c r="XO8" s="373"/>
      <c r="XP8" s="373"/>
      <c r="XQ8" s="373"/>
      <c r="XR8" s="373"/>
      <c r="XS8" s="373"/>
      <c r="XT8" s="373"/>
      <c r="XU8" s="373"/>
      <c r="XV8" s="373"/>
      <c r="XW8" s="373"/>
      <c r="XX8" s="373"/>
      <c r="XY8" s="373"/>
      <c r="XZ8" s="373"/>
      <c r="YA8" s="373"/>
      <c r="YB8" s="373"/>
      <c r="YC8" s="373"/>
      <c r="YD8" s="373"/>
      <c r="YE8" s="373"/>
      <c r="YF8" s="373"/>
      <c r="YG8" s="373"/>
      <c r="YH8" s="373"/>
      <c r="YI8" s="373"/>
      <c r="YJ8" s="373"/>
      <c r="YK8" s="373"/>
      <c r="YL8" s="373"/>
      <c r="YM8" s="373"/>
      <c r="YN8" s="373"/>
      <c r="YO8" s="373"/>
      <c r="YP8" s="373"/>
      <c r="YQ8" s="373"/>
      <c r="YR8" s="373"/>
      <c r="YS8" s="373"/>
      <c r="YT8" s="373"/>
      <c r="YU8" s="373"/>
      <c r="YV8" s="373"/>
      <c r="YW8" s="373"/>
      <c r="YX8" s="373"/>
      <c r="YY8" s="373"/>
      <c r="YZ8" s="373"/>
      <c r="ZA8" s="373"/>
      <c r="ZB8" s="373"/>
      <c r="ZC8" s="373"/>
      <c r="ZD8" s="373"/>
      <c r="ZE8" s="373"/>
      <c r="ZF8" s="373"/>
      <c r="ZG8" s="373"/>
      <c r="ZH8" s="373"/>
      <c r="ZI8" s="373"/>
      <c r="ZJ8" s="373"/>
      <c r="ZK8" s="373"/>
      <c r="ZL8" s="373"/>
      <c r="ZM8" s="373"/>
      <c r="ZN8" s="373"/>
      <c r="ZO8" s="373"/>
      <c r="ZP8" s="373"/>
      <c r="ZQ8" s="373"/>
      <c r="ZR8" s="373"/>
      <c r="ZS8" s="373"/>
      <c r="ZT8" s="373"/>
      <c r="ZU8" s="373"/>
      <c r="ZV8" s="373"/>
      <c r="ZW8" s="373"/>
      <c r="ZX8" s="373"/>
      <c r="ZY8" s="373"/>
      <c r="ZZ8" s="373"/>
      <c r="AAA8" s="373"/>
      <c r="AAB8" s="373"/>
      <c r="AAC8" s="373"/>
      <c r="AAD8" s="373"/>
      <c r="AAE8" s="373"/>
      <c r="AAF8" s="373"/>
      <c r="AAG8" s="373"/>
      <c r="AAH8" s="373"/>
      <c r="AAI8" s="373"/>
      <c r="AAJ8" s="373"/>
      <c r="AAK8" s="373"/>
      <c r="AAL8" s="373"/>
      <c r="AAM8" s="373"/>
      <c r="AAN8" s="373"/>
      <c r="AAO8" s="373"/>
      <c r="AAP8" s="373"/>
      <c r="AAQ8" s="373"/>
      <c r="AAR8" s="373"/>
      <c r="AAS8" s="373"/>
      <c r="AAT8" s="373"/>
      <c r="AAU8" s="373"/>
      <c r="AAV8" s="373"/>
      <c r="AAW8" s="373"/>
      <c r="AAX8" s="373"/>
      <c r="AAY8" s="373"/>
      <c r="AAZ8" s="373"/>
      <c r="ABA8" s="373"/>
      <c r="ABB8" s="373"/>
      <c r="ABC8" s="373"/>
      <c r="ABD8" s="373"/>
      <c r="ABE8" s="373"/>
      <c r="ABF8" s="373"/>
      <c r="ABG8" s="373"/>
      <c r="ABH8" s="373"/>
      <c r="ABI8" s="373"/>
      <c r="ABJ8" s="373"/>
      <c r="ABK8" s="373"/>
      <c r="ABL8" s="373"/>
      <c r="ABM8" s="373"/>
      <c r="ABN8" s="373"/>
      <c r="ABO8" s="373"/>
      <c r="ABP8" s="373"/>
      <c r="ABQ8" s="373"/>
      <c r="ABR8" s="373"/>
      <c r="ABS8" s="373"/>
      <c r="ABT8" s="373"/>
      <c r="ABU8" s="373"/>
      <c r="ABV8" s="373"/>
      <c r="ABW8" s="373"/>
      <c r="ABX8" s="373"/>
      <c r="ABY8" s="373"/>
      <c r="ABZ8" s="373"/>
      <c r="ACA8" s="373"/>
      <c r="ACB8" s="373"/>
      <c r="ACC8" s="373"/>
      <c r="ACD8" s="373"/>
      <c r="ACE8" s="373"/>
      <c r="ACF8" s="373"/>
      <c r="ACG8" s="373"/>
      <c r="ACH8" s="373"/>
      <c r="ACI8" s="373"/>
      <c r="ACJ8" s="373"/>
      <c r="ACK8" s="373"/>
      <c r="ACL8" s="373"/>
      <c r="ACM8" s="373"/>
      <c r="ACN8" s="373"/>
      <c r="ACO8" s="373"/>
      <c r="ACP8" s="373"/>
      <c r="ACQ8" s="373"/>
      <c r="ACR8" s="373"/>
      <c r="ACS8" s="373"/>
      <c r="ACT8" s="373"/>
      <c r="ACU8" s="373"/>
      <c r="ACV8" s="373"/>
      <c r="ACW8" s="373"/>
      <c r="ACX8" s="373"/>
      <c r="ACY8" s="373"/>
      <c r="ACZ8" s="373"/>
      <c r="ADA8" s="373"/>
      <c r="ADB8" s="373"/>
      <c r="ADC8" s="373"/>
      <c r="ADD8" s="373"/>
      <c r="ADE8" s="373"/>
      <c r="ADF8" s="373"/>
      <c r="ADG8" s="373"/>
      <c r="ADH8" s="373"/>
      <c r="ADI8" s="373"/>
      <c r="ADJ8" s="373"/>
      <c r="ADK8" s="373"/>
      <c r="ADL8" s="373"/>
      <c r="ADM8" s="373"/>
      <c r="ADN8" s="373"/>
      <c r="ADO8" s="373"/>
      <c r="ADP8" s="373"/>
      <c r="ADQ8" s="373"/>
      <c r="ADR8" s="373"/>
      <c r="ADS8" s="373"/>
      <c r="ADT8" s="373"/>
      <c r="ADU8" s="373"/>
      <c r="ADV8" s="373"/>
      <c r="ADW8" s="373"/>
      <c r="ADX8" s="373"/>
      <c r="ADY8" s="373"/>
      <c r="ADZ8" s="373"/>
      <c r="AEA8" s="373"/>
      <c r="AEB8" s="373"/>
      <c r="AEC8" s="373"/>
      <c r="AED8" s="373"/>
      <c r="AEE8" s="373"/>
      <c r="AEF8" s="373"/>
      <c r="AEG8" s="373"/>
      <c r="AEH8" s="373"/>
      <c r="AEI8" s="373"/>
      <c r="AEJ8" s="373"/>
      <c r="AEK8" s="373"/>
      <c r="AEL8" s="373"/>
      <c r="AEM8" s="373"/>
      <c r="AEN8" s="373"/>
      <c r="AEO8" s="373"/>
      <c r="AEP8" s="373"/>
      <c r="AEQ8" s="373"/>
      <c r="AER8" s="373"/>
      <c r="AES8" s="373"/>
      <c r="AET8" s="373"/>
      <c r="AEU8" s="373"/>
      <c r="AEV8" s="373"/>
      <c r="AEW8" s="373"/>
      <c r="AEX8" s="373"/>
      <c r="AEY8" s="373"/>
      <c r="AEZ8" s="373"/>
      <c r="AFA8" s="373"/>
      <c r="AFB8" s="373"/>
      <c r="AFC8" s="373"/>
      <c r="AFD8" s="373"/>
      <c r="AFE8" s="373"/>
      <c r="AFF8" s="373"/>
      <c r="AFG8" s="373"/>
      <c r="AFH8" s="373"/>
      <c r="AFI8" s="373"/>
      <c r="AFJ8" s="373"/>
      <c r="AFK8" s="373"/>
      <c r="AFL8" s="373"/>
      <c r="AFM8" s="373"/>
      <c r="AFN8" s="373"/>
      <c r="AFO8" s="373"/>
      <c r="AFP8" s="373"/>
      <c r="AFQ8" s="373"/>
      <c r="AFR8" s="373"/>
      <c r="AFS8" s="373"/>
      <c r="AFT8" s="373"/>
      <c r="AFU8" s="373"/>
      <c r="AFV8" s="373"/>
      <c r="AFW8" s="373"/>
      <c r="AFX8" s="373"/>
      <c r="AFY8" s="373"/>
      <c r="AFZ8" s="373"/>
      <c r="AGA8" s="373"/>
      <c r="AGB8" s="373"/>
      <c r="AGC8" s="373"/>
      <c r="AGD8" s="373"/>
      <c r="AGE8" s="373"/>
      <c r="AGF8" s="373"/>
      <c r="AGG8" s="373"/>
      <c r="AGH8" s="373"/>
      <c r="AGI8" s="373"/>
      <c r="AGJ8" s="373"/>
      <c r="AGK8" s="373"/>
      <c r="AGL8" s="373"/>
      <c r="AGM8" s="373"/>
      <c r="AGN8" s="373"/>
      <c r="AGO8" s="373"/>
      <c r="AGP8" s="373"/>
      <c r="AGQ8" s="373"/>
      <c r="AGR8" s="373"/>
      <c r="AGS8" s="373"/>
      <c r="AGT8" s="373"/>
      <c r="AGU8" s="373"/>
      <c r="AGV8" s="373"/>
      <c r="AGW8" s="373"/>
      <c r="AGX8" s="373"/>
      <c r="AGY8" s="373"/>
      <c r="AGZ8" s="373"/>
      <c r="AHA8" s="373"/>
      <c r="AHB8" s="373"/>
      <c r="AHC8" s="373"/>
      <c r="AHD8" s="373"/>
      <c r="AHE8" s="373"/>
      <c r="AHF8" s="373"/>
      <c r="AHG8" s="373"/>
      <c r="AHH8" s="373"/>
      <c r="AHI8" s="373"/>
      <c r="AHJ8" s="373"/>
      <c r="AHK8" s="373"/>
      <c r="AHL8" s="373"/>
      <c r="AHM8" s="373"/>
      <c r="AHN8" s="373"/>
      <c r="AHO8" s="373"/>
      <c r="AHP8" s="373"/>
      <c r="AHQ8" s="373"/>
      <c r="AHR8" s="373"/>
      <c r="AHS8" s="373"/>
      <c r="AHT8" s="373"/>
      <c r="AHU8" s="373"/>
      <c r="AHV8" s="373"/>
      <c r="AHW8" s="373"/>
      <c r="AHX8" s="373"/>
      <c r="AHY8" s="373"/>
      <c r="AHZ8" s="373"/>
      <c r="AIA8" s="373"/>
      <c r="AIB8" s="373"/>
      <c r="AIC8" s="373"/>
      <c r="AID8" s="373"/>
      <c r="AIE8" s="373"/>
      <c r="AIF8" s="373"/>
      <c r="AIG8" s="373"/>
      <c r="AIH8" s="373"/>
      <c r="AII8" s="373"/>
      <c r="AIJ8" s="373"/>
      <c r="AIK8" s="373"/>
      <c r="AIL8" s="373"/>
      <c r="AIM8" s="373"/>
      <c r="AIN8" s="373"/>
      <c r="AIO8" s="373"/>
      <c r="AIP8" s="373"/>
      <c r="AIQ8" s="373"/>
      <c r="AIR8" s="373"/>
      <c r="AIS8" s="373"/>
      <c r="AIT8" s="373"/>
      <c r="AIU8" s="373"/>
      <c r="AIV8" s="373"/>
      <c r="AIW8" s="373"/>
      <c r="AIX8" s="373"/>
      <c r="AIY8" s="373"/>
      <c r="AIZ8" s="373"/>
      <c r="AJA8" s="373"/>
      <c r="AJB8" s="373"/>
      <c r="AJC8" s="373"/>
      <c r="AJD8" s="373"/>
      <c r="AJE8" s="373"/>
      <c r="AJF8" s="373"/>
      <c r="AJG8" s="373"/>
      <c r="AJH8" s="373"/>
      <c r="AJI8" s="373"/>
      <c r="AJJ8" s="373"/>
      <c r="AJK8" s="373"/>
      <c r="AJL8" s="373"/>
      <c r="AJM8" s="373"/>
      <c r="AJN8" s="373"/>
      <c r="AJO8" s="373"/>
      <c r="AJP8" s="373"/>
      <c r="AJQ8" s="373"/>
      <c r="AJR8" s="373"/>
      <c r="AJS8" s="373"/>
      <c r="AJT8" s="373"/>
      <c r="AJU8" s="373"/>
      <c r="AJV8" s="373"/>
      <c r="AJW8" s="373"/>
      <c r="AJX8" s="373"/>
      <c r="AJY8" s="373"/>
      <c r="AJZ8" s="373"/>
      <c r="AKA8" s="373"/>
      <c r="AKB8" s="373"/>
      <c r="AKC8" s="373"/>
      <c r="AKD8" s="373"/>
      <c r="AKE8" s="373"/>
      <c r="AKF8" s="373"/>
      <c r="AKG8" s="373"/>
      <c r="AKH8" s="373"/>
      <c r="AKI8" s="373"/>
      <c r="AKJ8" s="373"/>
      <c r="AKK8" s="373"/>
      <c r="AKL8" s="373"/>
      <c r="AKM8" s="373"/>
      <c r="AKN8" s="373"/>
      <c r="AKO8" s="373"/>
      <c r="AKP8" s="373"/>
      <c r="AKQ8" s="373"/>
      <c r="AKR8" s="373"/>
      <c r="AKS8" s="373"/>
      <c r="AKT8" s="373"/>
      <c r="AKU8" s="373"/>
      <c r="AKV8" s="373"/>
      <c r="AKW8" s="373"/>
      <c r="AKX8" s="373"/>
      <c r="AKY8" s="373"/>
      <c r="AKZ8" s="373"/>
      <c r="ALA8" s="373"/>
      <c r="ALB8" s="373"/>
      <c r="ALC8" s="373"/>
      <c r="ALD8" s="373"/>
      <c r="ALE8" s="373"/>
      <c r="ALF8" s="373"/>
      <c r="ALG8" s="373"/>
      <c r="ALH8" s="373"/>
      <c r="ALI8" s="373"/>
      <c r="ALJ8" s="373"/>
      <c r="ALK8" s="373"/>
      <c r="ALL8" s="373"/>
      <c r="ALM8" s="373"/>
      <c r="ALN8" s="373"/>
      <c r="ALO8" s="373"/>
      <c r="ALP8" s="373"/>
      <c r="ALQ8" s="373"/>
      <c r="ALR8" s="373"/>
      <c r="ALS8" s="373"/>
      <c r="ALT8" s="373"/>
      <c r="ALU8" s="373"/>
      <c r="ALV8" s="373"/>
      <c r="ALW8" s="373"/>
      <c r="ALX8" s="373"/>
      <c r="ALY8" s="373"/>
      <c r="ALZ8" s="373"/>
      <c r="AMA8" s="373"/>
      <c r="AMB8" s="373"/>
      <c r="AMC8" s="373"/>
      <c r="AMD8" s="373"/>
      <c r="AME8" s="373"/>
      <c r="AMF8" s="373"/>
      <c r="AMG8" s="373"/>
      <c r="AMH8" s="373"/>
      <c r="AMI8" s="373"/>
      <c r="AMJ8" s="381"/>
      <c r="AMK8" s="381"/>
    </row>
    <row r="9" ht="100.5" customHeight="1" spans="1:1025" x14ac:dyDescent="0.25">
      <c r="A9" s="135"/>
      <c r="B9" s="346"/>
      <c r="C9" s="348" t="s">
        <v>693</v>
      </c>
      <c r="D9" s="349" t="s">
        <v>826</v>
      </c>
      <c r="E9" s="349" t="s">
        <v>827</v>
      </c>
      <c r="F9" s="349" t="s">
        <v>828</v>
      </c>
      <c r="G9" s="349" t="s">
        <v>829</v>
      </c>
      <c r="H9" s="348" t="s">
        <v>830</v>
      </c>
      <c r="I9" s="348" t="s">
        <v>693</v>
      </c>
      <c r="J9" s="346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  <c r="AKV9" s="342"/>
      <c r="AKW9" s="342"/>
      <c r="AKX9" s="342"/>
      <c r="AKY9" s="342"/>
      <c r="AKZ9" s="342"/>
      <c r="ALA9" s="342"/>
      <c r="ALB9" s="342"/>
      <c r="ALC9" s="342"/>
      <c r="ALD9" s="342"/>
      <c r="ALE9" s="342"/>
      <c r="ALF9" s="342"/>
      <c r="ALG9" s="342"/>
      <c r="ALH9" s="342"/>
      <c r="ALI9" s="342"/>
      <c r="ALJ9" s="342"/>
      <c r="ALK9" s="342"/>
      <c r="ALL9" s="342"/>
      <c r="ALM9" s="342"/>
      <c r="ALN9" s="342"/>
      <c r="ALO9" s="342"/>
      <c r="ALP9" s="342"/>
      <c r="ALQ9" s="342"/>
      <c r="ALR9" s="342"/>
      <c r="ALS9" s="342"/>
      <c r="ALT9" s="342"/>
      <c r="ALU9" s="342"/>
      <c r="ALV9" s="342"/>
      <c r="ALW9" s="342"/>
      <c r="ALX9" s="342"/>
      <c r="ALY9" s="342"/>
      <c r="ALZ9" s="342"/>
      <c r="AMA9" s="342"/>
      <c r="AMB9" s="342"/>
      <c r="AMC9" s="342"/>
      <c r="AMD9" s="342"/>
      <c r="AME9" s="342"/>
      <c r="AMF9" s="342"/>
      <c r="AMG9" s="342"/>
      <c r="AMH9" s="342"/>
      <c r="AMI9" s="342"/>
      <c r="AMJ9" s="321"/>
      <c r="AMK9" s="321"/>
    </row>
    <row r="10" ht="36" customHeight="1" spans="1:1023" x14ac:dyDescent="0.25">
      <c r="A10" s="145"/>
      <c r="B10" s="350" t="s">
        <v>154</v>
      </c>
      <c r="C10" s="135" t="s">
        <v>157</v>
      </c>
      <c r="D10" s="135" t="s">
        <v>160</v>
      </c>
      <c r="E10" s="135" t="s">
        <v>164</v>
      </c>
      <c r="F10" s="135" t="s">
        <v>321</v>
      </c>
      <c r="G10" s="135" t="s">
        <v>329</v>
      </c>
      <c r="H10" s="135" t="s">
        <v>331</v>
      </c>
      <c r="I10" s="135" t="s">
        <v>831</v>
      </c>
      <c r="J10" s="135" t="s">
        <v>832</v>
      </c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7"/>
      <c r="QQ10" s="337"/>
      <c r="QR10" s="337"/>
      <c r="QS10" s="337"/>
      <c r="QT10" s="337"/>
      <c r="QU10" s="337"/>
      <c r="QV10" s="337"/>
      <c r="QW10" s="337"/>
      <c r="QX10" s="337"/>
      <c r="QY10" s="337"/>
      <c r="QZ10" s="337"/>
      <c r="RA10" s="337"/>
      <c r="RB10" s="337"/>
      <c r="RC10" s="337"/>
      <c r="RD10" s="337"/>
      <c r="RE10" s="337"/>
      <c r="RF10" s="337"/>
      <c r="RG10" s="337"/>
      <c r="RH10" s="337"/>
      <c r="RI10" s="337"/>
      <c r="RJ10" s="337"/>
      <c r="RK10" s="337"/>
      <c r="RL10" s="337"/>
      <c r="RM10" s="337"/>
      <c r="RN10" s="337"/>
      <c r="RO10" s="337"/>
      <c r="RP10" s="337"/>
      <c r="RQ10" s="337"/>
      <c r="RR10" s="337"/>
      <c r="RS10" s="337"/>
      <c r="RT10" s="337"/>
      <c r="RU10" s="337"/>
      <c r="RV10" s="337"/>
      <c r="RW10" s="337"/>
      <c r="RX10" s="337"/>
      <c r="RY10" s="337"/>
      <c r="RZ10" s="337"/>
      <c r="SA10" s="337"/>
      <c r="SB10" s="337"/>
      <c r="SC10" s="337"/>
      <c r="SD10" s="337"/>
      <c r="SE10" s="337"/>
      <c r="SF10" s="337"/>
      <c r="SG10" s="337"/>
      <c r="SH10" s="337"/>
      <c r="SI10" s="337"/>
      <c r="SJ10" s="337"/>
      <c r="SK10" s="337"/>
      <c r="SL10" s="337"/>
      <c r="SM10" s="337"/>
      <c r="SN10" s="337"/>
      <c r="SO10" s="337"/>
      <c r="SP10" s="337"/>
      <c r="SQ10" s="337"/>
      <c r="SR10" s="337"/>
      <c r="SS10" s="337"/>
      <c r="ST10" s="337"/>
      <c r="SU10" s="337"/>
      <c r="SV10" s="337"/>
      <c r="SW10" s="337"/>
      <c r="SX10" s="337"/>
      <c r="SY10" s="337"/>
      <c r="SZ10" s="337"/>
      <c r="TA10" s="337"/>
      <c r="TB10" s="337"/>
      <c r="TC10" s="337"/>
      <c r="TD10" s="337"/>
      <c r="TE10" s="337"/>
      <c r="TF10" s="337"/>
      <c r="TG10" s="337"/>
      <c r="TH10" s="337"/>
      <c r="TI10" s="337"/>
      <c r="TJ10" s="337"/>
      <c r="TK10" s="337"/>
      <c r="TL10" s="337"/>
      <c r="TM10" s="337"/>
      <c r="TN10" s="337"/>
      <c r="TO10" s="337"/>
      <c r="TP10" s="337"/>
      <c r="TQ10" s="337"/>
      <c r="TR10" s="337"/>
      <c r="TS10" s="337"/>
      <c r="TT10" s="337"/>
      <c r="TU10" s="337"/>
      <c r="TV10" s="337"/>
      <c r="TW10" s="337"/>
      <c r="TX10" s="337"/>
      <c r="TY10" s="337"/>
      <c r="TZ10" s="337"/>
      <c r="UA10" s="337"/>
      <c r="UB10" s="337"/>
      <c r="UC10" s="337"/>
      <c r="UD10" s="337"/>
      <c r="UE10" s="337"/>
      <c r="UF10" s="337"/>
      <c r="UG10" s="337"/>
      <c r="UH10" s="337"/>
      <c r="UI10" s="337"/>
      <c r="UJ10" s="337"/>
      <c r="UK10" s="337"/>
      <c r="UL10" s="337"/>
      <c r="UM10" s="337"/>
      <c r="UN10" s="337"/>
      <c r="UO10" s="337"/>
      <c r="UP10" s="337"/>
      <c r="UQ10" s="337"/>
      <c r="UR10" s="337"/>
      <c r="US10" s="337"/>
      <c r="UT10" s="337"/>
      <c r="UU10" s="337"/>
      <c r="UV10" s="337"/>
      <c r="UW10" s="337"/>
      <c r="UX10" s="337"/>
      <c r="UY10" s="337"/>
      <c r="UZ10" s="337"/>
      <c r="VA10" s="337"/>
      <c r="VB10" s="337"/>
      <c r="VC10" s="337"/>
      <c r="VD10" s="337"/>
      <c r="VE10" s="337"/>
      <c r="VF10" s="337"/>
      <c r="VG10" s="337"/>
      <c r="VH10" s="337"/>
      <c r="VI10" s="337"/>
      <c r="VJ10" s="337"/>
      <c r="VK10" s="337"/>
      <c r="VL10" s="337"/>
      <c r="VM10" s="337"/>
      <c r="VN10" s="337"/>
      <c r="VO10" s="337"/>
      <c r="VP10" s="337"/>
      <c r="VQ10" s="337"/>
      <c r="VR10" s="337"/>
      <c r="VS10" s="337"/>
      <c r="VT10" s="337"/>
      <c r="VU10" s="337"/>
      <c r="VV10" s="337"/>
      <c r="VW10" s="337"/>
      <c r="VX10" s="337"/>
      <c r="VY10" s="337"/>
      <c r="VZ10" s="337"/>
      <c r="WA10" s="337"/>
      <c r="WB10" s="337"/>
      <c r="WC10" s="337"/>
      <c r="WD10" s="337"/>
      <c r="WE10" s="337"/>
      <c r="WF10" s="337"/>
      <c r="WG10" s="337"/>
      <c r="WH10" s="337"/>
      <c r="WI10" s="337"/>
      <c r="WJ10" s="337"/>
      <c r="WK10" s="337"/>
      <c r="WL10" s="337"/>
      <c r="WM10" s="337"/>
      <c r="WN10" s="337"/>
      <c r="WO10" s="337"/>
      <c r="WP10" s="337"/>
      <c r="WQ10" s="337"/>
      <c r="WR10" s="337"/>
      <c r="WS10" s="337"/>
      <c r="WT10" s="337"/>
      <c r="WU10" s="337"/>
      <c r="WV10" s="337"/>
      <c r="WW10" s="337"/>
      <c r="WX10" s="337"/>
      <c r="WY10" s="337"/>
      <c r="WZ10" s="337"/>
      <c r="XA10" s="337"/>
      <c r="XB10" s="337"/>
      <c r="XC10" s="337"/>
      <c r="XD10" s="337"/>
      <c r="XE10" s="337"/>
      <c r="XF10" s="337"/>
      <c r="XG10" s="337"/>
      <c r="XH10" s="337"/>
      <c r="XI10" s="337"/>
      <c r="XJ10" s="337"/>
      <c r="XK10" s="337"/>
      <c r="XL10" s="337"/>
      <c r="XM10" s="337"/>
      <c r="XN10" s="337"/>
      <c r="XO10" s="337"/>
      <c r="XP10" s="337"/>
      <c r="XQ10" s="337"/>
      <c r="XR10" s="337"/>
      <c r="XS10" s="337"/>
      <c r="XT10" s="337"/>
      <c r="XU10" s="337"/>
      <c r="XV10" s="337"/>
      <c r="XW10" s="337"/>
      <c r="XX10" s="337"/>
      <c r="XY10" s="337"/>
      <c r="XZ10" s="337"/>
      <c r="YA10" s="337"/>
      <c r="YB10" s="337"/>
      <c r="YC10" s="337"/>
      <c r="YD10" s="337"/>
      <c r="YE10" s="337"/>
      <c r="YF10" s="337"/>
      <c r="YG10" s="337"/>
      <c r="YH10" s="337"/>
      <c r="YI10" s="337"/>
      <c r="YJ10" s="337"/>
      <c r="YK10" s="337"/>
      <c r="YL10" s="337"/>
      <c r="YM10" s="337"/>
      <c r="YN10" s="337"/>
      <c r="YO10" s="337"/>
      <c r="YP10" s="337"/>
      <c r="YQ10" s="337"/>
      <c r="YR10" s="337"/>
      <c r="YS10" s="337"/>
      <c r="YT10" s="337"/>
      <c r="YU10" s="337"/>
      <c r="YV10" s="337"/>
      <c r="YW10" s="337"/>
      <c r="YX10" s="337"/>
      <c r="YY10" s="337"/>
      <c r="YZ10" s="337"/>
      <c r="ZA10" s="337"/>
      <c r="ZB10" s="337"/>
      <c r="ZC10" s="337"/>
      <c r="ZD10" s="337"/>
      <c r="ZE10" s="337"/>
      <c r="ZF10" s="337"/>
      <c r="ZG10" s="337"/>
      <c r="ZH10" s="337"/>
      <c r="ZI10" s="337"/>
      <c r="ZJ10" s="337"/>
      <c r="ZK10" s="337"/>
      <c r="ZL10" s="337"/>
      <c r="ZM10" s="337"/>
      <c r="ZN10" s="337"/>
      <c r="ZO10" s="337"/>
      <c r="ZP10" s="337"/>
      <c r="ZQ10" s="337"/>
      <c r="ZR10" s="337"/>
      <c r="ZS10" s="337"/>
      <c r="ZT10" s="337"/>
      <c r="ZU10" s="337"/>
      <c r="ZV10" s="337"/>
      <c r="ZW10" s="337"/>
      <c r="ZX10" s="337"/>
      <c r="ZY10" s="337"/>
      <c r="ZZ10" s="337"/>
      <c r="AAA10" s="337"/>
      <c r="AAB10" s="337"/>
      <c r="AAC10" s="337"/>
      <c r="AAD10" s="337"/>
      <c r="AAE10" s="337"/>
      <c r="AAF10" s="337"/>
      <c r="AAG10" s="337"/>
      <c r="AAH10" s="337"/>
      <c r="AAI10" s="337"/>
      <c r="AAJ10" s="337"/>
      <c r="AAK10" s="337"/>
      <c r="AAL10" s="337"/>
      <c r="AAM10" s="337"/>
      <c r="AAN10" s="337"/>
      <c r="AAO10" s="337"/>
      <c r="AAP10" s="337"/>
      <c r="AAQ10" s="337"/>
      <c r="AAR10" s="337"/>
      <c r="AAS10" s="337"/>
      <c r="AAT10" s="337"/>
      <c r="AAU10" s="337"/>
      <c r="AAV10" s="337"/>
      <c r="AAW10" s="337"/>
      <c r="AAX10" s="337"/>
      <c r="AAY10" s="337"/>
      <c r="AAZ10" s="337"/>
      <c r="ABA10" s="337"/>
      <c r="ABB10" s="337"/>
      <c r="ABC10" s="337"/>
      <c r="ABD10" s="337"/>
      <c r="ABE10" s="337"/>
      <c r="ABF10" s="337"/>
      <c r="ABG10" s="337"/>
      <c r="ABH10" s="337"/>
      <c r="ABI10" s="337"/>
      <c r="ABJ10" s="337"/>
      <c r="ABK10" s="337"/>
      <c r="ABL10" s="337"/>
      <c r="ABM10" s="337"/>
      <c r="ABN10" s="337"/>
      <c r="ABO10" s="337"/>
      <c r="ABP10" s="337"/>
      <c r="ABQ10" s="337"/>
      <c r="ABR10" s="337"/>
      <c r="ABS10" s="337"/>
      <c r="ABT10" s="337"/>
      <c r="ABU10" s="337"/>
      <c r="ABV10" s="337"/>
      <c r="ABW10" s="337"/>
      <c r="ABX10" s="337"/>
      <c r="ABY10" s="337"/>
      <c r="ABZ10" s="337"/>
      <c r="ACA10" s="337"/>
      <c r="ACB10" s="337"/>
      <c r="ACC10" s="337"/>
      <c r="ACD10" s="337"/>
      <c r="ACE10" s="337"/>
      <c r="ACF10" s="337"/>
      <c r="ACG10" s="337"/>
      <c r="ACH10" s="337"/>
      <c r="ACI10" s="337"/>
      <c r="ACJ10" s="337"/>
      <c r="ACK10" s="337"/>
      <c r="ACL10" s="337"/>
      <c r="ACM10" s="337"/>
      <c r="ACN10" s="337"/>
      <c r="ACO10" s="337"/>
      <c r="ACP10" s="337"/>
      <c r="ACQ10" s="337"/>
      <c r="ACR10" s="337"/>
      <c r="ACS10" s="337"/>
      <c r="ACT10" s="337"/>
      <c r="ACU10" s="337"/>
      <c r="ACV10" s="337"/>
      <c r="ACW10" s="337"/>
      <c r="ACX10" s="337"/>
      <c r="ACY10" s="337"/>
      <c r="ACZ10" s="337"/>
      <c r="ADA10" s="337"/>
      <c r="ADB10" s="337"/>
      <c r="ADC10" s="337"/>
      <c r="ADD10" s="337"/>
      <c r="ADE10" s="337"/>
      <c r="ADF10" s="337"/>
      <c r="ADG10" s="337"/>
      <c r="ADH10" s="337"/>
      <c r="ADI10" s="337"/>
      <c r="ADJ10" s="337"/>
      <c r="ADK10" s="337"/>
      <c r="ADL10" s="337"/>
      <c r="ADM10" s="337"/>
      <c r="ADN10" s="337"/>
      <c r="ADO10" s="337"/>
      <c r="ADP10" s="337"/>
      <c r="ADQ10" s="337"/>
      <c r="ADR10" s="337"/>
      <c r="ADS10" s="337"/>
      <c r="ADT10" s="337"/>
      <c r="ADU10" s="337"/>
      <c r="ADV10" s="337"/>
      <c r="ADW10" s="337"/>
      <c r="ADX10" s="337"/>
      <c r="ADY10" s="337"/>
      <c r="ADZ10" s="337"/>
      <c r="AEA10" s="337"/>
      <c r="AEB10" s="337"/>
      <c r="AEC10" s="337"/>
      <c r="AED10" s="337"/>
      <c r="AEE10" s="337"/>
      <c r="AEF10" s="337"/>
      <c r="AEG10" s="337"/>
      <c r="AEH10" s="337"/>
      <c r="AEI10" s="337"/>
      <c r="AEJ10" s="337"/>
      <c r="AEK10" s="337"/>
      <c r="AEL10" s="337"/>
      <c r="AEM10" s="337"/>
      <c r="AEN10" s="337"/>
      <c r="AEO10" s="337"/>
      <c r="AEP10" s="337"/>
      <c r="AEQ10" s="337"/>
      <c r="AER10" s="337"/>
      <c r="AES10" s="337"/>
      <c r="AET10" s="337"/>
      <c r="AEU10" s="337"/>
      <c r="AEV10" s="337"/>
      <c r="AEW10" s="337"/>
      <c r="AEX10" s="337"/>
      <c r="AEY10" s="337"/>
      <c r="AEZ10" s="337"/>
      <c r="AFA10" s="337"/>
      <c r="AFB10" s="337"/>
      <c r="AFC10" s="337"/>
      <c r="AFD10" s="337"/>
      <c r="AFE10" s="337"/>
      <c r="AFF10" s="337"/>
      <c r="AFG10" s="337"/>
      <c r="AFH10" s="337"/>
      <c r="AFI10" s="337"/>
      <c r="AFJ10" s="337"/>
      <c r="AFK10" s="337"/>
      <c r="AFL10" s="337"/>
      <c r="AFM10" s="337"/>
      <c r="AFN10" s="337"/>
      <c r="AFO10" s="337"/>
      <c r="AFP10" s="337"/>
      <c r="AFQ10" s="337"/>
      <c r="AFR10" s="337"/>
      <c r="AFS10" s="337"/>
      <c r="AFT10" s="337"/>
      <c r="AFU10" s="337"/>
      <c r="AFV10" s="337"/>
      <c r="AFW10" s="337"/>
      <c r="AFX10" s="337"/>
      <c r="AFY10" s="337"/>
      <c r="AFZ10" s="337"/>
      <c r="AGA10" s="337"/>
      <c r="AGB10" s="337"/>
      <c r="AGC10" s="337"/>
      <c r="AGD10" s="337"/>
      <c r="AGE10" s="337"/>
      <c r="AGF10" s="337"/>
      <c r="AGG10" s="337"/>
      <c r="AGH10" s="337"/>
      <c r="AGI10" s="337"/>
      <c r="AGJ10" s="337"/>
      <c r="AGK10" s="337"/>
      <c r="AGL10" s="337"/>
      <c r="AGM10" s="337"/>
      <c r="AGN10" s="337"/>
      <c r="AGO10" s="337"/>
      <c r="AGP10" s="337"/>
      <c r="AGQ10" s="337"/>
      <c r="AGR10" s="337"/>
      <c r="AGS10" s="337"/>
      <c r="AGT10" s="337"/>
      <c r="AGU10" s="337"/>
      <c r="AGV10" s="337"/>
      <c r="AGW10" s="337"/>
      <c r="AGX10" s="337"/>
      <c r="AGY10" s="337"/>
      <c r="AGZ10" s="337"/>
      <c r="AHA10" s="337"/>
      <c r="AHB10" s="337"/>
      <c r="AHC10" s="337"/>
      <c r="AHD10" s="337"/>
      <c r="AHE10" s="337"/>
      <c r="AHF10" s="337"/>
      <c r="AHG10" s="337"/>
      <c r="AHH10" s="337"/>
      <c r="AHI10" s="337"/>
      <c r="AHJ10" s="337"/>
      <c r="AHK10" s="337"/>
      <c r="AHL10" s="337"/>
      <c r="AHM10" s="337"/>
      <c r="AHN10" s="337"/>
      <c r="AHO10" s="337"/>
      <c r="AHP10" s="337"/>
      <c r="AHQ10" s="337"/>
      <c r="AHR10" s="337"/>
      <c r="AHS10" s="337"/>
      <c r="AHT10" s="337"/>
      <c r="AHU10" s="337"/>
      <c r="AHV10" s="337"/>
      <c r="AHW10" s="337"/>
      <c r="AHX10" s="337"/>
      <c r="AHY10" s="337"/>
      <c r="AHZ10" s="337"/>
      <c r="AIA10" s="337"/>
      <c r="AIB10" s="337"/>
      <c r="AIC10" s="337"/>
      <c r="AID10" s="337"/>
      <c r="AIE10" s="337"/>
      <c r="AIF10" s="337"/>
      <c r="AIG10" s="337"/>
      <c r="AIH10" s="337"/>
      <c r="AII10" s="337"/>
      <c r="AIJ10" s="337"/>
      <c r="AIK10" s="337"/>
      <c r="AIL10" s="337"/>
      <c r="AIM10" s="337"/>
      <c r="AIN10" s="337"/>
      <c r="AIO10" s="337"/>
      <c r="AIP10" s="337"/>
      <c r="AIQ10" s="337"/>
      <c r="AIR10" s="337"/>
      <c r="AIS10" s="337"/>
      <c r="AIT10" s="337"/>
      <c r="AIU10" s="337"/>
      <c r="AIV10" s="337"/>
      <c r="AIW10" s="337"/>
      <c r="AIX10" s="337"/>
      <c r="AIY10" s="337"/>
      <c r="AIZ10" s="337"/>
      <c r="AJA10" s="337"/>
      <c r="AJB10" s="337"/>
      <c r="AJC10" s="337"/>
      <c r="AJD10" s="337"/>
      <c r="AJE10" s="337"/>
      <c r="AJF10" s="337"/>
      <c r="AJG10" s="337"/>
      <c r="AJH10" s="337"/>
      <c r="AJI10" s="337"/>
      <c r="AJJ10" s="337"/>
      <c r="AJK10" s="337"/>
      <c r="AJL10" s="337"/>
      <c r="AJM10" s="337"/>
      <c r="AJN10" s="337"/>
      <c r="AJO10" s="337"/>
      <c r="AJP10" s="337"/>
      <c r="AJQ10" s="337"/>
      <c r="AJR10" s="337"/>
      <c r="AJS10" s="337"/>
      <c r="AJT10" s="337"/>
      <c r="AJU10" s="337"/>
      <c r="AJV10" s="337"/>
      <c r="AJW10" s="337"/>
      <c r="AJX10" s="337"/>
      <c r="AJY10" s="337"/>
      <c r="AJZ10" s="337"/>
      <c r="AKA10" s="337"/>
      <c r="AKB10" s="337"/>
      <c r="AKC10" s="337"/>
      <c r="AKD10" s="337"/>
      <c r="AKE10" s="337"/>
      <c r="AKF10" s="337"/>
      <c r="AKG10" s="337"/>
      <c r="AKH10" s="337"/>
      <c r="AKI10" s="337"/>
      <c r="AKJ10" s="337"/>
      <c r="AKK10" s="337"/>
      <c r="AKL10" s="337"/>
      <c r="AKM10" s="337"/>
      <c r="AKN10" s="337"/>
      <c r="AKO10" s="337"/>
      <c r="AKP10" s="337"/>
      <c r="AKQ10" s="337"/>
      <c r="AKR10" s="337"/>
      <c r="AKS10" s="337"/>
      <c r="AKT10" s="337"/>
      <c r="AKU10" s="337"/>
      <c r="AKV10" s="337"/>
      <c r="AKW10" s="337"/>
      <c r="AKX10" s="337"/>
      <c r="AKY10" s="337"/>
      <c r="AKZ10" s="337"/>
      <c r="ALA10" s="337"/>
      <c r="ALB10" s="337"/>
      <c r="ALC10" s="337"/>
      <c r="ALD10" s="337"/>
      <c r="ALE10" s="337"/>
      <c r="ALF10" s="337"/>
      <c r="ALG10" s="337"/>
      <c r="ALH10" s="337"/>
      <c r="ALI10" s="337"/>
      <c r="ALJ10" s="337"/>
      <c r="ALK10" s="337"/>
      <c r="ALL10" s="337"/>
      <c r="ALM10" s="337"/>
      <c r="ALN10" s="337"/>
      <c r="ALO10" s="337"/>
      <c r="ALP10" s="337"/>
      <c r="ALQ10" s="337"/>
      <c r="ALR10" s="337"/>
      <c r="ALS10" s="337"/>
      <c r="ALT10" s="337"/>
      <c r="ALU10" s="337"/>
      <c r="ALV10" s="337"/>
      <c r="ALW10" s="337"/>
      <c r="ALX10" s="337"/>
      <c r="ALY10" s="337"/>
      <c r="ALZ10" s="337"/>
      <c r="AMA10" s="337"/>
      <c r="AMB10" s="337"/>
      <c r="AMC10" s="337"/>
      <c r="AMD10" s="337"/>
      <c r="AME10" s="337"/>
      <c r="AMF10" s="337"/>
      <c r="AMG10" s="337"/>
      <c r="AMH10" s="337"/>
      <c r="AMI10" s="337"/>
    </row>
    <row r="11" ht="17.4" customHeight="1" spans="1:10" x14ac:dyDescent="0.25">
      <c r="A11" s="145"/>
      <c r="B11" s="382" t="s">
        <v>833</v>
      </c>
      <c r="C11" s="382"/>
      <c r="D11" s="382"/>
      <c r="E11" s="382"/>
      <c r="F11" s="382"/>
      <c r="G11" s="382"/>
      <c r="H11" s="382"/>
      <c r="I11" s="382"/>
      <c r="J11" s="382"/>
    </row>
    <row r="12" ht="17.5" customHeight="1" spans="1:10" x14ac:dyDescent="0.25">
      <c r="A12" s="145" t="s">
        <v>943</v>
      </c>
      <c r="B12" s="383">
        <v>0</v>
      </c>
      <c r="C12" s="384"/>
      <c r="D12" s="369">
        <v>16227</v>
      </c>
      <c r="E12" s="369">
        <v>0</v>
      </c>
      <c r="F12" s="369">
        <v>0</v>
      </c>
      <c r="G12" s="369">
        <v>0</v>
      </c>
      <c r="H12" s="369">
        <v>0</v>
      </c>
      <c r="I12" s="369">
        <f t="shared" ref="I12:I17" si="0">H12+G12+F12+E12+D12+C12</f>
        <v>16227</v>
      </c>
      <c r="J12" s="384"/>
    </row>
    <row r="13" ht="17.5" customHeight="1" spans="1:10" x14ac:dyDescent="0.25">
      <c r="A13" s="145" t="s">
        <v>944</v>
      </c>
      <c r="B13" s="383">
        <v>0.2</v>
      </c>
      <c r="C13" s="369">
        <v>0</v>
      </c>
      <c r="D13" s="369">
        <v>3601</v>
      </c>
      <c r="E13" s="369">
        <v>0</v>
      </c>
      <c r="F13" s="369">
        <v>0</v>
      </c>
      <c r="G13" s="369">
        <v>0</v>
      </c>
      <c r="H13" s="369">
        <v>0</v>
      </c>
      <c r="I13" s="369">
        <f t="shared" si="0"/>
        <v>3601</v>
      </c>
      <c r="J13" s="369">
        <f>I13*B13</f>
        <v>720.2</v>
      </c>
    </row>
    <row r="14" ht="17.5" customHeight="1" spans="1:10" x14ac:dyDescent="0.25">
      <c r="A14" s="145" t="s">
        <v>945</v>
      </c>
      <c r="B14" s="383">
        <v>0.5</v>
      </c>
      <c r="C14" s="369">
        <v>0</v>
      </c>
      <c r="D14" s="369">
        <v>91783</v>
      </c>
      <c r="E14" s="369">
        <v>0</v>
      </c>
      <c r="F14" s="369">
        <v>0</v>
      </c>
      <c r="G14" s="369">
        <v>0</v>
      </c>
      <c r="H14" s="369">
        <v>0</v>
      </c>
      <c r="I14" s="369">
        <f t="shared" si="0"/>
        <v>91783</v>
      </c>
      <c r="J14" s="369">
        <f t="shared" ref="J14:J17" si="1">I14*B14</f>
        <v>45891.5</v>
      </c>
    </row>
    <row r="15" ht="17.5" customHeight="1" spans="1:10" x14ac:dyDescent="0.25">
      <c r="A15" s="145" t="s">
        <v>946</v>
      </c>
      <c r="B15" s="383">
        <v>0.75</v>
      </c>
      <c r="C15" s="369">
        <v>0</v>
      </c>
      <c r="D15" s="369">
        <v>0</v>
      </c>
      <c r="E15" s="369">
        <v>0</v>
      </c>
      <c r="F15" s="369">
        <v>0</v>
      </c>
      <c r="G15" s="369">
        <v>0</v>
      </c>
      <c r="H15" s="369">
        <v>0</v>
      </c>
      <c r="I15" s="369">
        <f t="shared" si="0"/>
        <v>0</v>
      </c>
      <c r="J15" s="369">
        <f t="shared" si="1"/>
        <v>0</v>
      </c>
    </row>
    <row r="16" ht="17.5" customHeight="1" spans="1:10" x14ac:dyDescent="0.25">
      <c r="A16" s="145" t="s">
        <v>947</v>
      </c>
      <c r="B16" s="383">
        <v>1</v>
      </c>
      <c r="C16" s="369">
        <f>199344-173</f>
        <v>199171</v>
      </c>
      <c r="D16" s="369">
        <f>-(D12+D13+D14)</f>
        <v>-111611</v>
      </c>
      <c r="E16" s="369">
        <v>0</v>
      </c>
      <c r="F16" s="369">
        <v>0</v>
      </c>
      <c r="G16" s="369">
        <v>0</v>
      </c>
      <c r="H16" s="369">
        <v>0</v>
      </c>
      <c r="I16" s="369">
        <f t="shared" si="0"/>
        <v>87560</v>
      </c>
      <c r="J16" s="369">
        <f t="shared" si="1"/>
        <v>87560</v>
      </c>
    </row>
    <row r="17" ht="17.5" customHeight="1" spans="1:10" x14ac:dyDescent="0.25">
      <c r="A17" s="145" t="s">
        <v>948</v>
      </c>
      <c r="B17" s="383">
        <v>1.5</v>
      </c>
      <c r="C17" s="369">
        <v>2682</v>
      </c>
      <c r="D17" s="369">
        <v>0</v>
      </c>
      <c r="E17" s="369">
        <v>0</v>
      </c>
      <c r="F17" s="369">
        <v>0</v>
      </c>
      <c r="G17" s="369">
        <v>0</v>
      </c>
      <c r="H17" s="369">
        <v>0</v>
      </c>
      <c r="I17" s="369">
        <f t="shared" si="0"/>
        <v>2682</v>
      </c>
      <c r="J17" s="369">
        <f t="shared" si="1"/>
        <v>4023</v>
      </c>
    </row>
    <row r="18" ht="18" customHeight="1" spans="1:10" s="337" customFormat="1" x14ac:dyDescent="0.25">
      <c r="A18" s="145" t="s">
        <v>949</v>
      </c>
      <c r="B18" s="385" t="s">
        <v>520</v>
      </c>
      <c r="C18" s="369">
        <f>C17+C16+C14+C15+C12+C13</f>
        <v>201853</v>
      </c>
      <c r="D18" s="369">
        <f>D17+D16+D14+D15+D12+D13</f>
        <v>0</v>
      </c>
      <c r="E18" s="369">
        <f t="shared" ref="E18:J18" si="2">E17+E16+E14+E15+E12+E13</f>
        <v>0</v>
      </c>
      <c r="F18" s="369">
        <f t="shared" si="2"/>
        <v>0</v>
      </c>
      <c r="G18" s="369">
        <f t="shared" si="2"/>
        <v>0</v>
      </c>
      <c r="H18" s="369">
        <f t="shared" si="2"/>
        <v>0</v>
      </c>
      <c r="I18" s="369">
        <f t="shared" si="2"/>
        <v>201853</v>
      </c>
      <c r="J18" s="369">
        <f t="shared" si="2"/>
        <v>138194.7</v>
      </c>
    </row>
    <row r="19" ht="9" customHeight="1" spans="1:10" x14ac:dyDescent="0.25">
      <c r="A19" s="356"/>
      <c r="B19" s="356"/>
      <c r="C19" s="356"/>
      <c r="D19" s="356"/>
      <c r="E19" s="356"/>
      <c r="F19" s="356"/>
      <c r="G19" s="356"/>
      <c r="H19" s="356"/>
      <c r="I19" s="356"/>
      <c r="J19" s="356"/>
    </row>
    <row r="20" ht="18" customHeight="1" spans="1:10" x14ac:dyDescent="0.25">
      <c r="A20" s="357"/>
      <c r="B20" s="386" t="s">
        <v>840</v>
      </c>
      <c r="C20" s="183"/>
      <c r="D20" s="183"/>
      <c r="E20" s="183"/>
      <c r="F20" s="183"/>
      <c r="G20" s="183"/>
      <c r="H20" s="183"/>
      <c r="I20" s="183"/>
      <c r="J20" s="358"/>
    </row>
    <row r="21" ht="17.5" customHeight="1" spans="1:10" x14ac:dyDescent="0.25">
      <c r="A21" s="145" t="s">
        <v>950</v>
      </c>
      <c r="B21" s="383">
        <v>0</v>
      </c>
      <c r="C21" s="384"/>
      <c r="D21" s="369">
        <v>0</v>
      </c>
      <c r="E21" s="369">
        <v>0</v>
      </c>
      <c r="F21" s="369">
        <v>0</v>
      </c>
      <c r="G21" s="369">
        <v>0</v>
      </c>
      <c r="H21" s="369">
        <v>0</v>
      </c>
      <c r="I21" s="369">
        <f t="shared" ref="I21:I26" si="3">H21+G21+F21+E21+D21+C21</f>
        <v>0</v>
      </c>
      <c r="J21" s="384"/>
    </row>
    <row r="22" ht="17.5" customHeight="1" spans="1:10" x14ac:dyDescent="0.25">
      <c r="A22" s="145" t="s">
        <v>951</v>
      </c>
      <c r="B22" s="383">
        <v>0.2</v>
      </c>
      <c r="C22" s="369">
        <v>0</v>
      </c>
      <c r="D22" s="369">
        <v>0</v>
      </c>
      <c r="E22" s="369">
        <v>0</v>
      </c>
      <c r="F22" s="369">
        <v>0</v>
      </c>
      <c r="G22" s="369">
        <v>0</v>
      </c>
      <c r="H22" s="369">
        <v>0</v>
      </c>
      <c r="I22" s="369">
        <f t="shared" si="3"/>
        <v>0</v>
      </c>
      <c r="J22" s="369">
        <f>I22*B22</f>
        <v>0</v>
      </c>
    </row>
    <row r="23" ht="17.5" customHeight="1" spans="1:10" x14ac:dyDescent="0.25">
      <c r="A23" s="145" t="s">
        <v>952</v>
      </c>
      <c r="B23" s="383">
        <v>0.5</v>
      </c>
      <c r="C23" s="369">
        <v>0</v>
      </c>
      <c r="D23" s="369">
        <v>0</v>
      </c>
      <c r="E23" s="369">
        <v>0</v>
      </c>
      <c r="F23" s="369">
        <v>0</v>
      </c>
      <c r="G23" s="369">
        <v>0</v>
      </c>
      <c r="H23" s="369">
        <v>0</v>
      </c>
      <c r="I23" s="369">
        <f t="shared" si="3"/>
        <v>0</v>
      </c>
      <c r="J23" s="369">
        <f t="shared" ref="J23:J26" si="4">I23*B23</f>
        <v>0</v>
      </c>
    </row>
    <row r="24" ht="17.5" customHeight="1" spans="1:10" x14ac:dyDescent="0.25">
      <c r="A24" s="145" t="s">
        <v>953</v>
      </c>
      <c r="B24" s="383">
        <v>0.75</v>
      </c>
      <c r="C24" s="369">
        <v>0</v>
      </c>
      <c r="D24" s="369">
        <v>0</v>
      </c>
      <c r="E24" s="369">
        <v>0</v>
      </c>
      <c r="F24" s="369">
        <v>0</v>
      </c>
      <c r="G24" s="369">
        <v>0</v>
      </c>
      <c r="H24" s="369">
        <v>0</v>
      </c>
      <c r="I24" s="369">
        <f t="shared" si="3"/>
        <v>0</v>
      </c>
      <c r="J24" s="369">
        <f t="shared" si="4"/>
        <v>0</v>
      </c>
    </row>
    <row r="25" ht="17.5" customHeight="1" spans="1:10" x14ac:dyDescent="0.25">
      <c r="A25" s="145" t="s">
        <v>954</v>
      </c>
      <c r="B25" s="383">
        <v>1</v>
      </c>
      <c r="C25" s="369">
        <f>'EP10'!N16</f>
        <v>35.5</v>
      </c>
      <c r="D25" s="369">
        <v>0</v>
      </c>
      <c r="E25" s="369">
        <v>0</v>
      </c>
      <c r="F25" s="369">
        <v>0</v>
      </c>
      <c r="G25" s="369">
        <v>0</v>
      </c>
      <c r="H25" s="369">
        <v>0</v>
      </c>
      <c r="I25" s="369">
        <f t="shared" si="3"/>
        <v>35.5</v>
      </c>
      <c r="J25" s="369">
        <f t="shared" si="4"/>
        <v>35.5</v>
      </c>
    </row>
    <row r="26" ht="17.5" customHeight="1" spans="1:10" x14ac:dyDescent="0.25">
      <c r="A26" s="145" t="s">
        <v>955</v>
      </c>
      <c r="B26" s="383">
        <v>1.5</v>
      </c>
      <c r="C26" s="369">
        <v>0</v>
      </c>
      <c r="D26" s="369">
        <v>0</v>
      </c>
      <c r="E26" s="369">
        <v>0</v>
      </c>
      <c r="F26" s="369">
        <v>0</v>
      </c>
      <c r="G26" s="369">
        <v>0</v>
      </c>
      <c r="H26" s="369">
        <v>0</v>
      </c>
      <c r="I26" s="369">
        <f t="shared" si="3"/>
        <v>0</v>
      </c>
      <c r="J26" s="369">
        <f t="shared" si="4"/>
        <v>0</v>
      </c>
    </row>
    <row r="27" ht="18" customHeight="1" spans="1:10" x14ac:dyDescent="0.25">
      <c r="A27" s="145" t="s">
        <v>956</v>
      </c>
      <c r="B27" s="385" t="s">
        <v>520</v>
      </c>
      <c r="C27" s="369">
        <f>C26+C25+C23+C24+C21+C22</f>
        <v>35.5</v>
      </c>
      <c r="D27" s="369">
        <f>D26+D25+D23+D24+D21+D22</f>
        <v>0</v>
      </c>
      <c r="E27" s="369">
        <f t="shared" ref="E27:J27" si="5">E26+E25+E23+E24+E21+E22</f>
        <v>0</v>
      </c>
      <c r="F27" s="369">
        <f t="shared" si="5"/>
        <v>0</v>
      </c>
      <c r="G27" s="369">
        <f t="shared" si="5"/>
        <v>0</v>
      </c>
      <c r="H27" s="369">
        <f t="shared" si="5"/>
        <v>0</v>
      </c>
      <c r="I27" s="369">
        <f t="shared" si="5"/>
        <v>35.5</v>
      </c>
      <c r="J27" s="369">
        <f t="shared" si="5"/>
        <v>35.5</v>
      </c>
    </row>
    <row r="28" ht="9" customHeight="1" spans="1:10" x14ac:dyDescent="0.25">
      <c r="A28" s="356"/>
      <c r="B28" s="356"/>
      <c r="C28" s="356"/>
      <c r="D28" s="356"/>
      <c r="E28" s="356"/>
      <c r="F28" s="356"/>
      <c r="G28" s="356"/>
      <c r="H28" s="356"/>
      <c r="I28" s="356"/>
      <c r="J28" s="356"/>
    </row>
    <row r="29" ht="18" customHeight="1" spans="1:10" x14ac:dyDescent="0.25">
      <c r="A29" s="357"/>
      <c r="B29" s="386" t="s">
        <v>847</v>
      </c>
      <c r="C29" s="183"/>
      <c r="D29" s="183"/>
      <c r="E29" s="183"/>
      <c r="F29" s="183"/>
      <c r="G29" s="183"/>
      <c r="H29" s="183"/>
      <c r="I29" s="183"/>
      <c r="J29" s="358"/>
    </row>
    <row r="30" ht="17.5" customHeight="1" spans="1:10" x14ac:dyDescent="0.25">
      <c r="A30" s="145" t="s">
        <v>957</v>
      </c>
      <c r="B30" s="383">
        <v>0</v>
      </c>
      <c r="C30" s="384"/>
      <c r="D30" s="369">
        <v>0</v>
      </c>
      <c r="E30" s="369">
        <v>0</v>
      </c>
      <c r="F30" s="369">
        <v>0</v>
      </c>
      <c r="G30" s="369">
        <v>0</v>
      </c>
      <c r="H30" s="369">
        <v>0</v>
      </c>
      <c r="I30" s="369">
        <f t="shared" ref="I30:I35" si="6">H30+G30+F30+E30+D30+C30</f>
        <v>0</v>
      </c>
      <c r="J30" s="384"/>
    </row>
    <row r="31" ht="17.5" customHeight="1" spans="1:10" x14ac:dyDescent="0.25">
      <c r="A31" s="145" t="s">
        <v>958</v>
      </c>
      <c r="B31" s="383">
        <v>0.2</v>
      </c>
      <c r="C31" s="369">
        <v>0</v>
      </c>
      <c r="D31" s="369">
        <v>0</v>
      </c>
      <c r="E31" s="369">
        <v>0</v>
      </c>
      <c r="F31" s="369">
        <v>0</v>
      </c>
      <c r="G31" s="369">
        <v>0</v>
      </c>
      <c r="H31" s="369">
        <v>0</v>
      </c>
      <c r="I31" s="369">
        <f t="shared" si="6"/>
        <v>0</v>
      </c>
      <c r="J31" s="369">
        <f>I31*B31</f>
        <v>0</v>
      </c>
    </row>
    <row r="32" ht="17.5" customHeight="1" spans="1:10" x14ac:dyDescent="0.25">
      <c r="A32" s="145" t="s">
        <v>959</v>
      </c>
      <c r="B32" s="383">
        <v>0.5</v>
      </c>
      <c r="C32" s="369">
        <v>0</v>
      </c>
      <c r="D32" s="369">
        <v>0</v>
      </c>
      <c r="E32" s="369">
        <v>0</v>
      </c>
      <c r="F32" s="369">
        <v>0</v>
      </c>
      <c r="G32" s="369">
        <v>0</v>
      </c>
      <c r="H32" s="369">
        <v>0</v>
      </c>
      <c r="I32" s="369">
        <f t="shared" si="6"/>
        <v>0</v>
      </c>
      <c r="J32" s="369">
        <f t="shared" ref="J32:J35" si="7">I32*B32</f>
        <v>0</v>
      </c>
    </row>
    <row r="33" ht="17.5" customHeight="1" spans="1:10" x14ac:dyDescent="0.25">
      <c r="A33" s="145" t="s">
        <v>960</v>
      </c>
      <c r="B33" s="383">
        <v>0.75</v>
      </c>
      <c r="C33" s="369">
        <v>0</v>
      </c>
      <c r="D33" s="369">
        <v>0</v>
      </c>
      <c r="E33" s="369">
        <v>0</v>
      </c>
      <c r="F33" s="369">
        <v>0</v>
      </c>
      <c r="G33" s="369">
        <v>0</v>
      </c>
      <c r="H33" s="369">
        <v>0</v>
      </c>
      <c r="I33" s="369">
        <f t="shared" si="6"/>
        <v>0</v>
      </c>
      <c r="J33" s="369">
        <f t="shared" si="7"/>
        <v>0</v>
      </c>
    </row>
    <row r="34" ht="17.5" customHeight="1" spans="1:10" x14ac:dyDescent="0.25">
      <c r="A34" s="145" t="s">
        <v>961</v>
      </c>
      <c r="B34" s="383">
        <v>1</v>
      </c>
      <c r="C34" s="369">
        <f>'EP10'!N35</f>
        <v>9136.5</v>
      </c>
      <c r="D34" s="369">
        <v>0</v>
      </c>
      <c r="E34" s="369">
        <v>0</v>
      </c>
      <c r="F34" s="369">
        <v>0</v>
      </c>
      <c r="G34" s="369">
        <v>0</v>
      </c>
      <c r="H34" s="369">
        <v>0</v>
      </c>
      <c r="I34" s="369">
        <f t="shared" si="6"/>
        <v>9136.5</v>
      </c>
      <c r="J34" s="369">
        <f t="shared" si="7"/>
        <v>9136.5</v>
      </c>
    </row>
    <row r="35" ht="17.5" customHeight="1" spans="1:10" x14ac:dyDescent="0.25">
      <c r="A35" s="145" t="s">
        <v>962</v>
      </c>
      <c r="B35" s="383">
        <v>1.5</v>
      </c>
      <c r="C35" s="369">
        <v>0</v>
      </c>
      <c r="D35" s="369">
        <v>0</v>
      </c>
      <c r="E35" s="369">
        <v>0</v>
      </c>
      <c r="F35" s="369">
        <v>0</v>
      </c>
      <c r="G35" s="369">
        <v>0</v>
      </c>
      <c r="H35" s="369">
        <v>0</v>
      </c>
      <c r="I35" s="369">
        <f t="shared" si="6"/>
        <v>0</v>
      </c>
      <c r="J35" s="369">
        <f t="shared" si="7"/>
        <v>0</v>
      </c>
    </row>
    <row r="36" ht="18" customHeight="1" spans="1:10" x14ac:dyDescent="0.25">
      <c r="A36" s="145" t="s">
        <v>963</v>
      </c>
      <c r="B36" s="385" t="s">
        <v>520</v>
      </c>
      <c r="C36" s="369">
        <f>C35+C34+C32+C33+C30+C31</f>
        <v>9136.5</v>
      </c>
      <c r="D36" s="369">
        <f>D35+D34+D32+D33+D30+D31</f>
        <v>0</v>
      </c>
      <c r="E36" s="369">
        <f t="shared" ref="E36:J36" si="8">E35+E34+E32+E33+E30+E31</f>
        <v>0</v>
      </c>
      <c r="F36" s="369">
        <f t="shared" si="8"/>
        <v>0</v>
      </c>
      <c r="G36" s="369">
        <f t="shared" si="8"/>
        <v>0</v>
      </c>
      <c r="H36" s="369">
        <f t="shared" si="8"/>
        <v>0</v>
      </c>
      <c r="I36" s="369">
        <f t="shared" si="8"/>
        <v>9136.5</v>
      </c>
      <c r="J36" s="369">
        <f t="shared" si="8"/>
        <v>9136.5</v>
      </c>
    </row>
    <row r="37" ht="9" customHeight="1" spans="1:10" x14ac:dyDescent="0.25">
      <c r="A37" s="356"/>
      <c r="B37" s="356"/>
      <c r="C37" s="356"/>
      <c r="D37" s="356"/>
      <c r="E37" s="356"/>
      <c r="F37" s="356"/>
      <c r="G37" s="356"/>
      <c r="H37" s="356"/>
      <c r="I37" s="356"/>
      <c r="J37" s="356"/>
    </row>
    <row r="38" ht="18" customHeight="1" spans="1:10" x14ac:dyDescent="0.25">
      <c r="A38" s="357"/>
      <c r="B38" s="386" t="s">
        <v>854</v>
      </c>
      <c r="C38" s="183"/>
      <c r="D38" s="183"/>
      <c r="E38" s="183"/>
      <c r="F38" s="183"/>
      <c r="G38" s="183"/>
      <c r="H38" s="183"/>
      <c r="I38" s="183"/>
      <c r="J38" s="358"/>
    </row>
    <row r="39" ht="17.5" customHeight="1" spans="1:10" x14ac:dyDescent="0.25">
      <c r="A39" s="145" t="s">
        <v>964</v>
      </c>
      <c r="B39" s="383">
        <v>0</v>
      </c>
      <c r="C39" s="384"/>
      <c r="D39" s="369">
        <v>0</v>
      </c>
      <c r="E39" s="369">
        <v>0</v>
      </c>
      <c r="F39" s="369">
        <v>0</v>
      </c>
      <c r="G39" s="369">
        <v>0</v>
      </c>
      <c r="H39" s="369">
        <v>0</v>
      </c>
      <c r="I39" s="369">
        <v>0</v>
      </c>
      <c r="J39" s="384"/>
    </row>
    <row r="40" ht="17.5" customHeight="1" spans="1:10" x14ac:dyDescent="0.25">
      <c r="A40" s="145" t="s">
        <v>965</v>
      </c>
      <c r="B40" s="383">
        <v>0.2</v>
      </c>
      <c r="C40" s="369">
        <v>0</v>
      </c>
      <c r="D40" s="369">
        <v>0</v>
      </c>
      <c r="E40" s="369">
        <v>0</v>
      </c>
      <c r="F40" s="369">
        <v>0</v>
      </c>
      <c r="G40" s="369">
        <v>0</v>
      </c>
      <c r="H40" s="369">
        <v>0</v>
      </c>
      <c r="I40" s="369">
        <v>0</v>
      </c>
      <c r="J40" s="369">
        <v>0</v>
      </c>
    </row>
    <row r="41" ht="17.5" customHeight="1" spans="1:10" x14ac:dyDescent="0.25">
      <c r="A41" s="145" t="s">
        <v>966</v>
      </c>
      <c r="B41" s="383">
        <v>0.5</v>
      </c>
      <c r="C41" s="369">
        <v>0</v>
      </c>
      <c r="D41" s="369">
        <v>0</v>
      </c>
      <c r="E41" s="369">
        <v>0</v>
      </c>
      <c r="F41" s="369">
        <v>0</v>
      </c>
      <c r="G41" s="369">
        <v>0</v>
      </c>
      <c r="H41" s="369">
        <v>0</v>
      </c>
      <c r="I41" s="369">
        <v>0</v>
      </c>
      <c r="J41" s="369">
        <v>0</v>
      </c>
    </row>
    <row r="42" ht="17.5" customHeight="1" spans="1:10" x14ac:dyDescent="0.25">
      <c r="A42" s="145" t="s">
        <v>967</v>
      </c>
      <c r="B42" s="383">
        <v>0.75</v>
      </c>
      <c r="C42" s="369">
        <v>0</v>
      </c>
      <c r="D42" s="369">
        <v>0</v>
      </c>
      <c r="E42" s="369">
        <v>0</v>
      </c>
      <c r="F42" s="369">
        <v>0</v>
      </c>
      <c r="G42" s="369">
        <v>0</v>
      </c>
      <c r="H42" s="369">
        <v>0</v>
      </c>
      <c r="I42" s="369">
        <v>0</v>
      </c>
      <c r="J42" s="369">
        <v>0</v>
      </c>
    </row>
    <row r="43" ht="17.5" customHeight="1" spans="1:10" x14ac:dyDescent="0.25">
      <c r="A43" s="145" t="s">
        <v>968</v>
      </c>
      <c r="B43" s="383">
        <v>1</v>
      </c>
      <c r="C43" s="369">
        <v>0</v>
      </c>
      <c r="D43" s="369">
        <v>0</v>
      </c>
      <c r="E43" s="369">
        <v>0</v>
      </c>
      <c r="F43" s="369">
        <v>0</v>
      </c>
      <c r="G43" s="369">
        <v>0</v>
      </c>
      <c r="H43" s="369">
        <v>0</v>
      </c>
      <c r="I43" s="369">
        <v>0</v>
      </c>
      <c r="J43" s="369">
        <v>0</v>
      </c>
    </row>
    <row r="44" ht="17.5" customHeight="1" spans="1:10" x14ac:dyDescent="0.25">
      <c r="A44" s="145" t="s">
        <v>969</v>
      </c>
      <c r="B44" s="383">
        <v>1.5</v>
      </c>
      <c r="C44" s="369">
        <v>0</v>
      </c>
      <c r="D44" s="369">
        <v>0</v>
      </c>
      <c r="E44" s="369">
        <v>0</v>
      </c>
      <c r="F44" s="369">
        <v>0</v>
      </c>
      <c r="G44" s="369">
        <v>0</v>
      </c>
      <c r="H44" s="369">
        <v>0</v>
      </c>
      <c r="I44" s="369">
        <v>0</v>
      </c>
      <c r="J44" s="369">
        <v>0</v>
      </c>
    </row>
    <row r="45" ht="18" customHeight="1" spans="1:10" x14ac:dyDescent="0.25">
      <c r="A45" s="145" t="s">
        <v>970</v>
      </c>
      <c r="B45" s="385" t="s">
        <v>520</v>
      </c>
      <c r="C45" s="369">
        <v>0</v>
      </c>
      <c r="D45" s="369">
        <v>0</v>
      </c>
      <c r="E45" s="369">
        <v>0</v>
      </c>
      <c r="F45" s="369">
        <v>0</v>
      </c>
      <c r="G45" s="369">
        <v>0</v>
      </c>
      <c r="H45" s="369">
        <v>0</v>
      </c>
      <c r="I45" s="369">
        <v>0</v>
      </c>
      <c r="J45" s="369">
        <v>0</v>
      </c>
    </row>
    <row r="46" ht="9" customHeight="1" spans="1:10" x14ac:dyDescent="0.25">
      <c r="A46" s="362"/>
      <c r="B46" s="362"/>
      <c r="C46" s="362"/>
      <c r="D46" s="362"/>
      <c r="E46" s="362"/>
      <c r="F46" s="362"/>
      <c r="G46" s="362"/>
      <c r="H46" s="362"/>
      <c r="I46" s="362"/>
      <c r="J46" s="362"/>
    </row>
    <row r="47" ht="18" customHeight="1" spans="1:10" s="337" customFormat="1" x14ac:dyDescent="0.25">
      <c r="A47" s="252" t="s">
        <v>657</v>
      </c>
      <c r="B47" s="387" t="s">
        <v>971</v>
      </c>
      <c r="C47" s="369">
        <f>C18+C27+C36+C45</f>
        <v>211025</v>
      </c>
      <c r="D47" s="369">
        <f t="shared" ref="D47:H47" si="9">D18+D27+D36+D45</f>
        <v>0</v>
      </c>
      <c r="E47" s="369">
        <f t="shared" si="9"/>
        <v>0</v>
      </c>
      <c r="F47" s="369">
        <f t="shared" si="9"/>
        <v>0</v>
      </c>
      <c r="G47" s="369">
        <f t="shared" si="9"/>
        <v>0</v>
      </c>
      <c r="H47" s="369">
        <f t="shared" si="9"/>
        <v>0</v>
      </c>
      <c r="I47" s="369">
        <f>I18+I27+I36+I45</f>
        <v>211025</v>
      </c>
      <c r="J47" s="369">
        <f>J18+J27+J36+J45</f>
        <v>147366.7</v>
      </c>
    </row>
    <row r="48" ht="9" customHeight="1" spans="1:10" x14ac:dyDescent="0.25">
      <c r="A48" s="50"/>
      <c r="B48" s="50"/>
      <c r="C48" s="50"/>
      <c r="D48" s="50"/>
      <c r="E48" s="50"/>
      <c r="F48" s="50"/>
      <c r="G48" s="50"/>
      <c r="H48" s="50"/>
      <c r="I48" s="50"/>
      <c r="J48" s="50"/>
    </row>
    <row r="49" ht="9" customHeight="1" spans="1:10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</row>
    <row r="50" ht="18" customHeight="1" spans="1:10" x14ac:dyDescent="0.25">
      <c r="A50" s="388" t="s">
        <v>972</v>
      </c>
      <c r="B50" s="388"/>
      <c r="C50" s="388"/>
      <c r="D50" s="388"/>
      <c r="E50" s="388"/>
      <c r="F50" s="388"/>
      <c r="G50" s="388"/>
      <c r="H50" s="388"/>
      <c r="I50" s="50"/>
      <c r="J50" s="50"/>
    </row>
    <row r="51" ht="17.5" customHeight="1" spans="1:10" x14ac:dyDescent="0.25">
      <c r="A51" s="183"/>
      <c r="B51" s="183"/>
      <c r="C51" s="183"/>
      <c r="D51" s="183"/>
      <c r="E51" s="183"/>
      <c r="F51" s="183"/>
      <c r="G51" s="183"/>
      <c r="H51" s="183"/>
      <c r="I51" s="50"/>
      <c r="J51" s="50"/>
    </row>
    <row r="52" ht="45" customHeight="1" spans="1:10" x14ac:dyDescent="0.25">
      <c r="A52" s="158" t="s">
        <v>113</v>
      </c>
      <c r="B52" s="389" t="s">
        <v>145</v>
      </c>
      <c r="C52" s="389"/>
      <c r="D52" s="389"/>
      <c r="E52" s="389"/>
      <c r="F52" s="389"/>
      <c r="G52" s="389"/>
      <c r="H52" s="389"/>
      <c r="I52" s="56" t="s">
        <v>973</v>
      </c>
      <c r="J52" s="135" t="s">
        <v>825</v>
      </c>
    </row>
    <row r="53" ht="17.5" customHeight="1" spans="1:10" x14ac:dyDescent="0.25">
      <c r="A53" s="252" t="s">
        <v>974</v>
      </c>
      <c r="B53" s="390" t="s">
        <v>652</v>
      </c>
      <c r="C53" s="390"/>
      <c r="D53" s="390"/>
      <c r="E53" s="390"/>
      <c r="F53" s="390"/>
      <c r="G53" s="390"/>
      <c r="H53" s="390"/>
      <c r="I53" s="369">
        <f>'EP13'!I43</f>
        <v>1014</v>
      </c>
      <c r="J53" s="369">
        <f>'EP13'!J43</f>
        <v>202.8</v>
      </c>
    </row>
    <row r="54" ht="17.5" customHeight="1" spans="1:10" x14ac:dyDescent="0.25">
      <c r="A54" s="252" t="s">
        <v>975</v>
      </c>
      <c r="B54" s="390" t="s">
        <v>660</v>
      </c>
      <c r="C54" s="390"/>
      <c r="D54" s="390"/>
      <c r="E54" s="390"/>
      <c r="F54" s="390"/>
      <c r="G54" s="390"/>
      <c r="H54" s="390"/>
      <c r="I54" s="369">
        <f>'EP17'!I38</f>
        <v>17492.5</v>
      </c>
      <c r="J54" s="369">
        <f>'EP17'!J38</f>
        <v>13353.875</v>
      </c>
    </row>
    <row r="55" ht="17.5" customHeight="1" spans="1:10" x14ac:dyDescent="0.25">
      <c r="A55" s="252" t="s">
        <v>976</v>
      </c>
      <c r="B55" s="390" t="s">
        <v>664</v>
      </c>
      <c r="C55" s="390"/>
      <c r="D55" s="390"/>
      <c r="E55" s="390"/>
      <c r="F55" s="390"/>
      <c r="G55" s="390"/>
      <c r="H55" s="390"/>
      <c r="I55" s="369">
        <f>'EP19'!I38</f>
        <v>22811.5</v>
      </c>
      <c r="J55" s="369">
        <f>'EP19'!J38</f>
        <v>17108.625</v>
      </c>
    </row>
    <row r="56" ht="18" customHeight="1" spans="1:10" x14ac:dyDescent="0.25">
      <c r="A56" s="252" t="s">
        <v>977</v>
      </c>
      <c r="B56" s="391" t="s">
        <v>818</v>
      </c>
      <c r="C56" s="391"/>
      <c r="D56" s="391"/>
      <c r="E56" s="391"/>
      <c r="F56" s="391"/>
      <c r="G56" s="391"/>
      <c r="H56" s="391"/>
      <c r="I56" s="369">
        <f>I55+I54+I53</f>
        <v>41318</v>
      </c>
      <c r="J56" s="369">
        <f>J55+J54+J53</f>
        <v>30665.3</v>
      </c>
    </row>
    <row r="57" ht="9" customHeight="1" spans="10:10" x14ac:dyDescent="0.25">
      <c r="J57" s="317"/>
    </row>
    <row r="58" ht="9" customHeight="1" spans="10:10" x14ac:dyDescent="0.25">
      <c r="J58" s="317"/>
    </row>
    <row r="59" ht="9" customHeight="1" spans="10:10" x14ac:dyDescent="0.25">
      <c r="J59" s="317"/>
    </row>
    <row r="60" ht="9" customHeight="1" spans="10:10" x14ac:dyDescent="0.25">
      <c r="J60" s="317"/>
    </row>
    <row r="61" ht="9" customHeight="1" spans="10:10" x14ac:dyDescent="0.25">
      <c r="J61" s="317"/>
    </row>
    <row r="62" ht="9" customHeight="1" spans="10:10" x14ac:dyDescent="0.25">
      <c r="J62" s="317"/>
    </row>
  </sheetData>
  <sheetProtection sheet="1" algorithmName="SHA-512" hashValue="yukHsbZZALgf7riP5WBq/BbNsmyJpT0F2JmXLVpueotSmlDOvNnPcnFUkD+I/mPKUts5kRSLjFuF9edJydcuUA==" saltValue="cujg+v9NgX51VVTop192ow==" spinCount="100000" objects="1" scenarios="1"/>
  <mergeCells count="19">
    <mergeCell ref="B1:I1"/>
    <mergeCell ref="D8:F8"/>
    <mergeCell ref="G8:H8"/>
    <mergeCell ref="A8:A9"/>
    <mergeCell ref="B8:B9"/>
    <mergeCell ref="J8:J9"/>
    <mergeCell ref="B11:J11"/>
    <mergeCell ref="A19:J19"/>
    <mergeCell ref="A28:J28"/>
    <mergeCell ref="A37:J37"/>
    <mergeCell ref="A46:J46"/>
    <mergeCell ref="B48:J48"/>
    <mergeCell ref="A50:H50"/>
    <mergeCell ref="A51:H51"/>
    <mergeCell ref="B52:H52"/>
    <mergeCell ref="B53:H53"/>
    <mergeCell ref="B54:H54"/>
    <mergeCell ref="B55:H55"/>
    <mergeCell ref="B56:H56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5" fitToWidth="1" fitToHeight="1" firstPageNumber="1" useFirstPageNumber="1" copies="1"/>
  <headerFooter>
    <oddFooter>&amp;R&amp;P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50"/>
  <sheetViews>
    <sheetView workbookViewId="0" zoomScale="60" zoomScaleNormal="60" view="pageBreakPreview">
      <selection activeCell="C16" sqref="C16"/>
    </sheetView>
  </sheetViews>
  <sheetFormatPr defaultRowHeight="9" outlineLevelRow="0" outlineLevelCol="0" x14ac:dyDescent="0" defaultColWidth="10" customHeight="1"/>
  <cols>
    <col min="1" max="1" width="11.08984375" style="317" customWidth="1"/>
    <col min="2" max="2" width="57.36328125" style="317" customWidth="1"/>
    <col min="3" max="6" width="21.26953125" style="317" customWidth="1"/>
    <col min="7" max="8" width="25.90625" style="317" customWidth="1"/>
    <col min="9" max="9" width="21.26953125" style="317" customWidth="1"/>
    <col min="10" max="10" width="21.26953125" style="341" customWidth="1"/>
    <col min="11" max="16384" width="10" style="317" customWidth="1"/>
  </cols>
  <sheetData>
    <row r="1" ht="29.25" customHeight="1" spans="2:12" x14ac:dyDescent="0.25">
      <c r="B1" s="319" t="s">
        <v>978</v>
      </c>
      <c r="C1" s="319"/>
      <c r="D1" s="319"/>
      <c r="E1" s="319"/>
      <c r="F1" s="319"/>
      <c r="G1" s="319"/>
      <c r="H1" s="319"/>
      <c r="I1" s="319"/>
      <c r="J1" s="320" t="s">
        <v>66</v>
      </c>
      <c r="K1" s="323"/>
      <c r="L1" s="323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2:12" x14ac:dyDescent="0.25"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</row>
    <row r="8" ht="19.5" customHeight="1" spans="1:1025" x14ac:dyDescent="0.25">
      <c r="A8" s="135" t="s">
        <v>113</v>
      </c>
      <c r="B8" s="346" t="s">
        <v>820</v>
      </c>
      <c r="C8" s="347" t="s">
        <v>821</v>
      </c>
      <c r="D8" s="58" t="s">
        <v>822</v>
      </c>
      <c r="E8" s="58"/>
      <c r="F8" s="58"/>
      <c r="G8" s="58" t="s">
        <v>823</v>
      </c>
      <c r="H8" s="58"/>
      <c r="I8" s="135" t="s">
        <v>824</v>
      </c>
      <c r="J8" s="346" t="s">
        <v>825</v>
      </c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2"/>
      <c r="ME8" s="342"/>
      <c r="MF8" s="342"/>
      <c r="MG8" s="342"/>
      <c r="MH8" s="342"/>
      <c r="MI8" s="342"/>
      <c r="MJ8" s="342"/>
      <c r="MK8" s="342"/>
      <c r="ML8" s="342"/>
      <c r="MM8" s="342"/>
      <c r="MN8" s="342"/>
      <c r="MO8" s="342"/>
      <c r="MP8" s="342"/>
      <c r="MQ8" s="342"/>
      <c r="MR8" s="342"/>
      <c r="MS8" s="342"/>
      <c r="MT8" s="342"/>
      <c r="MU8" s="342"/>
      <c r="MV8" s="342"/>
      <c r="MW8" s="342"/>
      <c r="MX8" s="342"/>
      <c r="MY8" s="342"/>
      <c r="MZ8" s="342"/>
      <c r="NA8" s="342"/>
      <c r="NB8" s="342"/>
      <c r="NC8" s="342"/>
      <c r="ND8" s="342"/>
      <c r="NE8" s="342"/>
      <c r="NF8" s="342"/>
      <c r="NG8" s="342"/>
      <c r="NH8" s="342"/>
      <c r="NI8" s="342"/>
      <c r="NJ8" s="342"/>
      <c r="NK8" s="342"/>
      <c r="NL8" s="342"/>
      <c r="NM8" s="342"/>
      <c r="NN8" s="342"/>
      <c r="NO8" s="342"/>
      <c r="NP8" s="342"/>
      <c r="NQ8" s="342"/>
      <c r="NR8" s="342"/>
      <c r="NS8" s="342"/>
      <c r="NT8" s="342"/>
      <c r="NU8" s="342"/>
      <c r="NV8" s="342"/>
      <c r="NW8" s="342"/>
      <c r="NX8" s="342"/>
      <c r="NY8" s="342"/>
      <c r="NZ8" s="342"/>
      <c r="OA8" s="342"/>
      <c r="OB8" s="342"/>
      <c r="OC8" s="342"/>
      <c r="OD8" s="342"/>
      <c r="OE8" s="342"/>
      <c r="OF8" s="342"/>
      <c r="OG8" s="342"/>
      <c r="OH8" s="342"/>
      <c r="OI8" s="342"/>
      <c r="OJ8" s="342"/>
      <c r="OK8" s="342"/>
      <c r="OL8" s="342"/>
      <c r="OM8" s="342"/>
      <c r="ON8" s="342"/>
      <c r="OO8" s="342"/>
      <c r="OP8" s="342"/>
      <c r="OQ8" s="342"/>
      <c r="OR8" s="342"/>
      <c r="OS8" s="342"/>
      <c r="OT8" s="342"/>
      <c r="OU8" s="342"/>
      <c r="OV8" s="342"/>
      <c r="OW8" s="342"/>
      <c r="OX8" s="342"/>
      <c r="OY8" s="342"/>
      <c r="OZ8" s="342"/>
      <c r="PA8" s="342"/>
      <c r="PB8" s="342"/>
      <c r="PC8" s="342"/>
      <c r="PD8" s="342"/>
      <c r="PE8" s="342"/>
      <c r="PF8" s="342"/>
      <c r="PG8" s="342"/>
      <c r="PH8" s="342"/>
      <c r="PI8" s="342"/>
      <c r="PJ8" s="342"/>
      <c r="PK8" s="342"/>
      <c r="PL8" s="342"/>
      <c r="PM8" s="342"/>
      <c r="PN8" s="342"/>
      <c r="PO8" s="342"/>
      <c r="PP8" s="342"/>
      <c r="PQ8" s="342"/>
      <c r="PR8" s="342"/>
      <c r="PS8" s="342"/>
      <c r="PT8" s="342"/>
      <c r="PU8" s="342"/>
      <c r="PV8" s="342"/>
      <c r="PW8" s="342"/>
      <c r="PX8" s="342"/>
      <c r="PY8" s="342"/>
      <c r="PZ8" s="342"/>
      <c r="QA8" s="342"/>
      <c r="QB8" s="342"/>
      <c r="QC8" s="342"/>
      <c r="QD8" s="342"/>
      <c r="QE8" s="342"/>
      <c r="QF8" s="342"/>
      <c r="QG8" s="342"/>
      <c r="QH8" s="342"/>
      <c r="QI8" s="342"/>
      <c r="QJ8" s="342"/>
      <c r="QK8" s="342"/>
      <c r="QL8" s="342"/>
      <c r="QM8" s="342"/>
      <c r="QN8" s="342"/>
      <c r="QO8" s="342"/>
      <c r="QP8" s="342"/>
      <c r="QQ8" s="342"/>
      <c r="QR8" s="342"/>
      <c r="QS8" s="342"/>
      <c r="QT8" s="342"/>
      <c r="QU8" s="342"/>
      <c r="QV8" s="342"/>
      <c r="QW8" s="342"/>
      <c r="QX8" s="342"/>
      <c r="QY8" s="342"/>
      <c r="QZ8" s="342"/>
      <c r="RA8" s="342"/>
      <c r="RB8" s="342"/>
      <c r="RC8" s="342"/>
      <c r="RD8" s="342"/>
      <c r="RE8" s="342"/>
      <c r="RF8" s="342"/>
      <c r="RG8" s="342"/>
      <c r="RH8" s="342"/>
      <c r="RI8" s="342"/>
      <c r="RJ8" s="342"/>
      <c r="RK8" s="342"/>
      <c r="RL8" s="342"/>
      <c r="RM8" s="342"/>
      <c r="RN8" s="342"/>
      <c r="RO8" s="342"/>
      <c r="RP8" s="342"/>
      <c r="RQ8" s="342"/>
      <c r="RR8" s="342"/>
      <c r="RS8" s="342"/>
      <c r="RT8" s="342"/>
      <c r="RU8" s="342"/>
      <c r="RV8" s="342"/>
      <c r="RW8" s="342"/>
      <c r="RX8" s="342"/>
      <c r="RY8" s="342"/>
      <c r="RZ8" s="342"/>
      <c r="SA8" s="342"/>
      <c r="SB8" s="342"/>
      <c r="SC8" s="342"/>
      <c r="SD8" s="342"/>
      <c r="SE8" s="342"/>
      <c r="SF8" s="342"/>
      <c r="SG8" s="342"/>
      <c r="SH8" s="342"/>
      <c r="SI8" s="342"/>
      <c r="SJ8" s="342"/>
      <c r="SK8" s="342"/>
      <c r="SL8" s="342"/>
      <c r="SM8" s="342"/>
      <c r="SN8" s="342"/>
      <c r="SO8" s="342"/>
      <c r="SP8" s="342"/>
      <c r="SQ8" s="342"/>
      <c r="SR8" s="342"/>
      <c r="SS8" s="342"/>
      <c r="ST8" s="342"/>
      <c r="SU8" s="342"/>
      <c r="SV8" s="342"/>
      <c r="SW8" s="342"/>
      <c r="SX8" s="342"/>
      <c r="SY8" s="342"/>
      <c r="SZ8" s="342"/>
      <c r="TA8" s="342"/>
      <c r="TB8" s="342"/>
      <c r="TC8" s="342"/>
      <c r="TD8" s="342"/>
      <c r="TE8" s="342"/>
      <c r="TF8" s="342"/>
      <c r="TG8" s="342"/>
      <c r="TH8" s="342"/>
      <c r="TI8" s="342"/>
      <c r="TJ8" s="342"/>
      <c r="TK8" s="342"/>
      <c r="TL8" s="342"/>
      <c r="TM8" s="342"/>
      <c r="TN8" s="342"/>
      <c r="TO8" s="342"/>
      <c r="TP8" s="342"/>
      <c r="TQ8" s="342"/>
      <c r="TR8" s="342"/>
      <c r="TS8" s="342"/>
      <c r="TT8" s="342"/>
      <c r="TU8" s="342"/>
      <c r="TV8" s="342"/>
      <c r="TW8" s="342"/>
      <c r="TX8" s="342"/>
      <c r="TY8" s="342"/>
      <c r="TZ8" s="342"/>
      <c r="UA8" s="342"/>
      <c r="UB8" s="342"/>
      <c r="UC8" s="342"/>
      <c r="UD8" s="342"/>
      <c r="UE8" s="342"/>
      <c r="UF8" s="342"/>
      <c r="UG8" s="342"/>
      <c r="UH8" s="342"/>
      <c r="UI8" s="342"/>
      <c r="UJ8" s="342"/>
      <c r="UK8" s="342"/>
      <c r="UL8" s="342"/>
      <c r="UM8" s="342"/>
      <c r="UN8" s="342"/>
      <c r="UO8" s="342"/>
      <c r="UP8" s="342"/>
      <c r="UQ8" s="342"/>
      <c r="UR8" s="342"/>
      <c r="US8" s="342"/>
      <c r="UT8" s="342"/>
      <c r="UU8" s="342"/>
      <c r="UV8" s="342"/>
      <c r="UW8" s="342"/>
      <c r="UX8" s="342"/>
      <c r="UY8" s="342"/>
      <c r="UZ8" s="342"/>
      <c r="VA8" s="342"/>
      <c r="VB8" s="342"/>
      <c r="VC8" s="342"/>
      <c r="VD8" s="342"/>
      <c r="VE8" s="342"/>
      <c r="VF8" s="342"/>
      <c r="VG8" s="342"/>
      <c r="VH8" s="342"/>
      <c r="VI8" s="342"/>
      <c r="VJ8" s="342"/>
      <c r="VK8" s="342"/>
      <c r="VL8" s="342"/>
      <c r="VM8" s="342"/>
      <c r="VN8" s="342"/>
      <c r="VO8" s="342"/>
      <c r="VP8" s="342"/>
      <c r="VQ8" s="342"/>
      <c r="VR8" s="342"/>
      <c r="VS8" s="342"/>
      <c r="VT8" s="342"/>
      <c r="VU8" s="342"/>
      <c r="VV8" s="342"/>
      <c r="VW8" s="342"/>
      <c r="VX8" s="342"/>
      <c r="VY8" s="342"/>
      <c r="VZ8" s="342"/>
      <c r="WA8" s="342"/>
      <c r="WB8" s="342"/>
      <c r="WC8" s="342"/>
      <c r="WD8" s="342"/>
      <c r="WE8" s="342"/>
      <c r="WF8" s="342"/>
      <c r="WG8" s="342"/>
      <c r="WH8" s="342"/>
      <c r="WI8" s="342"/>
      <c r="WJ8" s="342"/>
      <c r="WK8" s="342"/>
      <c r="WL8" s="342"/>
      <c r="WM8" s="342"/>
      <c r="WN8" s="342"/>
      <c r="WO8" s="342"/>
      <c r="WP8" s="342"/>
      <c r="WQ8" s="342"/>
      <c r="WR8" s="342"/>
      <c r="WS8" s="342"/>
      <c r="WT8" s="342"/>
      <c r="WU8" s="342"/>
      <c r="WV8" s="342"/>
      <c r="WW8" s="342"/>
      <c r="WX8" s="342"/>
      <c r="WY8" s="342"/>
      <c r="WZ8" s="342"/>
      <c r="XA8" s="342"/>
      <c r="XB8" s="342"/>
      <c r="XC8" s="342"/>
      <c r="XD8" s="342"/>
      <c r="XE8" s="342"/>
      <c r="XF8" s="342"/>
      <c r="XG8" s="342"/>
      <c r="XH8" s="342"/>
      <c r="XI8" s="342"/>
      <c r="XJ8" s="342"/>
      <c r="XK8" s="342"/>
      <c r="XL8" s="342"/>
      <c r="XM8" s="342"/>
      <c r="XN8" s="342"/>
      <c r="XO8" s="342"/>
      <c r="XP8" s="342"/>
      <c r="XQ8" s="342"/>
      <c r="XR8" s="342"/>
      <c r="XS8" s="342"/>
      <c r="XT8" s="342"/>
      <c r="XU8" s="342"/>
      <c r="XV8" s="342"/>
      <c r="XW8" s="342"/>
      <c r="XX8" s="342"/>
      <c r="XY8" s="342"/>
      <c r="XZ8" s="342"/>
      <c r="YA8" s="342"/>
      <c r="YB8" s="342"/>
      <c r="YC8" s="342"/>
      <c r="YD8" s="342"/>
      <c r="YE8" s="342"/>
      <c r="YF8" s="342"/>
      <c r="YG8" s="342"/>
      <c r="YH8" s="342"/>
      <c r="YI8" s="342"/>
      <c r="YJ8" s="342"/>
      <c r="YK8" s="342"/>
      <c r="YL8" s="342"/>
      <c r="YM8" s="342"/>
      <c r="YN8" s="342"/>
      <c r="YO8" s="342"/>
      <c r="YP8" s="342"/>
      <c r="YQ8" s="342"/>
      <c r="YR8" s="342"/>
      <c r="YS8" s="342"/>
      <c r="YT8" s="342"/>
      <c r="YU8" s="342"/>
      <c r="YV8" s="342"/>
      <c r="YW8" s="342"/>
      <c r="YX8" s="342"/>
      <c r="YY8" s="342"/>
      <c r="YZ8" s="342"/>
      <c r="ZA8" s="342"/>
      <c r="ZB8" s="342"/>
      <c r="ZC8" s="342"/>
      <c r="ZD8" s="342"/>
      <c r="ZE8" s="342"/>
      <c r="ZF8" s="342"/>
      <c r="ZG8" s="342"/>
      <c r="ZH8" s="342"/>
      <c r="ZI8" s="342"/>
      <c r="ZJ8" s="342"/>
      <c r="ZK8" s="342"/>
      <c r="ZL8" s="342"/>
      <c r="ZM8" s="342"/>
      <c r="ZN8" s="342"/>
      <c r="ZO8" s="342"/>
      <c r="ZP8" s="342"/>
      <c r="ZQ8" s="342"/>
      <c r="ZR8" s="342"/>
      <c r="ZS8" s="342"/>
      <c r="ZT8" s="342"/>
      <c r="ZU8" s="342"/>
      <c r="ZV8" s="342"/>
      <c r="ZW8" s="342"/>
      <c r="ZX8" s="342"/>
      <c r="ZY8" s="342"/>
      <c r="ZZ8" s="342"/>
      <c r="AAA8" s="342"/>
      <c r="AAB8" s="342"/>
      <c r="AAC8" s="342"/>
      <c r="AAD8" s="342"/>
      <c r="AAE8" s="342"/>
      <c r="AAF8" s="342"/>
      <c r="AAG8" s="342"/>
      <c r="AAH8" s="342"/>
      <c r="AAI8" s="342"/>
      <c r="AAJ8" s="342"/>
      <c r="AAK8" s="342"/>
      <c r="AAL8" s="342"/>
      <c r="AAM8" s="342"/>
      <c r="AAN8" s="342"/>
      <c r="AAO8" s="342"/>
      <c r="AAP8" s="342"/>
      <c r="AAQ8" s="342"/>
      <c r="AAR8" s="342"/>
      <c r="AAS8" s="342"/>
      <c r="AAT8" s="342"/>
      <c r="AAU8" s="342"/>
      <c r="AAV8" s="342"/>
      <c r="AAW8" s="342"/>
      <c r="AAX8" s="342"/>
      <c r="AAY8" s="342"/>
      <c r="AAZ8" s="342"/>
      <c r="ABA8" s="342"/>
      <c r="ABB8" s="342"/>
      <c r="ABC8" s="342"/>
      <c r="ABD8" s="342"/>
      <c r="ABE8" s="342"/>
      <c r="ABF8" s="342"/>
      <c r="ABG8" s="342"/>
      <c r="ABH8" s="342"/>
      <c r="ABI8" s="342"/>
      <c r="ABJ8" s="342"/>
      <c r="ABK8" s="342"/>
      <c r="ABL8" s="342"/>
      <c r="ABM8" s="342"/>
      <c r="ABN8" s="342"/>
      <c r="ABO8" s="342"/>
      <c r="ABP8" s="342"/>
      <c r="ABQ8" s="342"/>
      <c r="ABR8" s="342"/>
      <c r="ABS8" s="342"/>
      <c r="ABT8" s="342"/>
      <c r="ABU8" s="342"/>
      <c r="ABV8" s="342"/>
      <c r="ABW8" s="342"/>
      <c r="ABX8" s="342"/>
      <c r="ABY8" s="342"/>
      <c r="ABZ8" s="342"/>
      <c r="ACA8" s="342"/>
      <c r="ACB8" s="342"/>
      <c r="ACC8" s="342"/>
      <c r="ACD8" s="342"/>
      <c r="ACE8" s="342"/>
      <c r="ACF8" s="342"/>
      <c r="ACG8" s="342"/>
      <c r="ACH8" s="342"/>
      <c r="ACI8" s="342"/>
      <c r="ACJ8" s="342"/>
      <c r="ACK8" s="342"/>
      <c r="ACL8" s="342"/>
      <c r="ACM8" s="342"/>
      <c r="ACN8" s="342"/>
      <c r="ACO8" s="342"/>
      <c r="ACP8" s="342"/>
      <c r="ACQ8" s="342"/>
      <c r="ACR8" s="342"/>
      <c r="ACS8" s="342"/>
      <c r="ACT8" s="342"/>
      <c r="ACU8" s="342"/>
      <c r="ACV8" s="342"/>
      <c r="ACW8" s="342"/>
      <c r="ACX8" s="342"/>
      <c r="ACY8" s="342"/>
      <c r="ACZ8" s="342"/>
      <c r="ADA8" s="342"/>
      <c r="ADB8" s="342"/>
      <c r="ADC8" s="342"/>
      <c r="ADD8" s="342"/>
      <c r="ADE8" s="342"/>
      <c r="ADF8" s="342"/>
      <c r="ADG8" s="342"/>
      <c r="ADH8" s="342"/>
      <c r="ADI8" s="342"/>
      <c r="ADJ8" s="342"/>
      <c r="ADK8" s="342"/>
      <c r="ADL8" s="342"/>
      <c r="ADM8" s="342"/>
      <c r="ADN8" s="342"/>
      <c r="ADO8" s="342"/>
      <c r="ADP8" s="342"/>
      <c r="ADQ8" s="342"/>
      <c r="ADR8" s="342"/>
      <c r="ADS8" s="342"/>
      <c r="ADT8" s="342"/>
      <c r="ADU8" s="342"/>
      <c r="ADV8" s="342"/>
      <c r="ADW8" s="342"/>
      <c r="ADX8" s="342"/>
      <c r="ADY8" s="342"/>
      <c r="ADZ8" s="342"/>
      <c r="AEA8" s="342"/>
      <c r="AEB8" s="342"/>
      <c r="AEC8" s="342"/>
      <c r="AED8" s="342"/>
      <c r="AEE8" s="342"/>
      <c r="AEF8" s="342"/>
      <c r="AEG8" s="342"/>
      <c r="AEH8" s="342"/>
      <c r="AEI8" s="342"/>
      <c r="AEJ8" s="342"/>
      <c r="AEK8" s="342"/>
      <c r="AEL8" s="342"/>
      <c r="AEM8" s="342"/>
      <c r="AEN8" s="342"/>
      <c r="AEO8" s="342"/>
      <c r="AEP8" s="342"/>
      <c r="AEQ8" s="342"/>
      <c r="AER8" s="342"/>
      <c r="AES8" s="342"/>
      <c r="AET8" s="342"/>
      <c r="AEU8" s="342"/>
      <c r="AEV8" s="342"/>
      <c r="AEW8" s="342"/>
      <c r="AEX8" s="342"/>
      <c r="AEY8" s="342"/>
      <c r="AEZ8" s="342"/>
      <c r="AFA8" s="342"/>
      <c r="AFB8" s="342"/>
      <c r="AFC8" s="342"/>
      <c r="AFD8" s="342"/>
      <c r="AFE8" s="342"/>
      <c r="AFF8" s="342"/>
      <c r="AFG8" s="342"/>
      <c r="AFH8" s="342"/>
      <c r="AFI8" s="342"/>
      <c r="AFJ8" s="342"/>
      <c r="AFK8" s="342"/>
      <c r="AFL8" s="342"/>
      <c r="AFM8" s="342"/>
      <c r="AFN8" s="342"/>
      <c r="AFO8" s="342"/>
      <c r="AFP8" s="342"/>
      <c r="AFQ8" s="342"/>
      <c r="AFR8" s="342"/>
      <c r="AFS8" s="342"/>
      <c r="AFT8" s="342"/>
      <c r="AFU8" s="342"/>
      <c r="AFV8" s="342"/>
      <c r="AFW8" s="342"/>
      <c r="AFX8" s="342"/>
      <c r="AFY8" s="342"/>
      <c r="AFZ8" s="342"/>
      <c r="AGA8" s="342"/>
      <c r="AGB8" s="342"/>
      <c r="AGC8" s="342"/>
      <c r="AGD8" s="342"/>
      <c r="AGE8" s="342"/>
      <c r="AGF8" s="342"/>
      <c r="AGG8" s="342"/>
      <c r="AGH8" s="342"/>
      <c r="AGI8" s="342"/>
      <c r="AGJ8" s="342"/>
      <c r="AGK8" s="342"/>
      <c r="AGL8" s="342"/>
      <c r="AGM8" s="342"/>
      <c r="AGN8" s="342"/>
      <c r="AGO8" s="342"/>
      <c r="AGP8" s="342"/>
      <c r="AGQ8" s="342"/>
      <c r="AGR8" s="342"/>
      <c r="AGS8" s="342"/>
      <c r="AGT8" s="342"/>
      <c r="AGU8" s="342"/>
      <c r="AGV8" s="342"/>
      <c r="AGW8" s="342"/>
      <c r="AGX8" s="342"/>
      <c r="AGY8" s="342"/>
      <c r="AGZ8" s="342"/>
      <c r="AHA8" s="342"/>
      <c r="AHB8" s="342"/>
      <c r="AHC8" s="342"/>
      <c r="AHD8" s="342"/>
      <c r="AHE8" s="342"/>
      <c r="AHF8" s="342"/>
      <c r="AHG8" s="342"/>
      <c r="AHH8" s="342"/>
      <c r="AHI8" s="342"/>
      <c r="AHJ8" s="342"/>
      <c r="AHK8" s="342"/>
      <c r="AHL8" s="342"/>
      <c r="AHM8" s="342"/>
      <c r="AHN8" s="342"/>
      <c r="AHO8" s="342"/>
      <c r="AHP8" s="342"/>
      <c r="AHQ8" s="342"/>
      <c r="AHR8" s="342"/>
      <c r="AHS8" s="342"/>
      <c r="AHT8" s="342"/>
      <c r="AHU8" s="342"/>
      <c r="AHV8" s="342"/>
      <c r="AHW8" s="342"/>
      <c r="AHX8" s="342"/>
      <c r="AHY8" s="342"/>
      <c r="AHZ8" s="342"/>
      <c r="AIA8" s="342"/>
      <c r="AIB8" s="342"/>
      <c r="AIC8" s="342"/>
      <c r="AID8" s="342"/>
      <c r="AIE8" s="342"/>
      <c r="AIF8" s="342"/>
      <c r="AIG8" s="342"/>
      <c r="AIH8" s="342"/>
      <c r="AII8" s="342"/>
      <c r="AIJ8" s="342"/>
      <c r="AIK8" s="342"/>
      <c r="AIL8" s="342"/>
      <c r="AIM8" s="342"/>
      <c r="AIN8" s="342"/>
      <c r="AIO8" s="342"/>
      <c r="AIP8" s="342"/>
      <c r="AIQ8" s="342"/>
      <c r="AIR8" s="342"/>
      <c r="AIS8" s="342"/>
      <c r="AIT8" s="342"/>
      <c r="AIU8" s="342"/>
      <c r="AIV8" s="342"/>
      <c r="AIW8" s="342"/>
      <c r="AIX8" s="342"/>
      <c r="AIY8" s="342"/>
      <c r="AIZ8" s="342"/>
      <c r="AJA8" s="342"/>
      <c r="AJB8" s="342"/>
      <c r="AJC8" s="342"/>
      <c r="AJD8" s="342"/>
      <c r="AJE8" s="342"/>
      <c r="AJF8" s="342"/>
      <c r="AJG8" s="342"/>
      <c r="AJH8" s="342"/>
      <c r="AJI8" s="342"/>
      <c r="AJJ8" s="342"/>
      <c r="AJK8" s="342"/>
      <c r="AJL8" s="342"/>
      <c r="AJM8" s="342"/>
      <c r="AJN8" s="342"/>
      <c r="AJO8" s="342"/>
      <c r="AJP8" s="342"/>
      <c r="AJQ8" s="342"/>
      <c r="AJR8" s="342"/>
      <c r="AJS8" s="342"/>
      <c r="AJT8" s="342"/>
      <c r="AJU8" s="342"/>
      <c r="AJV8" s="342"/>
      <c r="AJW8" s="342"/>
      <c r="AJX8" s="342"/>
      <c r="AJY8" s="342"/>
      <c r="AJZ8" s="342"/>
      <c r="AKA8" s="342"/>
      <c r="AKB8" s="342"/>
      <c r="AKC8" s="342"/>
      <c r="AKD8" s="342"/>
      <c r="AKE8" s="342"/>
      <c r="AKF8" s="342"/>
      <c r="AKG8" s="342"/>
      <c r="AKH8" s="342"/>
      <c r="AKI8" s="342"/>
      <c r="AKJ8" s="342"/>
      <c r="AKK8" s="342"/>
      <c r="AKL8" s="342"/>
      <c r="AKM8" s="342"/>
      <c r="AKN8" s="342"/>
      <c r="AKO8" s="342"/>
      <c r="AKP8" s="342"/>
      <c r="AKQ8" s="342"/>
      <c r="AKR8" s="342"/>
      <c r="AKS8" s="342"/>
      <c r="AKT8" s="342"/>
      <c r="AKU8" s="342"/>
      <c r="AKV8" s="342"/>
      <c r="AKW8" s="342"/>
      <c r="AKX8" s="342"/>
      <c r="AKY8" s="342"/>
      <c r="AKZ8" s="342"/>
      <c r="ALA8" s="342"/>
      <c r="ALB8" s="342"/>
      <c r="ALC8" s="342"/>
      <c r="ALD8" s="342"/>
      <c r="ALE8" s="342"/>
      <c r="ALF8" s="342"/>
      <c r="ALG8" s="342"/>
      <c r="ALH8" s="342"/>
      <c r="ALI8" s="342"/>
      <c r="ALJ8" s="342"/>
      <c r="ALK8" s="342"/>
      <c r="ALL8" s="342"/>
      <c r="ALM8" s="342"/>
      <c r="ALN8" s="342"/>
      <c r="ALO8" s="342"/>
      <c r="ALP8" s="342"/>
      <c r="ALQ8" s="342"/>
      <c r="ALR8" s="342"/>
      <c r="ALS8" s="342"/>
      <c r="ALT8" s="342"/>
      <c r="ALU8" s="342"/>
      <c r="ALV8" s="342"/>
      <c r="ALW8" s="342"/>
      <c r="ALX8" s="342"/>
      <c r="ALY8" s="342"/>
      <c r="ALZ8" s="342"/>
      <c r="AMA8" s="342"/>
      <c r="AMB8" s="342"/>
      <c r="AMC8" s="342"/>
      <c r="AMD8" s="342"/>
      <c r="AME8" s="342"/>
      <c r="AMF8" s="342"/>
      <c r="AMG8" s="342"/>
      <c r="AMH8" s="342"/>
      <c r="AMI8" s="342"/>
      <c r="AMJ8" s="321"/>
      <c r="AMK8" s="321"/>
    </row>
    <row r="9" ht="100.5" customHeight="1" spans="1:1025" x14ac:dyDescent="0.25">
      <c r="A9" s="135"/>
      <c r="B9" s="346"/>
      <c r="C9" s="348" t="s">
        <v>693</v>
      </c>
      <c r="D9" s="349" t="s">
        <v>826</v>
      </c>
      <c r="E9" s="349" t="s">
        <v>827</v>
      </c>
      <c r="F9" s="349" t="s">
        <v>828</v>
      </c>
      <c r="G9" s="349" t="s">
        <v>829</v>
      </c>
      <c r="H9" s="348" t="s">
        <v>830</v>
      </c>
      <c r="I9" s="348" t="s">
        <v>693</v>
      </c>
      <c r="J9" s="346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  <c r="AKV9" s="342"/>
      <c r="AKW9" s="342"/>
      <c r="AKX9" s="342"/>
      <c r="AKY9" s="342"/>
      <c r="AKZ9" s="342"/>
      <c r="ALA9" s="342"/>
      <c r="ALB9" s="342"/>
      <c r="ALC9" s="342"/>
      <c r="ALD9" s="342"/>
      <c r="ALE9" s="342"/>
      <c r="ALF9" s="342"/>
      <c r="ALG9" s="342"/>
      <c r="ALH9" s="342"/>
      <c r="ALI9" s="342"/>
      <c r="ALJ9" s="342"/>
      <c r="ALK9" s="342"/>
      <c r="ALL9" s="342"/>
      <c r="ALM9" s="342"/>
      <c r="ALN9" s="342"/>
      <c r="ALO9" s="342"/>
      <c r="ALP9" s="342"/>
      <c r="ALQ9" s="342"/>
      <c r="ALR9" s="342"/>
      <c r="ALS9" s="342"/>
      <c r="ALT9" s="342"/>
      <c r="ALU9" s="342"/>
      <c r="ALV9" s="342"/>
      <c r="ALW9" s="342"/>
      <c r="ALX9" s="342"/>
      <c r="ALY9" s="342"/>
      <c r="ALZ9" s="342"/>
      <c r="AMA9" s="342"/>
      <c r="AMB9" s="342"/>
      <c r="AMC9" s="342"/>
      <c r="AMD9" s="342"/>
      <c r="AME9" s="342"/>
      <c r="AMF9" s="342"/>
      <c r="AMG9" s="342"/>
      <c r="AMH9" s="342"/>
      <c r="AMI9" s="342"/>
      <c r="AMJ9" s="321"/>
      <c r="AMK9" s="321"/>
    </row>
    <row r="10" ht="36" customHeight="1" spans="1:1023" x14ac:dyDescent="0.25">
      <c r="A10" s="145"/>
      <c r="B10" s="350" t="s">
        <v>154</v>
      </c>
      <c r="C10" s="135" t="s">
        <v>157</v>
      </c>
      <c r="D10" s="135" t="s">
        <v>160</v>
      </c>
      <c r="E10" s="135" t="s">
        <v>164</v>
      </c>
      <c r="F10" s="135" t="s">
        <v>321</v>
      </c>
      <c r="G10" s="135" t="s">
        <v>329</v>
      </c>
      <c r="H10" s="135" t="s">
        <v>331</v>
      </c>
      <c r="I10" s="135" t="s">
        <v>831</v>
      </c>
      <c r="J10" s="135" t="s">
        <v>832</v>
      </c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7"/>
      <c r="QQ10" s="337"/>
      <c r="QR10" s="337"/>
      <c r="QS10" s="337"/>
      <c r="QT10" s="337"/>
      <c r="QU10" s="337"/>
      <c r="QV10" s="337"/>
      <c r="QW10" s="337"/>
      <c r="QX10" s="337"/>
      <c r="QY10" s="337"/>
      <c r="QZ10" s="337"/>
      <c r="RA10" s="337"/>
      <c r="RB10" s="337"/>
      <c r="RC10" s="337"/>
      <c r="RD10" s="337"/>
      <c r="RE10" s="337"/>
      <c r="RF10" s="337"/>
      <c r="RG10" s="337"/>
      <c r="RH10" s="337"/>
      <c r="RI10" s="337"/>
      <c r="RJ10" s="337"/>
      <c r="RK10" s="337"/>
      <c r="RL10" s="337"/>
      <c r="RM10" s="337"/>
      <c r="RN10" s="337"/>
      <c r="RO10" s="337"/>
      <c r="RP10" s="337"/>
      <c r="RQ10" s="337"/>
      <c r="RR10" s="337"/>
      <c r="RS10" s="337"/>
      <c r="RT10" s="337"/>
      <c r="RU10" s="337"/>
      <c r="RV10" s="337"/>
      <c r="RW10" s="337"/>
      <c r="RX10" s="337"/>
      <c r="RY10" s="337"/>
      <c r="RZ10" s="337"/>
      <c r="SA10" s="337"/>
      <c r="SB10" s="337"/>
      <c r="SC10" s="337"/>
      <c r="SD10" s="337"/>
      <c r="SE10" s="337"/>
      <c r="SF10" s="337"/>
      <c r="SG10" s="337"/>
      <c r="SH10" s="337"/>
      <c r="SI10" s="337"/>
      <c r="SJ10" s="337"/>
      <c r="SK10" s="337"/>
      <c r="SL10" s="337"/>
      <c r="SM10" s="337"/>
      <c r="SN10" s="337"/>
      <c r="SO10" s="337"/>
      <c r="SP10" s="337"/>
      <c r="SQ10" s="337"/>
      <c r="SR10" s="337"/>
      <c r="SS10" s="337"/>
      <c r="ST10" s="337"/>
      <c r="SU10" s="337"/>
      <c r="SV10" s="337"/>
      <c r="SW10" s="337"/>
      <c r="SX10" s="337"/>
      <c r="SY10" s="337"/>
      <c r="SZ10" s="337"/>
      <c r="TA10" s="337"/>
      <c r="TB10" s="337"/>
      <c r="TC10" s="337"/>
      <c r="TD10" s="337"/>
      <c r="TE10" s="337"/>
      <c r="TF10" s="337"/>
      <c r="TG10" s="337"/>
      <c r="TH10" s="337"/>
      <c r="TI10" s="337"/>
      <c r="TJ10" s="337"/>
      <c r="TK10" s="337"/>
      <c r="TL10" s="337"/>
      <c r="TM10" s="337"/>
      <c r="TN10" s="337"/>
      <c r="TO10" s="337"/>
      <c r="TP10" s="337"/>
      <c r="TQ10" s="337"/>
      <c r="TR10" s="337"/>
      <c r="TS10" s="337"/>
      <c r="TT10" s="337"/>
      <c r="TU10" s="337"/>
      <c r="TV10" s="337"/>
      <c r="TW10" s="337"/>
      <c r="TX10" s="337"/>
      <c r="TY10" s="337"/>
      <c r="TZ10" s="337"/>
      <c r="UA10" s="337"/>
      <c r="UB10" s="337"/>
      <c r="UC10" s="337"/>
      <c r="UD10" s="337"/>
      <c r="UE10" s="337"/>
      <c r="UF10" s="337"/>
      <c r="UG10" s="337"/>
      <c r="UH10" s="337"/>
      <c r="UI10" s="337"/>
      <c r="UJ10" s="337"/>
      <c r="UK10" s="337"/>
      <c r="UL10" s="337"/>
      <c r="UM10" s="337"/>
      <c r="UN10" s="337"/>
      <c r="UO10" s="337"/>
      <c r="UP10" s="337"/>
      <c r="UQ10" s="337"/>
      <c r="UR10" s="337"/>
      <c r="US10" s="337"/>
      <c r="UT10" s="337"/>
      <c r="UU10" s="337"/>
      <c r="UV10" s="337"/>
      <c r="UW10" s="337"/>
      <c r="UX10" s="337"/>
      <c r="UY10" s="337"/>
      <c r="UZ10" s="337"/>
      <c r="VA10" s="337"/>
      <c r="VB10" s="337"/>
      <c r="VC10" s="337"/>
      <c r="VD10" s="337"/>
      <c r="VE10" s="337"/>
      <c r="VF10" s="337"/>
      <c r="VG10" s="337"/>
      <c r="VH10" s="337"/>
      <c r="VI10" s="337"/>
      <c r="VJ10" s="337"/>
      <c r="VK10" s="337"/>
      <c r="VL10" s="337"/>
      <c r="VM10" s="337"/>
      <c r="VN10" s="337"/>
      <c r="VO10" s="337"/>
      <c r="VP10" s="337"/>
      <c r="VQ10" s="337"/>
      <c r="VR10" s="337"/>
      <c r="VS10" s="337"/>
      <c r="VT10" s="337"/>
      <c r="VU10" s="337"/>
      <c r="VV10" s="337"/>
      <c r="VW10" s="337"/>
      <c r="VX10" s="337"/>
      <c r="VY10" s="337"/>
      <c r="VZ10" s="337"/>
      <c r="WA10" s="337"/>
      <c r="WB10" s="337"/>
      <c r="WC10" s="337"/>
      <c r="WD10" s="337"/>
      <c r="WE10" s="337"/>
      <c r="WF10" s="337"/>
      <c r="WG10" s="337"/>
      <c r="WH10" s="337"/>
      <c r="WI10" s="337"/>
      <c r="WJ10" s="337"/>
      <c r="WK10" s="337"/>
      <c r="WL10" s="337"/>
      <c r="WM10" s="337"/>
      <c r="WN10" s="337"/>
      <c r="WO10" s="337"/>
      <c r="WP10" s="337"/>
      <c r="WQ10" s="337"/>
      <c r="WR10" s="337"/>
      <c r="WS10" s="337"/>
      <c r="WT10" s="337"/>
      <c r="WU10" s="337"/>
      <c r="WV10" s="337"/>
      <c r="WW10" s="337"/>
      <c r="WX10" s="337"/>
      <c r="WY10" s="337"/>
      <c r="WZ10" s="337"/>
      <c r="XA10" s="337"/>
      <c r="XB10" s="337"/>
      <c r="XC10" s="337"/>
      <c r="XD10" s="337"/>
      <c r="XE10" s="337"/>
      <c r="XF10" s="337"/>
      <c r="XG10" s="337"/>
      <c r="XH10" s="337"/>
      <c r="XI10" s="337"/>
      <c r="XJ10" s="337"/>
      <c r="XK10" s="337"/>
      <c r="XL10" s="337"/>
      <c r="XM10" s="337"/>
      <c r="XN10" s="337"/>
      <c r="XO10" s="337"/>
      <c r="XP10" s="337"/>
      <c r="XQ10" s="337"/>
      <c r="XR10" s="337"/>
      <c r="XS10" s="337"/>
      <c r="XT10" s="337"/>
      <c r="XU10" s="337"/>
      <c r="XV10" s="337"/>
      <c r="XW10" s="337"/>
      <c r="XX10" s="337"/>
      <c r="XY10" s="337"/>
      <c r="XZ10" s="337"/>
      <c r="YA10" s="337"/>
      <c r="YB10" s="337"/>
      <c r="YC10" s="337"/>
      <c r="YD10" s="337"/>
      <c r="YE10" s="337"/>
      <c r="YF10" s="337"/>
      <c r="YG10" s="337"/>
      <c r="YH10" s="337"/>
      <c r="YI10" s="337"/>
      <c r="YJ10" s="337"/>
      <c r="YK10" s="337"/>
      <c r="YL10" s="337"/>
      <c r="YM10" s="337"/>
      <c r="YN10" s="337"/>
      <c r="YO10" s="337"/>
      <c r="YP10" s="337"/>
      <c r="YQ10" s="337"/>
      <c r="YR10" s="337"/>
      <c r="YS10" s="337"/>
      <c r="YT10" s="337"/>
      <c r="YU10" s="337"/>
      <c r="YV10" s="337"/>
      <c r="YW10" s="337"/>
      <c r="YX10" s="337"/>
      <c r="YY10" s="337"/>
      <c r="YZ10" s="337"/>
      <c r="ZA10" s="337"/>
      <c r="ZB10" s="337"/>
      <c r="ZC10" s="337"/>
      <c r="ZD10" s="337"/>
      <c r="ZE10" s="337"/>
      <c r="ZF10" s="337"/>
      <c r="ZG10" s="337"/>
      <c r="ZH10" s="337"/>
      <c r="ZI10" s="337"/>
      <c r="ZJ10" s="337"/>
      <c r="ZK10" s="337"/>
      <c r="ZL10" s="337"/>
      <c r="ZM10" s="337"/>
      <c r="ZN10" s="337"/>
      <c r="ZO10" s="337"/>
      <c r="ZP10" s="337"/>
      <c r="ZQ10" s="337"/>
      <c r="ZR10" s="337"/>
      <c r="ZS10" s="337"/>
      <c r="ZT10" s="337"/>
      <c r="ZU10" s="337"/>
      <c r="ZV10" s="337"/>
      <c r="ZW10" s="337"/>
      <c r="ZX10" s="337"/>
      <c r="ZY10" s="337"/>
      <c r="ZZ10" s="337"/>
      <c r="AAA10" s="337"/>
      <c r="AAB10" s="337"/>
      <c r="AAC10" s="337"/>
      <c r="AAD10" s="337"/>
      <c r="AAE10" s="337"/>
      <c r="AAF10" s="337"/>
      <c r="AAG10" s="337"/>
      <c r="AAH10" s="337"/>
      <c r="AAI10" s="337"/>
      <c r="AAJ10" s="337"/>
      <c r="AAK10" s="337"/>
      <c r="AAL10" s="337"/>
      <c r="AAM10" s="337"/>
      <c r="AAN10" s="337"/>
      <c r="AAO10" s="337"/>
      <c r="AAP10" s="337"/>
      <c r="AAQ10" s="337"/>
      <c r="AAR10" s="337"/>
      <c r="AAS10" s="337"/>
      <c r="AAT10" s="337"/>
      <c r="AAU10" s="337"/>
      <c r="AAV10" s="337"/>
      <c r="AAW10" s="337"/>
      <c r="AAX10" s="337"/>
      <c r="AAY10" s="337"/>
      <c r="AAZ10" s="337"/>
      <c r="ABA10" s="337"/>
      <c r="ABB10" s="337"/>
      <c r="ABC10" s="337"/>
      <c r="ABD10" s="337"/>
      <c r="ABE10" s="337"/>
      <c r="ABF10" s="337"/>
      <c r="ABG10" s="337"/>
      <c r="ABH10" s="337"/>
      <c r="ABI10" s="337"/>
      <c r="ABJ10" s="337"/>
      <c r="ABK10" s="337"/>
      <c r="ABL10" s="337"/>
      <c r="ABM10" s="337"/>
      <c r="ABN10" s="337"/>
      <c r="ABO10" s="337"/>
      <c r="ABP10" s="337"/>
      <c r="ABQ10" s="337"/>
      <c r="ABR10" s="337"/>
      <c r="ABS10" s="337"/>
      <c r="ABT10" s="337"/>
      <c r="ABU10" s="337"/>
      <c r="ABV10" s="337"/>
      <c r="ABW10" s="337"/>
      <c r="ABX10" s="337"/>
      <c r="ABY10" s="337"/>
      <c r="ABZ10" s="337"/>
      <c r="ACA10" s="337"/>
      <c r="ACB10" s="337"/>
      <c r="ACC10" s="337"/>
      <c r="ACD10" s="337"/>
      <c r="ACE10" s="337"/>
      <c r="ACF10" s="337"/>
      <c r="ACG10" s="337"/>
      <c r="ACH10" s="337"/>
      <c r="ACI10" s="337"/>
      <c r="ACJ10" s="337"/>
      <c r="ACK10" s="337"/>
      <c r="ACL10" s="337"/>
      <c r="ACM10" s="337"/>
      <c r="ACN10" s="337"/>
      <c r="ACO10" s="337"/>
      <c r="ACP10" s="337"/>
      <c r="ACQ10" s="337"/>
      <c r="ACR10" s="337"/>
      <c r="ACS10" s="337"/>
      <c r="ACT10" s="337"/>
      <c r="ACU10" s="337"/>
      <c r="ACV10" s="337"/>
      <c r="ACW10" s="337"/>
      <c r="ACX10" s="337"/>
      <c r="ACY10" s="337"/>
      <c r="ACZ10" s="337"/>
      <c r="ADA10" s="337"/>
      <c r="ADB10" s="337"/>
      <c r="ADC10" s="337"/>
      <c r="ADD10" s="337"/>
      <c r="ADE10" s="337"/>
      <c r="ADF10" s="337"/>
      <c r="ADG10" s="337"/>
      <c r="ADH10" s="337"/>
      <c r="ADI10" s="337"/>
      <c r="ADJ10" s="337"/>
      <c r="ADK10" s="337"/>
      <c r="ADL10" s="337"/>
      <c r="ADM10" s="337"/>
      <c r="ADN10" s="337"/>
      <c r="ADO10" s="337"/>
      <c r="ADP10" s="337"/>
      <c r="ADQ10" s="337"/>
      <c r="ADR10" s="337"/>
      <c r="ADS10" s="337"/>
      <c r="ADT10" s="337"/>
      <c r="ADU10" s="337"/>
      <c r="ADV10" s="337"/>
      <c r="ADW10" s="337"/>
      <c r="ADX10" s="337"/>
      <c r="ADY10" s="337"/>
      <c r="ADZ10" s="337"/>
      <c r="AEA10" s="337"/>
      <c r="AEB10" s="337"/>
      <c r="AEC10" s="337"/>
      <c r="AED10" s="337"/>
      <c r="AEE10" s="337"/>
      <c r="AEF10" s="337"/>
      <c r="AEG10" s="337"/>
      <c r="AEH10" s="337"/>
      <c r="AEI10" s="337"/>
      <c r="AEJ10" s="337"/>
      <c r="AEK10" s="337"/>
      <c r="AEL10" s="337"/>
      <c r="AEM10" s="337"/>
      <c r="AEN10" s="337"/>
      <c r="AEO10" s="337"/>
      <c r="AEP10" s="337"/>
      <c r="AEQ10" s="337"/>
      <c r="AER10" s="337"/>
      <c r="AES10" s="337"/>
      <c r="AET10" s="337"/>
      <c r="AEU10" s="337"/>
      <c r="AEV10" s="337"/>
      <c r="AEW10" s="337"/>
      <c r="AEX10" s="337"/>
      <c r="AEY10" s="337"/>
      <c r="AEZ10" s="337"/>
      <c r="AFA10" s="337"/>
      <c r="AFB10" s="337"/>
      <c r="AFC10" s="337"/>
      <c r="AFD10" s="337"/>
      <c r="AFE10" s="337"/>
      <c r="AFF10" s="337"/>
      <c r="AFG10" s="337"/>
      <c r="AFH10" s="337"/>
      <c r="AFI10" s="337"/>
      <c r="AFJ10" s="337"/>
      <c r="AFK10" s="337"/>
      <c r="AFL10" s="337"/>
      <c r="AFM10" s="337"/>
      <c r="AFN10" s="337"/>
      <c r="AFO10" s="337"/>
      <c r="AFP10" s="337"/>
      <c r="AFQ10" s="337"/>
      <c r="AFR10" s="337"/>
      <c r="AFS10" s="337"/>
      <c r="AFT10" s="337"/>
      <c r="AFU10" s="337"/>
      <c r="AFV10" s="337"/>
      <c r="AFW10" s="337"/>
      <c r="AFX10" s="337"/>
      <c r="AFY10" s="337"/>
      <c r="AFZ10" s="337"/>
      <c r="AGA10" s="337"/>
      <c r="AGB10" s="337"/>
      <c r="AGC10" s="337"/>
      <c r="AGD10" s="337"/>
      <c r="AGE10" s="337"/>
      <c r="AGF10" s="337"/>
      <c r="AGG10" s="337"/>
      <c r="AGH10" s="337"/>
      <c r="AGI10" s="337"/>
      <c r="AGJ10" s="337"/>
      <c r="AGK10" s="337"/>
      <c r="AGL10" s="337"/>
      <c r="AGM10" s="337"/>
      <c r="AGN10" s="337"/>
      <c r="AGO10" s="337"/>
      <c r="AGP10" s="337"/>
      <c r="AGQ10" s="337"/>
      <c r="AGR10" s="337"/>
      <c r="AGS10" s="337"/>
      <c r="AGT10" s="337"/>
      <c r="AGU10" s="337"/>
      <c r="AGV10" s="337"/>
      <c r="AGW10" s="337"/>
      <c r="AGX10" s="337"/>
      <c r="AGY10" s="337"/>
      <c r="AGZ10" s="337"/>
      <c r="AHA10" s="337"/>
      <c r="AHB10" s="337"/>
      <c r="AHC10" s="337"/>
      <c r="AHD10" s="337"/>
      <c r="AHE10" s="337"/>
      <c r="AHF10" s="337"/>
      <c r="AHG10" s="337"/>
      <c r="AHH10" s="337"/>
      <c r="AHI10" s="337"/>
      <c r="AHJ10" s="337"/>
      <c r="AHK10" s="337"/>
      <c r="AHL10" s="337"/>
      <c r="AHM10" s="337"/>
      <c r="AHN10" s="337"/>
      <c r="AHO10" s="337"/>
      <c r="AHP10" s="337"/>
      <c r="AHQ10" s="337"/>
      <c r="AHR10" s="337"/>
      <c r="AHS10" s="337"/>
      <c r="AHT10" s="337"/>
      <c r="AHU10" s="337"/>
      <c r="AHV10" s="337"/>
      <c r="AHW10" s="337"/>
      <c r="AHX10" s="337"/>
      <c r="AHY10" s="337"/>
      <c r="AHZ10" s="337"/>
      <c r="AIA10" s="337"/>
      <c r="AIB10" s="337"/>
      <c r="AIC10" s="337"/>
      <c r="AID10" s="337"/>
      <c r="AIE10" s="337"/>
      <c r="AIF10" s="337"/>
      <c r="AIG10" s="337"/>
      <c r="AIH10" s="337"/>
      <c r="AII10" s="337"/>
      <c r="AIJ10" s="337"/>
      <c r="AIK10" s="337"/>
      <c r="AIL10" s="337"/>
      <c r="AIM10" s="337"/>
      <c r="AIN10" s="337"/>
      <c r="AIO10" s="337"/>
      <c r="AIP10" s="337"/>
      <c r="AIQ10" s="337"/>
      <c r="AIR10" s="337"/>
      <c r="AIS10" s="337"/>
      <c r="AIT10" s="337"/>
      <c r="AIU10" s="337"/>
      <c r="AIV10" s="337"/>
      <c r="AIW10" s="337"/>
      <c r="AIX10" s="337"/>
      <c r="AIY10" s="337"/>
      <c r="AIZ10" s="337"/>
      <c r="AJA10" s="337"/>
      <c r="AJB10" s="337"/>
      <c r="AJC10" s="337"/>
      <c r="AJD10" s="337"/>
      <c r="AJE10" s="337"/>
      <c r="AJF10" s="337"/>
      <c r="AJG10" s="337"/>
      <c r="AJH10" s="337"/>
      <c r="AJI10" s="337"/>
      <c r="AJJ10" s="337"/>
      <c r="AJK10" s="337"/>
      <c r="AJL10" s="337"/>
      <c r="AJM10" s="337"/>
      <c r="AJN10" s="337"/>
      <c r="AJO10" s="337"/>
      <c r="AJP10" s="337"/>
      <c r="AJQ10" s="337"/>
      <c r="AJR10" s="337"/>
      <c r="AJS10" s="337"/>
      <c r="AJT10" s="337"/>
      <c r="AJU10" s="337"/>
      <c r="AJV10" s="337"/>
      <c r="AJW10" s="337"/>
      <c r="AJX10" s="337"/>
      <c r="AJY10" s="337"/>
      <c r="AJZ10" s="337"/>
      <c r="AKA10" s="337"/>
      <c r="AKB10" s="337"/>
      <c r="AKC10" s="337"/>
      <c r="AKD10" s="337"/>
      <c r="AKE10" s="337"/>
      <c r="AKF10" s="337"/>
      <c r="AKG10" s="337"/>
      <c r="AKH10" s="337"/>
      <c r="AKI10" s="337"/>
      <c r="AKJ10" s="337"/>
      <c r="AKK10" s="337"/>
      <c r="AKL10" s="337"/>
      <c r="AKM10" s="337"/>
      <c r="AKN10" s="337"/>
      <c r="AKO10" s="337"/>
      <c r="AKP10" s="337"/>
      <c r="AKQ10" s="337"/>
      <c r="AKR10" s="337"/>
      <c r="AKS10" s="337"/>
      <c r="AKT10" s="337"/>
      <c r="AKU10" s="337"/>
      <c r="AKV10" s="337"/>
      <c r="AKW10" s="337"/>
      <c r="AKX10" s="337"/>
      <c r="AKY10" s="337"/>
      <c r="AKZ10" s="337"/>
      <c r="ALA10" s="337"/>
      <c r="ALB10" s="337"/>
      <c r="ALC10" s="337"/>
      <c r="ALD10" s="337"/>
      <c r="ALE10" s="337"/>
      <c r="ALF10" s="337"/>
      <c r="ALG10" s="337"/>
      <c r="ALH10" s="337"/>
      <c r="ALI10" s="337"/>
      <c r="ALJ10" s="337"/>
      <c r="ALK10" s="337"/>
      <c r="ALL10" s="337"/>
      <c r="ALM10" s="337"/>
      <c r="ALN10" s="337"/>
      <c r="ALO10" s="337"/>
      <c r="ALP10" s="337"/>
      <c r="ALQ10" s="337"/>
      <c r="ALR10" s="337"/>
      <c r="ALS10" s="337"/>
      <c r="ALT10" s="337"/>
      <c r="ALU10" s="337"/>
      <c r="ALV10" s="337"/>
      <c r="ALW10" s="337"/>
      <c r="ALX10" s="337"/>
      <c r="ALY10" s="337"/>
      <c r="ALZ10" s="337"/>
      <c r="AMA10" s="337"/>
      <c r="AMB10" s="337"/>
      <c r="AMC10" s="337"/>
      <c r="AMD10" s="337"/>
      <c r="AME10" s="337"/>
      <c r="AMF10" s="337"/>
      <c r="AMG10" s="337"/>
      <c r="AMH10" s="337"/>
      <c r="AMI10" s="337"/>
    </row>
    <row r="11" ht="17.4" customHeight="1" spans="1:10" x14ac:dyDescent="0.25">
      <c r="A11" s="145"/>
      <c r="B11" s="351" t="s">
        <v>833</v>
      </c>
      <c r="C11" s="351"/>
      <c r="D11" s="351"/>
      <c r="E11" s="351"/>
      <c r="F11" s="351"/>
      <c r="G11" s="351"/>
      <c r="H11" s="351"/>
      <c r="I11" s="351"/>
      <c r="J11" s="351"/>
    </row>
    <row r="12" ht="17.5" customHeight="1" spans="1:10" x14ac:dyDescent="0.25">
      <c r="A12" s="145" t="s">
        <v>979</v>
      </c>
      <c r="B12" s="392">
        <v>0</v>
      </c>
      <c r="C12" s="393"/>
      <c r="D12" s="369">
        <v>0</v>
      </c>
      <c r="E12" s="369">
        <v>0</v>
      </c>
      <c r="F12" s="369">
        <v>0</v>
      </c>
      <c r="G12" s="369">
        <v>0</v>
      </c>
      <c r="H12" s="369">
        <v>0</v>
      </c>
      <c r="I12" s="369">
        <f t="shared" ref="I12:I17" si="0">H12+G12+F12+E12+D12+C12</f>
        <v>0</v>
      </c>
      <c r="J12" s="354"/>
    </row>
    <row r="13" ht="17.5" customHeight="1" spans="1:10" x14ac:dyDescent="0.25">
      <c r="A13" s="145" t="s">
        <v>980</v>
      </c>
      <c r="B13" s="392">
        <v>0.2</v>
      </c>
      <c r="C13" s="394"/>
      <c r="D13" s="369">
        <v>0</v>
      </c>
      <c r="E13" s="369">
        <v>0</v>
      </c>
      <c r="F13" s="369">
        <v>0</v>
      </c>
      <c r="G13" s="369">
        <v>0</v>
      </c>
      <c r="H13" s="369">
        <v>0</v>
      </c>
      <c r="I13" s="369">
        <f t="shared" si="0"/>
        <v>0</v>
      </c>
      <c r="J13" s="369">
        <f t="shared" ref="J13:J15" si="1">I13*B13</f>
        <v>0</v>
      </c>
    </row>
    <row r="14" ht="17.5" customHeight="1" spans="1:10" x14ac:dyDescent="0.25">
      <c r="A14" s="145" t="s">
        <v>981</v>
      </c>
      <c r="B14" s="392">
        <v>0.5</v>
      </c>
      <c r="C14" s="361"/>
      <c r="D14" s="369">
        <v>0</v>
      </c>
      <c r="E14" s="369">
        <v>0</v>
      </c>
      <c r="F14" s="369">
        <v>0</v>
      </c>
      <c r="G14" s="369">
        <v>0</v>
      </c>
      <c r="H14" s="369">
        <v>0</v>
      </c>
      <c r="I14" s="369">
        <f t="shared" si="0"/>
        <v>0</v>
      </c>
      <c r="J14" s="369">
        <f t="shared" si="1"/>
        <v>0</v>
      </c>
    </row>
    <row r="15" ht="17.5" customHeight="1" spans="1:10" x14ac:dyDescent="0.25">
      <c r="A15" s="145" t="s">
        <v>982</v>
      </c>
      <c r="B15" s="352">
        <v>0.75</v>
      </c>
      <c r="C15" s="369">
        <f>17932-960</f>
        <v>16972</v>
      </c>
      <c r="D15" s="369">
        <v>0</v>
      </c>
      <c r="E15" s="369">
        <v>0</v>
      </c>
      <c r="F15" s="369">
        <v>0</v>
      </c>
      <c r="G15" s="369">
        <v>0</v>
      </c>
      <c r="H15" s="369">
        <v>0</v>
      </c>
      <c r="I15" s="369">
        <f t="shared" si="0"/>
        <v>16972</v>
      </c>
      <c r="J15" s="369">
        <f t="shared" si="1"/>
        <v>12729</v>
      </c>
    </row>
    <row r="16" ht="17.5" customHeight="1" spans="1:10" x14ac:dyDescent="0.25">
      <c r="A16" s="145" t="s">
        <v>983</v>
      </c>
      <c r="B16" s="352">
        <v>1</v>
      </c>
      <c r="C16" s="369">
        <v>107</v>
      </c>
      <c r="D16" s="369">
        <v>0</v>
      </c>
      <c r="E16" s="369">
        <v>0</v>
      </c>
      <c r="F16" s="369">
        <v>0</v>
      </c>
      <c r="G16" s="369">
        <v>0</v>
      </c>
      <c r="H16" s="369">
        <v>0</v>
      </c>
      <c r="I16" s="369">
        <f t="shared" si="0"/>
        <v>107</v>
      </c>
      <c r="J16" s="369">
        <f>I16*B16</f>
        <v>107</v>
      </c>
    </row>
    <row r="17" ht="17.5" customHeight="1" spans="1:10" x14ac:dyDescent="0.25">
      <c r="A17" s="145" t="s">
        <v>984</v>
      </c>
      <c r="B17" s="352">
        <v>1.5</v>
      </c>
      <c r="C17" s="369">
        <v>277</v>
      </c>
      <c r="D17" s="369">
        <v>0</v>
      </c>
      <c r="E17" s="369">
        <v>0</v>
      </c>
      <c r="F17" s="369">
        <v>0</v>
      </c>
      <c r="G17" s="369">
        <v>0</v>
      </c>
      <c r="H17" s="369">
        <v>0</v>
      </c>
      <c r="I17" s="369">
        <f t="shared" si="0"/>
        <v>277</v>
      </c>
      <c r="J17" s="369">
        <f>I17*B17</f>
        <v>415.5</v>
      </c>
    </row>
    <row r="18" ht="18" customHeight="1" spans="1:10" s="337" customFormat="1" x14ac:dyDescent="0.25">
      <c r="A18" s="145" t="s">
        <v>985</v>
      </c>
      <c r="B18" s="57" t="s">
        <v>520</v>
      </c>
      <c r="C18" s="369">
        <f>C12+C13+C14+C15+C16+C17</f>
        <v>17356</v>
      </c>
      <c r="D18" s="369">
        <f t="shared" ref="D18:J18" si="2">D12+D13+D14+D15+D16+D17</f>
        <v>0</v>
      </c>
      <c r="E18" s="369">
        <f t="shared" si="2"/>
        <v>0</v>
      </c>
      <c r="F18" s="369">
        <f t="shared" si="2"/>
        <v>0</v>
      </c>
      <c r="G18" s="369">
        <f t="shared" si="2"/>
        <v>0</v>
      </c>
      <c r="H18" s="369">
        <f t="shared" si="2"/>
        <v>0</v>
      </c>
      <c r="I18" s="369">
        <f t="shared" si="2"/>
        <v>17356</v>
      </c>
      <c r="J18" s="369">
        <f t="shared" si="2"/>
        <v>13251.5</v>
      </c>
    </row>
    <row r="19" ht="9" customHeight="1" spans="1:10" x14ac:dyDescent="0.25">
      <c r="A19" s="356"/>
      <c r="B19" s="356"/>
      <c r="C19" s="356"/>
      <c r="D19" s="356"/>
      <c r="E19" s="356"/>
      <c r="F19" s="356"/>
      <c r="G19" s="356"/>
      <c r="H19" s="356"/>
      <c r="I19" s="356"/>
      <c r="J19" s="356"/>
    </row>
    <row r="20" ht="18" customHeight="1" spans="1:10" x14ac:dyDescent="0.25">
      <c r="A20" s="357"/>
      <c r="B20" s="157" t="s">
        <v>840</v>
      </c>
      <c r="C20" s="183"/>
      <c r="D20" s="183"/>
      <c r="E20" s="183"/>
      <c r="F20" s="183"/>
      <c r="G20" s="183"/>
      <c r="H20" s="183"/>
      <c r="I20" s="183"/>
      <c r="J20" s="358"/>
    </row>
    <row r="21" ht="17.5" customHeight="1" spans="1:10" x14ac:dyDescent="0.25">
      <c r="A21" s="145" t="s">
        <v>986</v>
      </c>
      <c r="B21" s="352">
        <v>0</v>
      </c>
      <c r="C21" s="393"/>
      <c r="D21" s="369">
        <v>0</v>
      </c>
      <c r="E21" s="369">
        <v>0</v>
      </c>
      <c r="F21" s="369">
        <v>0</v>
      </c>
      <c r="G21" s="369">
        <v>0</v>
      </c>
      <c r="H21" s="369">
        <v>0</v>
      </c>
      <c r="I21" s="369">
        <v>0</v>
      </c>
      <c r="J21" s="354"/>
    </row>
    <row r="22" ht="17.5" customHeight="1" spans="1:10" x14ac:dyDescent="0.25">
      <c r="A22" s="145" t="s">
        <v>987</v>
      </c>
      <c r="B22" s="352">
        <v>0.2</v>
      </c>
      <c r="C22" s="394"/>
      <c r="D22" s="369">
        <v>0</v>
      </c>
      <c r="E22" s="369">
        <v>0</v>
      </c>
      <c r="F22" s="369">
        <v>0</v>
      </c>
      <c r="G22" s="369">
        <v>0</v>
      </c>
      <c r="H22" s="369">
        <v>0</v>
      </c>
      <c r="I22" s="369">
        <v>0</v>
      </c>
      <c r="J22" s="369">
        <v>0</v>
      </c>
    </row>
    <row r="23" ht="17.5" customHeight="1" spans="1:10" x14ac:dyDescent="0.25">
      <c r="A23" s="145" t="s">
        <v>988</v>
      </c>
      <c r="B23" s="352">
        <v>0.5</v>
      </c>
      <c r="C23" s="361"/>
      <c r="D23" s="369">
        <v>0</v>
      </c>
      <c r="E23" s="369">
        <v>0</v>
      </c>
      <c r="F23" s="369">
        <v>0</v>
      </c>
      <c r="G23" s="369">
        <v>0</v>
      </c>
      <c r="H23" s="369">
        <v>0</v>
      </c>
      <c r="I23" s="369">
        <v>0</v>
      </c>
      <c r="J23" s="369">
        <v>0</v>
      </c>
    </row>
    <row r="24" ht="17.5" customHeight="1" spans="1:10" x14ac:dyDescent="0.25">
      <c r="A24" s="145" t="s">
        <v>989</v>
      </c>
      <c r="B24" s="352">
        <v>0.75</v>
      </c>
      <c r="C24" s="369">
        <v>0</v>
      </c>
      <c r="D24" s="369">
        <v>0</v>
      </c>
      <c r="E24" s="369">
        <v>0</v>
      </c>
      <c r="F24" s="369">
        <v>0</v>
      </c>
      <c r="G24" s="369">
        <v>0</v>
      </c>
      <c r="H24" s="369">
        <v>0</v>
      </c>
      <c r="I24" s="369">
        <v>0</v>
      </c>
      <c r="J24" s="369">
        <v>0</v>
      </c>
    </row>
    <row r="25" ht="17.5" customHeight="1" spans="1:10" x14ac:dyDescent="0.25">
      <c r="A25" s="145" t="s">
        <v>990</v>
      </c>
      <c r="B25" s="352">
        <v>1</v>
      </c>
      <c r="C25" s="369">
        <v>0</v>
      </c>
      <c r="D25" s="369">
        <v>0</v>
      </c>
      <c r="E25" s="369">
        <v>0</v>
      </c>
      <c r="F25" s="369">
        <v>0</v>
      </c>
      <c r="G25" s="369">
        <v>0</v>
      </c>
      <c r="H25" s="369">
        <v>0</v>
      </c>
      <c r="I25" s="369">
        <v>0</v>
      </c>
      <c r="J25" s="369">
        <v>0</v>
      </c>
    </row>
    <row r="26" ht="17.5" customHeight="1" spans="1:10" x14ac:dyDescent="0.25">
      <c r="A26" s="145" t="s">
        <v>991</v>
      </c>
      <c r="B26" s="352">
        <v>1.5</v>
      </c>
      <c r="C26" s="369">
        <v>0</v>
      </c>
      <c r="D26" s="369">
        <v>0</v>
      </c>
      <c r="E26" s="369">
        <v>0</v>
      </c>
      <c r="F26" s="369">
        <v>0</v>
      </c>
      <c r="G26" s="369">
        <v>0</v>
      </c>
      <c r="H26" s="369">
        <v>0</v>
      </c>
      <c r="I26" s="369">
        <v>0</v>
      </c>
      <c r="J26" s="369">
        <v>0</v>
      </c>
    </row>
    <row r="27" ht="18" customHeight="1" spans="1:10" x14ac:dyDescent="0.25">
      <c r="A27" s="145" t="s">
        <v>992</v>
      </c>
      <c r="B27" s="57" t="s">
        <v>520</v>
      </c>
      <c r="C27" s="369">
        <v>0</v>
      </c>
      <c r="D27" s="369">
        <v>0</v>
      </c>
      <c r="E27" s="369">
        <v>0</v>
      </c>
      <c r="F27" s="369">
        <v>0</v>
      </c>
      <c r="G27" s="369">
        <v>0</v>
      </c>
      <c r="H27" s="369">
        <v>0</v>
      </c>
      <c r="I27" s="369">
        <v>0</v>
      </c>
      <c r="J27" s="369">
        <v>0</v>
      </c>
    </row>
    <row r="28" ht="9" customHeight="1" spans="1:10" x14ac:dyDescent="0.25">
      <c r="A28" s="356"/>
      <c r="B28" s="356"/>
      <c r="C28" s="356"/>
      <c r="D28" s="356"/>
      <c r="E28" s="356"/>
      <c r="F28" s="356"/>
      <c r="G28" s="356"/>
      <c r="H28" s="356"/>
      <c r="I28" s="356"/>
      <c r="J28" s="356"/>
    </row>
    <row r="29" ht="18" customHeight="1" spans="1:10" x14ac:dyDescent="0.25">
      <c r="A29" s="357"/>
      <c r="B29" s="157" t="s">
        <v>847</v>
      </c>
      <c r="C29" s="183"/>
      <c r="D29" s="183"/>
      <c r="E29" s="183"/>
      <c r="F29" s="183"/>
      <c r="G29" s="183"/>
      <c r="H29" s="183"/>
      <c r="I29" s="183"/>
      <c r="J29" s="358"/>
    </row>
    <row r="30" ht="17.5" customHeight="1" spans="1:10" x14ac:dyDescent="0.25">
      <c r="A30" s="145" t="s">
        <v>993</v>
      </c>
      <c r="B30" s="352">
        <v>0</v>
      </c>
      <c r="C30" s="393"/>
      <c r="D30" s="369">
        <v>0</v>
      </c>
      <c r="E30" s="369">
        <v>0</v>
      </c>
      <c r="F30" s="369">
        <v>0</v>
      </c>
      <c r="G30" s="369">
        <v>0</v>
      </c>
      <c r="H30" s="369">
        <v>0</v>
      </c>
      <c r="I30" s="369">
        <f t="shared" ref="I30:I35" si="3">H30+G30+F30+E30+D30+C30</f>
        <v>0</v>
      </c>
      <c r="J30" s="354"/>
    </row>
    <row r="31" ht="17.5" customHeight="1" spans="1:10" x14ac:dyDescent="0.25">
      <c r="A31" s="145" t="s">
        <v>994</v>
      </c>
      <c r="B31" s="352">
        <v>0.2</v>
      </c>
      <c r="C31" s="394"/>
      <c r="D31" s="369">
        <v>0</v>
      </c>
      <c r="E31" s="369">
        <v>0</v>
      </c>
      <c r="F31" s="369">
        <v>0</v>
      </c>
      <c r="G31" s="369">
        <v>0</v>
      </c>
      <c r="H31" s="369">
        <v>0</v>
      </c>
      <c r="I31" s="369">
        <f t="shared" si="3"/>
        <v>0</v>
      </c>
      <c r="J31" s="369">
        <f t="shared" ref="J31:J33" si="4">I31*B31</f>
        <v>0</v>
      </c>
    </row>
    <row r="32" ht="17.5" customHeight="1" spans="1:10" x14ac:dyDescent="0.25">
      <c r="A32" s="145" t="s">
        <v>995</v>
      </c>
      <c r="B32" s="352">
        <v>0.5</v>
      </c>
      <c r="C32" s="361"/>
      <c r="D32" s="369">
        <v>0</v>
      </c>
      <c r="E32" s="369">
        <v>0</v>
      </c>
      <c r="F32" s="369">
        <v>0</v>
      </c>
      <c r="G32" s="369">
        <v>0</v>
      </c>
      <c r="H32" s="369">
        <v>0</v>
      </c>
      <c r="I32" s="369">
        <f t="shared" si="3"/>
        <v>0</v>
      </c>
      <c r="J32" s="369">
        <f t="shared" si="4"/>
        <v>0</v>
      </c>
    </row>
    <row r="33" ht="17.5" customHeight="1" spans="1:10" x14ac:dyDescent="0.25">
      <c r="A33" s="145" t="s">
        <v>996</v>
      </c>
      <c r="B33" s="352">
        <v>0.75</v>
      </c>
      <c r="C33" s="369">
        <f>'EP10'!N38</f>
        <v>136.5</v>
      </c>
      <c r="D33" s="369">
        <v>0</v>
      </c>
      <c r="E33" s="369">
        <v>0</v>
      </c>
      <c r="F33" s="369">
        <v>0</v>
      </c>
      <c r="G33" s="369">
        <v>0</v>
      </c>
      <c r="H33" s="369">
        <v>0</v>
      </c>
      <c r="I33" s="369">
        <f t="shared" si="3"/>
        <v>136.5</v>
      </c>
      <c r="J33" s="369">
        <f t="shared" si="4"/>
        <v>102.375</v>
      </c>
    </row>
    <row r="34" ht="17.5" customHeight="1" spans="1:10" x14ac:dyDescent="0.25">
      <c r="A34" s="145" t="s">
        <v>997</v>
      </c>
      <c r="B34" s="352">
        <v>1</v>
      </c>
      <c r="C34" s="369">
        <v>0</v>
      </c>
      <c r="D34" s="369">
        <v>0</v>
      </c>
      <c r="E34" s="369">
        <v>0</v>
      </c>
      <c r="F34" s="369">
        <v>0</v>
      </c>
      <c r="G34" s="369">
        <v>0</v>
      </c>
      <c r="H34" s="369">
        <v>0</v>
      </c>
      <c r="I34" s="369">
        <f t="shared" si="3"/>
        <v>0</v>
      </c>
      <c r="J34" s="369">
        <f>I34*B34</f>
        <v>0</v>
      </c>
    </row>
    <row r="35" ht="17.5" customHeight="1" spans="1:10" x14ac:dyDescent="0.25">
      <c r="A35" s="145" t="s">
        <v>998</v>
      </c>
      <c r="B35" s="352">
        <v>1.5</v>
      </c>
      <c r="C35" s="369">
        <v>0</v>
      </c>
      <c r="D35" s="369">
        <v>0</v>
      </c>
      <c r="E35" s="369">
        <v>0</v>
      </c>
      <c r="F35" s="369">
        <v>0</v>
      </c>
      <c r="G35" s="369">
        <v>0</v>
      </c>
      <c r="H35" s="369">
        <v>0</v>
      </c>
      <c r="I35" s="369">
        <f t="shared" si="3"/>
        <v>0</v>
      </c>
      <c r="J35" s="369">
        <f>I35*B35</f>
        <v>0</v>
      </c>
    </row>
    <row r="36" ht="18" customHeight="1" spans="1:10" x14ac:dyDescent="0.25">
      <c r="A36" s="145" t="s">
        <v>999</v>
      </c>
      <c r="B36" s="57" t="s">
        <v>520</v>
      </c>
      <c r="C36" s="369">
        <f>C30+C31+C32+C33+C34+C35</f>
        <v>136.5</v>
      </c>
      <c r="D36" s="369">
        <f t="shared" ref="D36:J36" si="5">D30+D31+D32+D33+D34+D35</f>
        <v>0</v>
      </c>
      <c r="E36" s="369">
        <f t="shared" si="5"/>
        <v>0</v>
      </c>
      <c r="F36" s="369">
        <f t="shared" si="5"/>
        <v>0</v>
      </c>
      <c r="G36" s="369">
        <f t="shared" si="5"/>
        <v>0</v>
      </c>
      <c r="H36" s="369">
        <f t="shared" si="5"/>
        <v>0</v>
      </c>
      <c r="I36" s="369">
        <f t="shared" si="5"/>
        <v>136.5</v>
      </c>
      <c r="J36" s="369">
        <f t="shared" si="5"/>
        <v>102.375</v>
      </c>
    </row>
    <row r="37" ht="9" customHeight="1" spans="1:10" x14ac:dyDescent="0.25">
      <c r="A37" s="362"/>
      <c r="B37" s="362"/>
      <c r="C37" s="362"/>
      <c r="D37" s="362"/>
      <c r="E37" s="362"/>
      <c r="F37" s="362"/>
      <c r="G37" s="362"/>
      <c r="H37" s="362"/>
      <c r="I37" s="362"/>
      <c r="J37" s="362"/>
    </row>
    <row r="38" ht="18" customHeight="1" spans="1:10" s="337" customFormat="1" x14ac:dyDescent="0.25">
      <c r="A38" s="252" t="s">
        <v>659</v>
      </c>
      <c r="B38" s="363" t="s">
        <v>1000</v>
      </c>
      <c r="C38" s="369">
        <f>C18+C27+C36</f>
        <v>17492.5</v>
      </c>
      <c r="D38" s="369">
        <f t="shared" ref="D38:J38" si="6">D18+D27+D36</f>
        <v>0</v>
      </c>
      <c r="E38" s="369">
        <f t="shared" si="6"/>
        <v>0</v>
      </c>
      <c r="F38" s="369">
        <f t="shared" si="6"/>
        <v>0</v>
      </c>
      <c r="G38" s="369">
        <f t="shared" si="6"/>
        <v>0</v>
      </c>
      <c r="H38" s="369">
        <f t="shared" si="6"/>
        <v>0</v>
      </c>
      <c r="I38" s="369">
        <f>I18+I27+I36</f>
        <v>17492.5</v>
      </c>
      <c r="J38" s="369">
        <f t="shared" si="6"/>
        <v>13353.875</v>
      </c>
    </row>
    <row r="39" ht="9" customHeight="1" spans="1:10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</row>
    <row r="40" ht="9" customHeight="1" spans="1:10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</row>
    <row r="41" ht="18" customHeight="1" spans="1:10" x14ac:dyDescent="0.25">
      <c r="A41" s="156" t="s">
        <v>1001</v>
      </c>
      <c r="B41" s="156"/>
      <c r="C41" s="156"/>
      <c r="D41" s="156"/>
      <c r="E41" s="156"/>
      <c r="F41" s="156"/>
      <c r="G41" s="156"/>
      <c r="H41" s="156"/>
      <c r="I41" s="50"/>
      <c r="J41" s="50"/>
    </row>
    <row r="42" ht="17.5" customHeight="1" spans="1:10" x14ac:dyDescent="0.25">
      <c r="A42" s="183"/>
      <c r="B42" s="183"/>
      <c r="C42" s="183"/>
      <c r="D42" s="183"/>
      <c r="E42" s="183"/>
      <c r="F42" s="183"/>
      <c r="G42" s="183"/>
      <c r="H42" s="183"/>
      <c r="I42" s="50"/>
      <c r="J42" s="50"/>
    </row>
    <row r="43" ht="45" customHeight="1" spans="1:10" x14ac:dyDescent="0.25">
      <c r="A43" s="158" t="s">
        <v>113</v>
      </c>
      <c r="B43" s="389" t="s">
        <v>145</v>
      </c>
      <c r="C43" s="389"/>
      <c r="D43" s="389"/>
      <c r="E43" s="389"/>
      <c r="F43" s="389"/>
      <c r="G43" s="389"/>
      <c r="H43" s="389"/>
      <c r="I43" s="56" t="s">
        <v>973</v>
      </c>
      <c r="J43" s="135" t="s">
        <v>825</v>
      </c>
    </row>
    <row r="44" ht="17.5" customHeight="1" spans="1:10" x14ac:dyDescent="0.25">
      <c r="A44" s="252" t="s">
        <v>1002</v>
      </c>
      <c r="B44" s="145" t="s">
        <v>662</v>
      </c>
      <c r="C44" s="145"/>
      <c r="D44" s="145"/>
      <c r="E44" s="145"/>
      <c r="F44" s="145"/>
      <c r="G44" s="145"/>
      <c r="H44" s="145"/>
      <c r="I44" s="369">
        <f>'EP18'!I35</f>
        <v>2786</v>
      </c>
      <c r="J44" s="369">
        <f>'EP18'!J35</f>
        <v>980.9499999999999</v>
      </c>
    </row>
    <row r="45" ht="9" customHeight="1" spans="10:10" x14ac:dyDescent="0.25">
      <c r="J45" s="317"/>
    </row>
    <row r="46" ht="9" customHeight="1" spans="10:10" x14ac:dyDescent="0.25">
      <c r="J46" s="317"/>
    </row>
    <row r="47" ht="9" customHeight="1" spans="10:10" x14ac:dyDescent="0.25">
      <c r="J47" s="317"/>
    </row>
    <row r="48" ht="9" customHeight="1" spans="10:10" x14ac:dyDescent="0.25">
      <c r="J48" s="317"/>
    </row>
    <row r="49" ht="9" customHeight="1" s="317" customFormat="1" x14ac:dyDescent="0.25"/>
    <row r="50" ht="9" customHeight="1" s="317" customFormat="1" x14ac:dyDescent="0.25"/>
  </sheetData>
  <sheetProtection sheet="1" algorithmName="SHA-512" hashValue="pA+iPlM7Q/il4q5dcDSVBe6HZrNZh/I+bC4mzozZZ/u5xw6jX6xWc7SzvcH5iHRU0vqINhriaxz49HnQN/kg2g==" saltValue="qVE/IF8EwGR7RhQCrJbwSw==" spinCount="100000" objects="1" scenarios="1"/>
  <mergeCells count="15">
    <mergeCell ref="B1:I1"/>
    <mergeCell ref="D8:F8"/>
    <mergeCell ref="G8:H8"/>
    <mergeCell ref="A8:A9"/>
    <mergeCell ref="B8:B9"/>
    <mergeCell ref="J8:J9"/>
    <mergeCell ref="B11:J11"/>
    <mergeCell ref="A19:J19"/>
    <mergeCell ref="A28:J28"/>
    <mergeCell ref="A37:J37"/>
    <mergeCell ref="B39:J39"/>
    <mergeCell ref="A41:H41"/>
    <mergeCell ref="A42:H42"/>
    <mergeCell ref="B43:H43"/>
    <mergeCell ref="B44:H44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7" fitToWidth="1" fitToHeight="1" firstPageNumber="1" useFirstPageNumber="1" copies="1"/>
  <headerFooter>
    <oddFooter>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1"/>
  <sheetViews>
    <sheetView workbookViewId="0" zoomScale="60" zoomScaleNormal="60" view="pageBreakPreview">
      <selection activeCell="C15" sqref="C15"/>
    </sheetView>
  </sheetViews>
  <sheetFormatPr defaultRowHeight="9" outlineLevelRow="0" outlineLevelCol="0" x14ac:dyDescent="0" defaultColWidth="10" customHeight="1"/>
  <cols>
    <col min="1" max="1" width="11.08984375" style="317" customWidth="1"/>
    <col min="2" max="2" width="57.36328125" style="317" customWidth="1"/>
    <col min="3" max="6" width="21.26953125" style="317" customWidth="1"/>
    <col min="7" max="8" width="25.90625" style="317" customWidth="1"/>
    <col min="9" max="9" width="21.26953125" style="317" customWidth="1"/>
    <col min="10" max="10" width="21.26953125" style="341" customWidth="1"/>
    <col min="11" max="16384" width="10" style="317" customWidth="1"/>
  </cols>
  <sheetData>
    <row r="1" ht="29.25" customHeight="1" spans="2:12" x14ac:dyDescent="0.25">
      <c r="B1" s="319" t="s">
        <v>1003</v>
      </c>
      <c r="C1" s="319"/>
      <c r="D1" s="319"/>
      <c r="E1" s="319"/>
      <c r="F1" s="319"/>
      <c r="G1" s="319"/>
      <c r="H1" s="319"/>
      <c r="I1" s="319"/>
      <c r="J1" s="320" t="s">
        <v>68</v>
      </c>
      <c r="K1" s="323"/>
      <c r="L1" s="323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2:12" x14ac:dyDescent="0.25"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</row>
    <row r="8" ht="20.25" customHeight="1" spans="1:1025" x14ac:dyDescent="0.25">
      <c r="A8" s="135" t="s">
        <v>113</v>
      </c>
      <c r="B8" s="346" t="s">
        <v>820</v>
      </c>
      <c r="C8" s="347" t="s">
        <v>821</v>
      </c>
      <c r="D8" s="58" t="s">
        <v>822</v>
      </c>
      <c r="E8" s="58"/>
      <c r="F8" s="58"/>
      <c r="G8" s="58" t="s">
        <v>823</v>
      </c>
      <c r="H8" s="58"/>
      <c r="I8" s="135" t="s">
        <v>824</v>
      </c>
      <c r="J8" s="346" t="s">
        <v>825</v>
      </c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2"/>
      <c r="ME8" s="342"/>
      <c r="MF8" s="342"/>
      <c r="MG8" s="342"/>
      <c r="MH8" s="342"/>
      <c r="MI8" s="342"/>
      <c r="MJ8" s="342"/>
      <c r="MK8" s="342"/>
      <c r="ML8" s="342"/>
      <c r="MM8" s="342"/>
      <c r="MN8" s="342"/>
      <c r="MO8" s="342"/>
      <c r="MP8" s="342"/>
      <c r="MQ8" s="342"/>
      <c r="MR8" s="342"/>
      <c r="MS8" s="342"/>
      <c r="MT8" s="342"/>
      <c r="MU8" s="342"/>
      <c r="MV8" s="342"/>
      <c r="MW8" s="342"/>
      <c r="MX8" s="342"/>
      <c r="MY8" s="342"/>
      <c r="MZ8" s="342"/>
      <c r="NA8" s="342"/>
      <c r="NB8" s="342"/>
      <c r="NC8" s="342"/>
      <c r="ND8" s="342"/>
      <c r="NE8" s="342"/>
      <c r="NF8" s="342"/>
      <c r="NG8" s="342"/>
      <c r="NH8" s="342"/>
      <c r="NI8" s="342"/>
      <c r="NJ8" s="342"/>
      <c r="NK8" s="342"/>
      <c r="NL8" s="342"/>
      <c r="NM8" s="342"/>
      <c r="NN8" s="342"/>
      <c r="NO8" s="342"/>
      <c r="NP8" s="342"/>
      <c r="NQ8" s="342"/>
      <c r="NR8" s="342"/>
      <c r="NS8" s="342"/>
      <c r="NT8" s="342"/>
      <c r="NU8" s="342"/>
      <c r="NV8" s="342"/>
      <c r="NW8" s="342"/>
      <c r="NX8" s="342"/>
      <c r="NY8" s="342"/>
      <c r="NZ8" s="342"/>
      <c r="OA8" s="342"/>
      <c r="OB8" s="342"/>
      <c r="OC8" s="342"/>
      <c r="OD8" s="342"/>
      <c r="OE8" s="342"/>
      <c r="OF8" s="342"/>
      <c r="OG8" s="342"/>
      <c r="OH8" s="342"/>
      <c r="OI8" s="342"/>
      <c r="OJ8" s="342"/>
      <c r="OK8" s="342"/>
      <c r="OL8" s="342"/>
      <c r="OM8" s="342"/>
      <c r="ON8" s="342"/>
      <c r="OO8" s="342"/>
      <c r="OP8" s="342"/>
      <c r="OQ8" s="342"/>
      <c r="OR8" s="342"/>
      <c r="OS8" s="342"/>
      <c r="OT8" s="342"/>
      <c r="OU8" s="342"/>
      <c r="OV8" s="342"/>
      <c r="OW8" s="342"/>
      <c r="OX8" s="342"/>
      <c r="OY8" s="342"/>
      <c r="OZ8" s="342"/>
      <c r="PA8" s="342"/>
      <c r="PB8" s="342"/>
      <c r="PC8" s="342"/>
      <c r="PD8" s="342"/>
      <c r="PE8" s="342"/>
      <c r="PF8" s="342"/>
      <c r="PG8" s="342"/>
      <c r="PH8" s="342"/>
      <c r="PI8" s="342"/>
      <c r="PJ8" s="342"/>
      <c r="PK8" s="342"/>
      <c r="PL8" s="342"/>
      <c r="PM8" s="342"/>
      <c r="PN8" s="342"/>
      <c r="PO8" s="342"/>
      <c r="PP8" s="342"/>
      <c r="PQ8" s="342"/>
      <c r="PR8" s="342"/>
      <c r="PS8" s="342"/>
      <c r="PT8" s="342"/>
      <c r="PU8" s="342"/>
      <c r="PV8" s="342"/>
      <c r="PW8" s="342"/>
      <c r="PX8" s="342"/>
      <c r="PY8" s="342"/>
      <c r="PZ8" s="342"/>
      <c r="QA8" s="342"/>
      <c r="QB8" s="342"/>
      <c r="QC8" s="342"/>
      <c r="QD8" s="342"/>
      <c r="QE8" s="342"/>
      <c r="QF8" s="342"/>
      <c r="QG8" s="342"/>
      <c r="QH8" s="342"/>
      <c r="QI8" s="342"/>
      <c r="QJ8" s="342"/>
      <c r="QK8" s="342"/>
      <c r="QL8" s="342"/>
      <c r="QM8" s="342"/>
      <c r="QN8" s="342"/>
      <c r="QO8" s="342"/>
      <c r="QP8" s="342"/>
      <c r="QQ8" s="342"/>
      <c r="QR8" s="342"/>
      <c r="QS8" s="342"/>
      <c r="QT8" s="342"/>
      <c r="QU8" s="342"/>
      <c r="QV8" s="342"/>
      <c r="QW8" s="342"/>
      <c r="QX8" s="342"/>
      <c r="QY8" s="342"/>
      <c r="QZ8" s="342"/>
      <c r="RA8" s="342"/>
      <c r="RB8" s="342"/>
      <c r="RC8" s="342"/>
      <c r="RD8" s="342"/>
      <c r="RE8" s="342"/>
      <c r="RF8" s="342"/>
      <c r="RG8" s="342"/>
      <c r="RH8" s="342"/>
      <c r="RI8" s="342"/>
      <c r="RJ8" s="342"/>
      <c r="RK8" s="342"/>
      <c r="RL8" s="342"/>
      <c r="RM8" s="342"/>
      <c r="RN8" s="342"/>
      <c r="RO8" s="342"/>
      <c r="RP8" s="342"/>
      <c r="RQ8" s="342"/>
      <c r="RR8" s="342"/>
      <c r="RS8" s="342"/>
      <c r="RT8" s="342"/>
      <c r="RU8" s="342"/>
      <c r="RV8" s="342"/>
      <c r="RW8" s="342"/>
      <c r="RX8" s="342"/>
      <c r="RY8" s="342"/>
      <c r="RZ8" s="342"/>
      <c r="SA8" s="342"/>
      <c r="SB8" s="342"/>
      <c r="SC8" s="342"/>
      <c r="SD8" s="342"/>
      <c r="SE8" s="342"/>
      <c r="SF8" s="342"/>
      <c r="SG8" s="342"/>
      <c r="SH8" s="342"/>
      <c r="SI8" s="342"/>
      <c r="SJ8" s="342"/>
      <c r="SK8" s="342"/>
      <c r="SL8" s="342"/>
      <c r="SM8" s="342"/>
      <c r="SN8" s="342"/>
      <c r="SO8" s="342"/>
      <c r="SP8" s="342"/>
      <c r="SQ8" s="342"/>
      <c r="SR8" s="342"/>
      <c r="SS8" s="342"/>
      <c r="ST8" s="342"/>
      <c r="SU8" s="342"/>
      <c r="SV8" s="342"/>
      <c r="SW8" s="342"/>
      <c r="SX8" s="342"/>
      <c r="SY8" s="342"/>
      <c r="SZ8" s="342"/>
      <c r="TA8" s="342"/>
      <c r="TB8" s="342"/>
      <c r="TC8" s="342"/>
      <c r="TD8" s="342"/>
      <c r="TE8" s="342"/>
      <c r="TF8" s="342"/>
      <c r="TG8" s="342"/>
      <c r="TH8" s="342"/>
      <c r="TI8" s="342"/>
      <c r="TJ8" s="342"/>
      <c r="TK8" s="342"/>
      <c r="TL8" s="342"/>
      <c r="TM8" s="342"/>
      <c r="TN8" s="342"/>
      <c r="TO8" s="342"/>
      <c r="TP8" s="342"/>
      <c r="TQ8" s="342"/>
      <c r="TR8" s="342"/>
      <c r="TS8" s="342"/>
      <c r="TT8" s="342"/>
      <c r="TU8" s="342"/>
      <c r="TV8" s="342"/>
      <c r="TW8" s="342"/>
      <c r="TX8" s="342"/>
      <c r="TY8" s="342"/>
      <c r="TZ8" s="342"/>
      <c r="UA8" s="342"/>
      <c r="UB8" s="342"/>
      <c r="UC8" s="342"/>
      <c r="UD8" s="342"/>
      <c r="UE8" s="342"/>
      <c r="UF8" s="342"/>
      <c r="UG8" s="342"/>
      <c r="UH8" s="342"/>
      <c r="UI8" s="342"/>
      <c r="UJ8" s="342"/>
      <c r="UK8" s="342"/>
      <c r="UL8" s="342"/>
      <c r="UM8" s="342"/>
      <c r="UN8" s="342"/>
      <c r="UO8" s="342"/>
      <c r="UP8" s="342"/>
      <c r="UQ8" s="342"/>
      <c r="UR8" s="342"/>
      <c r="US8" s="342"/>
      <c r="UT8" s="342"/>
      <c r="UU8" s="342"/>
      <c r="UV8" s="342"/>
      <c r="UW8" s="342"/>
      <c r="UX8" s="342"/>
      <c r="UY8" s="342"/>
      <c r="UZ8" s="342"/>
      <c r="VA8" s="342"/>
      <c r="VB8" s="342"/>
      <c r="VC8" s="342"/>
      <c r="VD8" s="342"/>
      <c r="VE8" s="342"/>
      <c r="VF8" s="342"/>
      <c r="VG8" s="342"/>
      <c r="VH8" s="342"/>
      <c r="VI8" s="342"/>
      <c r="VJ8" s="342"/>
      <c r="VK8" s="342"/>
      <c r="VL8" s="342"/>
      <c r="VM8" s="342"/>
      <c r="VN8" s="342"/>
      <c r="VO8" s="342"/>
      <c r="VP8" s="342"/>
      <c r="VQ8" s="342"/>
      <c r="VR8" s="342"/>
      <c r="VS8" s="342"/>
      <c r="VT8" s="342"/>
      <c r="VU8" s="342"/>
      <c r="VV8" s="342"/>
      <c r="VW8" s="342"/>
      <c r="VX8" s="342"/>
      <c r="VY8" s="342"/>
      <c r="VZ8" s="342"/>
      <c r="WA8" s="342"/>
      <c r="WB8" s="342"/>
      <c r="WC8" s="342"/>
      <c r="WD8" s="342"/>
      <c r="WE8" s="342"/>
      <c r="WF8" s="342"/>
      <c r="WG8" s="342"/>
      <c r="WH8" s="342"/>
      <c r="WI8" s="342"/>
      <c r="WJ8" s="342"/>
      <c r="WK8" s="342"/>
      <c r="WL8" s="342"/>
      <c r="WM8" s="342"/>
      <c r="WN8" s="342"/>
      <c r="WO8" s="342"/>
      <c r="WP8" s="342"/>
      <c r="WQ8" s="342"/>
      <c r="WR8" s="342"/>
      <c r="WS8" s="342"/>
      <c r="WT8" s="342"/>
      <c r="WU8" s="342"/>
      <c r="WV8" s="342"/>
      <c r="WW8" s="342"/>
      <c r="WX8" s="342"/>
      <c r="WY8" s="342"/>
      <c r="WZ8" s="342"/>
      <c r="XA8" s="342"/>
      <c r="XB8" s="342"/>
      <c r="XC8" s="342"/>
      <c r="XD8" s="342"/>
      <c r="XE8" s="342"/>
      <c r="XF8" s="342"/>
      <c r="XG8" s="342"/>
      <c r="XH8" s="342"/>
      <c r="XI8" s="342"/>
      <c r="XJ8" s="342"/>
      <c r="XK8" s="342"/>
      <c r="XL8" s="342"/>
      <c r="XM8" s="342"/>
      <c r="XN8" s="342"/>
      <c r="XO8" s="342"/>
      <c r="XP8" s="342"/>
      <c r="XQ8" s="342"/>
      <c r="XR8" s="342"/>
      <c r="XS8" s="342"/>
      <c r="XT8" s="342"/>
      <c r="XU8" s="342"/>
      <c r="XV8" s="342"/>
      <c r="XW8" s="342"/>
      <c r="XX8" s="342"/>
      <c r="XY8" s="342"/>
      <c r="XZ8" s="342"/>
      <c r="YA8" s="342"/>
      <c r="YB8" s="342"/>
      <c r="YC8" s="342"/>
      <c r="YD8" s="342"/>
      <c r="YE8" s="342"/>
      <c r="YF8" s="342"/>
      <c r="YG8" s="342"/>
      <c r="YH8" s="342"/>
      <c r="YI8" s="342"/>
      <c r="YJ8" s="342"/>
      <c r="YK8" s="342"/>
      <c r="YL8" s="342"/>
      <c r="YM8" s="342"/>
      <c r="YN8" s="342"/>
      <c r="YO8" s="342"/>
      <c r="YP8" s="342"/>
      <c r="YQ8" s="342"/>
      <c r="YR8" s="342"/>
      <c r="YS8" s="342"/>
      <c r="YT8" s="342"/>
      <c r="YU8" s="342"/>
      <c r="YV8" s="342"/>
      <c r="YW8" s="342"/>
      <c r="YX8" s="342"/>
      <c r="YY8" s="342"/>
      <c r="YZ8" s="342"/>
      <c r="ZA8" s="342"/>
      <c r="ZB8" s="342"/>
      <c r="ZC8" s="342"/>
      <c r="ZD8" s="342"/>
      <c r="ZE8" s="342"/>
      <c r="ZF8" s="342"/>
      <c r="ZG8" s="342"/>
      <c r="ZH8" s="342"/>
      <c r="ZI8" s="342"/>
      <c r="ZJ8" s="342"/>
      <c r="ZK8" s="342"/>
      <c r="ZL8" s="342"/>
      <c r="ZM8" s="342"/>
      <c r="ZN8" s="342"/>
      <c r="ZO8" s="342"/>
      <c r="ZP8" s="342"/>
      <c r="ZQ8" s="342"/>
      <c r="ZR8" s="342"/>
      <c r="ZS8" s="342"/>
      <c r="ZT8" s="342"/>
      <c r="ZU8" s="342"/>
      <c r="ZV8" s="342"/>
      <c r="ZW8" s="342"/>
      <c r="ZX8" s="342"/>
      <c r="ZY8" s="342"/>
      <c r="ZZ8" s="342"/>
      <c r="AAA8" s="342"/>
      <c r="AAB8" s="342"/>
      <c r="AAC8" s="342"/>
      <c r="AAD8" s="342"/>
      <c r="AAE8" s="342"/>
      <c r="AAF8" s="342"/>
      <c r="AAG8" s="342"/>
      <c r="AAH8" s="342"/>
      <c r="AAI8" s="342"/>
      <c r="AAJ8" s="342"/>
      <c r="AAK8" s="342"/>
      <c r="AAL8" s="342"/>
      <c r="AAM8" s="342"/>
      <c r="AAN8" s="342"/>
      <c r="AAO8" s="342"/>
      <c r="AAP8" s="342"/>
      <c r="AAQ8" s="342"/>
      <c r="AAR8" s="342"/>
      <c r="AAS8" s="342"/>
      <c r="AAT8" s="342"/>
      <c r="AAU8" s="342"/>
      <c r="AAV8" s="342"/>
      <c r="AAW8" s="342"/>
      <c r="AAX8" s="342"/>
      <c r="AAY8" s="342"/>
      <c r="AAZ8" s="342"/>
      <c r="ABA8" s="342"/>
      <c r="ABB8" s="342"/>
      <c r="ABC8" s="342"/>
      <c r="ABD8" s="342"/>
      <c r="ABE8" s="342"/>
      <c r="ABF8" s="342"/>
      <c r="ABG8" s="342"/>
      <c r="ABH8" s="342"/>
      <c r="ABI8" s="342"/>
      <c r="ABJ8" s="342"/>
      <c r="ABK8" s="342"/>
      <c r="ABL8" s="342"/>
      <c r="ABM8" s="342"/>
      <c r="ABN8" s="342"/>
      <c r="ABO8" s="342"/>
      <c r="ABP8" s="342"/>
      <c r="ABQ8" s="342"/>
      <c r="ABR8" s="342"/>
      <c r="ABS8" s="342"/>
      <c r="ABT8" s="342"/>
      <c r="ABU8" s="342"/>
      <c r="ABV8" s="342"/>
      <c r="ABW8" s="342"/>
      <c r="ABX8" s="342"/>
      <c r="ABY8" s="342"/>
      <c r="ABZ8" s="342"/>
      <c r="ACA8" s="342"/>
      <c r="ACB8" s="342"/>
      <c r="ACC8" s="342"/>
      <c r="ACD8" s="342"/>
      <c r="ACE8" s="342"/>
      <c r="ACF8" s="342"/>
      <c r="ACG8" s="342"/>
      <c r="ACH8" s="342"/>
      <c r="ACI8" s="342"/>
      <c r="ACJ8" s="342"/>
      <c r="ACK8" s="342"/>
      <c r="ACL8" s="342"/>
      <c r="ACM8" s="342"/>
      <c r="ACN8" s="342"/>
      <c r="ACO8" s="342"/>
      <c r="ACP8" s="342"/>
      <c r="ACQ8" s="342"/>
      <c r="ACR8" s="342"/>
      <c r="ACS8" s="342"/>
      <c r="ACT8" s="342"/>
      <c r="ACU8" s="342"/>
      <c r="ACV8" s="342"/>
      <c r="ACW8" s="342"/>
      <c r="ACX8" s="342"/>
      <c r="ACY8" s="342"/>
      <c r="ACZ8" s="342"/>
      <c r="ADA8" s="342"/>
      <c r="ADB8" s="342"/>
      <c r="ADC8" s="342"/>
      <c r="ADD8" s="342"/>
      <c r="ADE8" s="342"/>
      <c r="ADF8" s="342"/>
      <c r="ADG8" s="342"/>
      <c r="ADH8" s="342"/>
      <c r="ADI8" s="342"/>
      <c r="ADJ8" s="342"/>
      <c r="ADK8" s="342"/>
      <c r="ADL8" s="342"/>
      <c r="ADM8" s="342"/>
      <c r="ADN8" s="342"/>
      <c r="ADO8" s="342"/>
      <c r="ADP8" s="342"/>
      <c r="ADQ8" s="342"/>
      <c r="ADR8" s="342"/>
      <c r="ADS8" s="342"/>
      <c r="ADT8" s="342"/>
      <c r="ADU8" s="342"/>
      <c r="ADV8" s="342"/>
      <c r="ADW8" s="342"/>
      <c r="ADX8" s="342"/>
      <c r="ADY8" s="342"/>
      <c r="ADZ8" s="342"/>
      <c r="AEA8" s="342"/>
      <c r="AEB8" s="342"/>
      <c r="AEC8" s="342"/>
      <c r="AED8" s="342"/>
      <c r="AEE8" s="342"/>
      <c r="AEF8" s="342"/>
      <c r="AEG8" s="342"/>
      <c r="AEH8" s="342"/>
      <c r="AEI8" s="342"/>
      <c r="AEJ8" s="342"/>
      <c r="AEK8" s="342"/>
      <c r="AEL8" s="342"/>
      <c r="AEM8" s="342"/>
      <c r="AEN8" s="342"/>
      <c r="AEO8" s="342"/>
      <c r="AEP8" s="342"/>
      <c r="AEQ8" s="342"/>
      <c r="AER8" s="342"/>
      <c r="AES8" s="342"/>
      <c r="AET8" s="342"/>
      <c r="AEU8" s="342"/>
      <c r="AEV8" s="342"/>
      <c r="AEW8" s="342"/>
      <c r="AEX8" s="342"/>
      <c r="AEY8" s="342"/>
      <c r="AEZ8" s="342"/>
      <c r="AFA8" s="342"/>
      <c r="AFB8" s="342"/>
      <c r="AFC8" s="342"/>
      <c r="AFD8" s="342"/>
      <c r="AFE8" s="342"/>
      <c r="AFF8" s="342"/>
      <c r="AFG8" s="342"/>
      <c r="AFH8" s="342"/>
      <c r="AFI8" s="342"/>
      <c r="AFJ8" s="342"/>
      <c r="AFK8" s="342"/>
      <c r="AFL8" s="342"/>
      <c r="AFM8" s="342"/>
      <c r="AFN8" s="342"/>
      <c r="AFO8" s="342"/>
      <c r="AFP8" s="342"/>
      <c r="AFQ8" s="342"/>
      <c r="AFR8" s="342"/>
      <c r="AFS8" s="342"/>
      <c r="AFT8" s="342"/>
      <c r="AFU8" s="342"/>
      <c r="AFV8" s="342"/>
      <c r="AFW8" s="342"/>
      <c r="AFX8" s="342"/>
      <c r="AFY8" s="342"/>
      <c r="AFZ8" s="342"/>
      <c r="AGA8" s="342"/>
      <c r="AGB8" s="342"/>
      <c r="AGC8" s="342"/>
      <c r="AGD8" s="342"/>
      <c r="AGE8" s="342"/>
      <c r="AGF8" s="342"/>
      <c r="AGG8" s="342"/>
      <c r="AGH8" s="342"/>
      <c r="AGI8" s="342"/>
      <c r="AGJ8" s="342"/>
      <c r="AGK8" s="342"/>
      <c r="AGL8" s="342"/>
      <c r="AGM8" s="342"/>
      <c r="AGN8" s="342"/>
      <c r="AGO8" s="342"/>
      <c r="AGP8" s="342"/>
      <c r="AGQ8" s="342"/>
      <c r="AGR8" s="342"/>
      <c r="AGS8" s="342"/>
      <c r="AGT8" s="342"/>
      <c r="AGU8" s="342"/>
      <c r="AGV8" s="342"/>
      <c r="AGW8" s="342"/>
      <c r="AGX8" s="342"/>
      <c r="AGY8" s="342"/>
      <c r="AGZ8" s="342"/>
      <c r="AHA8" s="342"/>
      <c r="AHB8" s="342"/>
      <c r="AHC8" s="342"/>
      <c r="AHD8" s="342"/>
      <c r="AHE8" s="342"/>
      <c r="AHF8" s="342"/>
      <c r="AHG8" s="342"/>
      <c r="AHH8" s="342"/>
      <c r="AHI8" s="342"/>
      <c r="AHJ8" s="342"/>
      <c r="AHK8" s="342"/>
      <c r="AHL8" s="342"/>
      <c r="AHM8" s="342"/>
      <c r="AHN8" s="342"/>
      <c r="AHO8" s="342"/>
      <c r="AHP8" s="342"/>
      <c r="AHQ8" s="342"/>
      <c r="AHR8" s="342"/>
      <c r="AHS8" s="342"/>
      <c r="AHT8" s="342"/>
      <c r="AHU8" s="342"/>
      <c r="AHV8" s="342"/>
      <c r="AHW8" s="342"/>
      <c r="AHX8" s="342"/>
      <c r="AHY8" s="342"/>
      <c r="AHZ8" s="342"/>
      <c r="AIA8" s="342"/>
      <c r="AIB8" s="342"/>
      <c r="AIC8" s="342"/>
      <c r="AID8" s="342"/>
      <c r="AIE8" s="342"/>
      <c r="AIF8" s="342"/>
      <c r="AIG8" s="342"/>
      <c r="AIH8" s="342"/>
      <c r="AII8" s="342"/>
      <c r="AIJ8" s="342"/>
      <c r="AIK8" s="342"/>
      <c r="AIL8" s="342"/>
      <c r="AIM8" s="342"/>
      <c r="AIN8" s="342"/>
      <c r="AIO8" s="342"/>
      <c r="AIP8" s="342"/>
      <c r="AIQ8" s="342"/>
      <c r="AIR8" s="342"/>
      <c r="AIS8" s="342"/>
      <c r="AIT8" s="342"/>
      <c r="AIU8" s="342"/>
      <c r="AIV8" s="342"/>
      <c r="AIW8" s="342"/>
      <c r="AIX8" s="342"/>
      <c r="AIY8" s="342"/>
      <c r="AIZ8" s="342"/>
      <c r="AJA8" s="342"/>
      <c r="AJB8" s="342"/>
      <c r="AJC8" s="342"/>
      <c r="AJD8" s="342"/>
      <c r="AJE8" s="342"/>
      <c r="AJF8" s="342"/>
      <c r="AJG8" s="342"/>
      <c r="AJH8" s="342"/>
      <c r="AJI8" s="342"/>
      <c r="AJJ8" s="342"/>
      <c r="AJK8" s="342"/>
      <c r="AJL8" s="342"/>
      <c r="AJM8" s="342"/>
      <c r="AJN8" s="342"/>
      <c r="AJO8" s="342"/>
      <c r="AJP8" s="342"/>
      <c r="AJQ8" s="342"/>
      <c r="AJR8" s="342"/>
      <c r="AJS8" s="342"/>
      <c r="AJT8" s="342"/>
      <c r="AJU8" s="342"/>
      <c r="AJV8" s="342"/>
      <c r="AJW8" s="342"/>
      <c r="AJX8" s="342"/>
      <c r="AJY8" s="342"/>
      <c r="AJZ8" s="342"/>
      <c r="AKA8" s="342"/>
      <c r="AKB8" s="342"/>
      <c r="AKC8" s="342"/>
      <c r="AKD8" s="342"/>
      <c r="AKE8" s="342"/>
      <c r="AKF8" s="342"/>
      <c r="AKG8" s="342"/>
      <c r="AKH8" s="342"/>
      <c r="AKI8" s="342"/>
      <c r="AKJ8" s="342"/>
      <c r="AKK8" s="342"/>
      <c r="AKL8" s="342"/>
      <c r="AKM8" s="342"/>
      <c r="AKN8" s="342"/>
      <c r="AKO8" s="342"/>
      <c r="AKP8" s="342"/>
      <c r="AKQ8" s="342"/>
      <c r="AKR8" s="342"/>
      <c r="AKS8" s="342"/>
      <c r="AKT8" s="342"/>
      <c r="AKU8" s="342"/>
      <c r="AKV8" s="342"/>
      <c r="AKW8" s="342"/>
      <c r="AKX8" s="342"/>
      <c r="AKY8" s="342"/>
      <c r="AKZ8" s="342"/>
      <c r="ALA8" s="342"/>
      <c r="ALB8" s="342"/>
      <c r="ALC8" s="342"/>
      <c r="ALD8" s="342"/>
      <c r="ALE8" s="342"/>
      <c r="ALF8" s="342"/>
      <c r="ALG8" s="342"/>
      <c r="ALH8" s="342"/>
      <c r="ALI8" s="342"/>
      <c r="ALJ8" s="342"/>
      <c r="ALK8" s="342"/>
      <c r="ALL8" s="342"/>
      <c r="ALM8" s="342"/>
      <c r="ALN8" s="342"/>
      <c r="ALO8" s="342"/>
      <c r="ALP8" s="342"/>
      <c r="ALQ8" s="342"/>
      <c r="ALR8" s="342"/>
      <c r="ALS8" s="342"/>
      <c r="ALT8" s="342"/>
      <c r="ALU8" s="342"/>
      <c r="ALV8" s="342"/>
      <c r="ALW8" s="342"/>
      <c r="ALX8" s="342"/>
      <c r="ALY8" s="342"/>
      <c r="ALZ8" s="342"/>
      <c r="AMA8" s="342"/>
      <c r="AMB8" s="342"/>
      <c r="AMC8" s="342"/>
      <c r="AMD8" s="342"/>
      <c r="AME8" s="342"/>
      <c r="AMF8" s="342"/>
      <c r="AMG8" s="342"/>
      <c r="AMH8" s="342"/>
      <c r="AMI8" s="342"/>
      <c r="AMJ8" s="321"/>
      <c r="AMK8" s="321"/>
    </row>
    <row r="9" ht="100.5" customHeight="1" spans="1:1025" x14ac:dyDescent="0.25">
      <c r="A9" s="135"/>
      <c r="B9" s="346"/>
      <c r="C9" s="348" t="s">
        <v>693</v>
      </c>
      <c r="D9" s="349" t="s">
        <v>826</v>
      </c>
      <c r="E9" s="349" t="s">
        <v>827</v>
      </c>
      <c r="F9" s="349" t="s">
        <v>890</v>
      </c>
      <c r="G9" s="349" t="s">
        <v>829</v>
      </c>
      <c r="H9" s="348" t="s">
        <v>830</v>
      </c>
      <c r="I9" s="348" t="s">
        <v>693</v>
      </c>
      <c r="J9" s="346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  <c r="AKV9" s="342"/>
      <c r="AKW9" s="342"/>
      <c r="AKX9" s="342"/>
      <c r="AKY9" s="342"/>
      <c r="AKZ9" s="342"/>
      <c r="ALA9" s="342"/>
      <c r="ALB9" s="342"/>
      <c r="ALC9" s="342"/>
      <c r="ALD9" s="342"/>
      <c r="ALE9" s="342"/>
      <c r="ALF9" s="342"/>
      <c r="ALG9" s="342"/>
      <c r="ALH9" s="342"/>
      <c r="ALI9" s="342"/>
      <c r="ALJ9" s="342"/>
      <c r="ALK9" s="342"/>
      <c r="ALL9" s="342"/>
      <c r="ALM9" s="342"/>
      <c r="ALN9" s="342"/>
      <c r="ALO9" s="342"/>
      <c r="ALP9" s="342"/>
      <c r="ALQ9" s="342"/>
      <c r="ALR9" s="342"/>
      <c r="ALS9" s="342"/>
      <c r="ALT9" s="342"/>
      <c r="ALU9" s="342"/>
      <c r="ALV9" s="342"/>
      <c r="ALW9" s="342"/>
      <c r="ALX9" s="342"/>
      <c r="ALY9" s="342"/>
      <c r="ALZ9" s="342"/>
      <c r="AMA9" s="342"/>
      <c r="AMB9" s="342"/>
      <c r="AMC9" s="342"/>
      <c r="AMD9" s="342"/>
      <c r="AME9" s="342"/>
      <c r="AMF9" s="342"/>
      <c r="AMG9" s="342"/>
      <c r="AMH9" s="342"/>
      <c r="AMI9" s="342"/>
      <c r="AMJ9" s="321"/>
      <c r="AMK9" s="321"/>
    </row>
    <row r="10" ht="36" customHeight="1" spans="1:1023" x14ac:dyDescent="0.25">
      <c r="A10" s="145"/>
      <c r="B10" s="350" t="s">
        <v>154</v>
      </c>
      <c r="C10" s="135" t="s">
        <v>157</v>
      </c>
      <c r="D10" s="135" t="s">
        <v>160</v>
      </c>
      <c r="E10" s="135" t="s">
        <v>164</v>
      </c>
      <c r="F10" s="135" t="s">
        <v>321</v>
      </c>
      <c r="G10" s="135" t="s">
        <v>329</v>
      </c>
      <c r="H10" s="135" t="s">
        <v>331</v>
      </c>
      <c r="I10" s="135" t="s">
        <v>831</v>
      </c>
      <c r="J10" s="135" t="s">
        <v>832</v>
      </c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7"/>
      <c r="QQ10" s="337"/>
      <c r="QR10" s="337"/>
      <c r="QS10" s="337"/>
      <c r="QT10" s="337"/>
      <c r="QU10" s="337"/>
      <c r="QV10" s="337"/>
      <c r="QW10" s="337"/>
      <c r="QX10" s="337"/>
      <c r="QY10" s="337"/>
      <c r="QZ10" s="337"/>
      <c r="RA10" s="337"/>
      <c r="RB10" s="337"/>
      <c r="RC10" s="337"/>
      <c r="RD10" s="337"/>
      <c r="RE10" s="337"/>
      <c r="RF10" s="337"/>
      <c r="RG10" s="337"/>
      <c r="RH10" s="337"/>
      <c r="RI10" s="337"/>
      <c r="RJ10" s="337"/>
      <c r="RK10" s="337"/>
      <c r="RL10" s="337"/>
      <c r="RM10" s="337"/>
      <c r="RN10" s="337"/>
      <c r="RO10" s="337"/>
      <c r="RP10" s="337"/>
      <c r="RQ10" s="337"/>
      <c r="RR10" s="337"/>
      <c r="RS10" s="337"/>
      <c r="RT10" s="337"/>
      <c r="RU10" s="337"/>
      <c r="RV10" s="337"/>
      <c r="RW10" s="337"/>
      <c r="RX10" s="337"/>
      <c r="RY10" s="337"/>
      <c r="RZ10" s="337"/>
      <c r="SA10" s="337"/>
      <c r="SB10" s="337"/>
      <c r="SC10" s="337"/>
      <c r="SD10" s="337"/>
      <c r="SE10" s="337"/>
      <c r="SF10" s="337"/>
      <c r="SG10" s="337"/>
      <c r="SH10" s="337"/>
      <c r="SI10" s="337"/>
      <c r="SJ10" s="337"/>
      <c r="SK10" s="337"/>
      <c r="SL10" s="337"/>
      <c r="SM10" s="337"/>
      <c r="SN10" s="337"/>
      <c r="SO10" s="337"/>
      <c r="SP10" s="337"/>
      <c r="SQ10" s="337"/>
      <c r="SR10" s="337"/>
      <c r="SS10" s="337"/>
      <c r="ST10" s="337"/>
      <c r="SU10" s="337"/>
      <c r="SV10" s="337"/>
      <c r="SW10" s="337"/>
      <c r="SX10" s="337"/>
      <c r="SY10" s="337"/>
      <c r="SZ10" s="337"/>
      <c r="TA10" s="337"/>
      <c r="TB10" s="337"/>
      <c r="TC10" s="337"/>
      <c r="TD10" s="337"/>
      <c r="TE10" s="337"/>
      <c r="TF10" s="337"/>
      <c r="TG10" s="337"/>
      <c r="TH10" s="337"/>
      <c r="TI10" s="337"/>
      <c r="TJ10" s="337"/>
      <c r="TK10" s="337"/>
      <c r="TL10" s="337"/>
      <c r="TM10" s="337"/>
      <c r="TN10" s="337"/>
      <c r="TO10" s="337"/>
      <c r="TP10" s="337"/>
      <c r="TQ10" s="337"/>
      <c r="TR10" s="337"/>
      <c r="TS10" s="337"/>
      <c r="TT10" s="337"/>
      <c r="TU10" s="337"/>
      <c r="TV10" s="337"/>
      <c r="TW10" s="337"/>
      <c r="TX10" s="337"/>
      <c r="TY10" s="337"/>
      <c r="TZ10" s="337"/>
      <c r="UA10" s="337"/>
      <c r="UB10" s="337"/>
      <c r="UC10" s="337"/>
      <c r="UD10" s="337"/>
      <c r="UE10" s="337"/>
      <c r="UF10" s="337"/>
      <c r="UG10" s="337"/>
      <c r="UH10" s="337"/>
      <c r="UI10" s="337"/>
      <c r="UJ10" s="337"/>
      <c r="UK10" s="337"/>
      <c r="UL10" s="337"/>
      <c r="UM10" s="337"/>
      <c r="UN10" s="337"/>
      <c r="UO10" s="337"/>
      <c r="UP10" s="337"/>
      <c r="UQ10" s="337"/>
      <c r="UR10" s="337"/>
      <c r="US10" s="337"/>
      <c r="UT10" s="337"/>
      <c r="UU10" s="337"/>
      <c r="UV10" s="337"/>
      <c r="UW10" s="337"/>
      <c r="UX10" s="337"/>
      <c r="UY10" s="337"/>
      <c r="UZ10" s="337"/>
      <c r="VA10" s="337"/>
      <c r="VB10" s="337"/>
      <c r="VC10" s="337"/>
      <c r="VD10" s="337"/>
      <c r="VE10" s="337"/>
      <c r="VF10" s="337"/>
      <c r="VG10" s="337"/>
      <c r="VH10" s="337"/>
      <c r="VI10" s="337"/>
      <c r="VJ10" s="337"/>
      <c r="VK10" s="337"/>
      <c r="VL10" s="337"/>
      <c r="VM10" s="337"/>
      <c r="VN10" s="337"/>
      <c r="VO10" s="337"/>
      <c r="VP10" s="337"/>
      <c r="VQ10" s="337"/>
      <c r="VR10" s="337"/>
      <c r="VS10" s="337"/>
      <c r="VT10" s="337"/>
      <c r="VU10" s="337"/>
      <c r="VV10" s="337"/>
      <c r="VW10" s="337"/>
      <c r="VX10" s="337"/>
      <c r="VY10" s="337"/>
      <c r="VZ10" s="337"/>
      <c r="WA10" s="337"/>
      <c r="WB10" s="337"/>
      <c r="WC10" s="337"/>
      <c r="WD10" s="337"/>
      <c r="WE10" s="337"/>
      <c r="WF10" s="337"/>
      <c r="WG10" s="337"/>
      <c r="WH10" s="337"/>
      <c r="WI10" s="337"/>
      <c r="WJ10" s="337"/>
      <c r="WK10" s="337"/>
      <c r="WL10" s="337"/>
      <c r="WM10" s="337"/>
      <c r="WN10" s="337"/>
      <c r="WO10" s="337"/>
      <c r="WP10" s="337"/>
      <c r="WQ10" s="337"/>
      <c r="WR10" s="337"/>
      <c r="WS10" s="337"/>
      <c r="WT10" s="337"/>
      <c r="WU10" s="337"/>
      <c r="WV10" s="337"/>
      <c r="WW10" s="337"/>
      <c r="WX10" s="337"/>
      <c r="WY10" s="337"/>
      <c r="WZ10" s="337"/>
      <c r="XA10" s="337"/>
      <c r="XB10" s="337"/>
      <c r="XC10" s="337"/>
      <c r="XD10" s="337"/>
      <c r="XE10" s="337"/>
      <c r="XF10" s="337"/>
      <c r="XG10" s="337"/>
      <c r="XH10" s="337"/>
      <c r="XI10" s="337"/>
      <c r="XJ10" s="337"/>
      <c r="XK10" s="337"/>
      <c r="XL10" s="337"/>
      <c r="XM10" s="337"/>
      <c r="XN10" s="337"/>
      <c r="XO10" s="337"/>
      <c r="XP10" s="337"/>
      <c r="XQ10" s="337"/>
      <c r="XR10" s="337"/>
      <c r="XS10" s="337"/>
      <c r="XT10" s="337"/>
      <c r="XU10" s="337"/>
      <c r="XV10" s="337"/>
      <c r="XW10" s="337"/>
      <c r="XX10" s="337"/>
      <c r="XY10" s="337"/>
      <c r="XZ10" s="337"/>
      <c r="YA10" s="337"/>
      <c r="YB10" s="337"/>
      <c r="YC10" s="337"/>
      <c r="YD10" s="337"/>
      <c r="YE10" s="337"/>
      <c r="YF10" s="337"/>
      <c r="YG10" s="337"/>
      <c r="YH10" s="337"/>
      <c r="YI10" s="337"/>
      <c r="YJ10" s="337"/>
      <c r="YK10" s="337"/>
      <c r="YL10" s="337"/>
      <c r="YM10" s="337"/>
      <c r="YN10" s="337"/>
      <c r="YO10" s="337"/>
      <c r="YP10" s="337"/>
      <c r="YQ10" s="337"/>
      <c r="YR10" s="337"/>
      <c r="YS10" s="337"/>
      <c r="YT10" s="337"/>
      <c r="YU10" s="337"/>
      <c r="YV10" s="337"/>
      <c r="YW10" s="337"/>
      <c r="YX10" s="337"/>
      <c r="YY10" s="337"/>
      <c r="YZ10" s="337"/>
      <c r="ZA10" s="337"/>
      <c r="ZB10" s="337"/>
      <c r="ZC10" s="337"/>
      <c r="ZD10" s="337"/>
      <c r="ZE10" s="337"/>
      <c r="ZF10" s="337"/>
      <c r="ZG10" s="337"/>
      <c r="ZH10" s="337"/>
      <c r="ZI10" s="337"/>
      <c r="ZJ10" s="337"/>
      <c r="ZK10" s="337"/>
      <c r="ZL10" s="337"/>
      <c r="ZM10" s="337"/>
      <c r="ZN10" s="337"/>
      <c r="ZO10" s="337"/>
      <c r="ZP10" s="337"/>
      <c r="ZQ10" s="337"/>
      <c r="ZR10" s="337"/>
      <c r="ZS10" s="337"/>
      <c r="ZT10" s="337"/>
      <c r="ZU10" s="337"/>
      <c r="ZV10" s="337"/>
      <c r="ZW10" s="337"/>
      <c r="ZX10" s="337"/>
      <c r="ZY10" s="337"/>
      <c r="ZZ10" s="337"/>
      <c r="AAA10" s="337"/>
      <c r="AAB10" s="337"/>
      <c r="AAC10" s="337"/>
      <c r="AAD10" s="337"/>
      <c r="AAE10" s="337"/>
      <c r="AAF10" s="337"/>
      <c r="AAG10" s="337"/>
      <c r="AAH10" s="337"/>
      <c r="AAI10" s="337"/>
      <c r="AAJ10" s="337"/>
      <c r="AAK10" s="337"/>
      <c r="AAL10" s="337"/>
      <c r="AAM10" s="337"/>
      <c r="AAN10" s="337"/>
      <c r="AAO10" s="337"/>
      <c r="AAP10" s="337"/>
      <c r="AAQ10" s="337"/>
      <c r="AAR10" s="337"/>
      <c r="AAS10" s="337"/>
      <c r="AAT10" s="337"/>
      <c r="AAU10" s="337"/>
      <c r="AAV10" s="337"/>
      <c r="AAW10" s="337"/>
      <c r="AAX10" s="337"/>
      <c r="AAY10" s="337"/>
      <c r="AAZ10" s="337"/>
      <c r="ABA10" s="337"/>
      <c r="ABB10" s="337"/>
      <c r="ABC10" s="337"/>
      <c r="ABD10" s="337"/>
      <c r="ABE10" s="337"/>
      <c r="ABF10" s="337"/>
      <c r="ABG10" s="337"/>
      <c r="ABH10" s="337"/>
      <c r="ABI10" s="337"/>
      <c r="ABJ10" s="337"/>
      <c r="ABK10" s="337"/>
      <c r="ABL10" s="337"/>
      <c r="ABM10" s="337"/>
      <c r="ABN10" s="337"/>
      <c r="ABO10" s="337"/>
      <c r="ABP10" s="337"/>
      <c r="ABQ10" s="337"/>
      <c r="ABR10" s="337"/>
      <c r="ABS10" s="337"/>
      <c r="ABT10" s="337"/>
      <c r="ABU10" s="337"/>
      <c r="ABV10" s="337"/>
      <c r="ABW10" s="337"/>
      <c r="ABX10" s="337"/>
      <c r="ABY10" s="337"/>
      <c r="ABZ10" s="337"/>
      <c r="ACA10" s="337"/>
      <c r="ACB10" s="337"/>
      <c r="ACC10" s="337"/>
      <c r="ACD10" s="337"/>
      <c r="ACE10" s="337"/>
      <c r="ACF10" s="337"/>
      <c r="ACG10" s="337"/>
      <c r="ACH10" s="337"/>
      <c r="ACI10" s="337"/>
      <c r="ACJ10" s="337"/>
      <c r="ACK10" s="337"/>
      <c r="ACL10" s="337"/>
      <c r="ACM10" s="337"/>
      <c r="ACN10" s="337"/>
      <c r="ACO10" s="337"/>
      <c r="ACP10" s="337"/>
      <c r="ACQ10" s="337"/>
      <c r="ACR10" s="337"/>
      <c r="ACS10" s="337"/>
      <c r="ACT10" s="337"/>
      <c r="ACU10" s="337"/>
      <c r="ACV10" s="337"/>
      <c r="ACW10" s="337"/>
      <c r="ACX10" s="337"/>
      <c r="ACY10" s="337"/>
      <c r="ACZ10" s="337"/>
      <c r="ADA10" s="337"/>
      <c r="ADB10" s="337"/>
      <c r="ADC10" s="337"/>
      <c r="ADD10" s="337"/>
      <c r="ADE10" s="337"/>
      <c r="ADF10" s="337"/>
      <c r="ADG10" s="337"/>
      <c r="ADH10" s="337"/>
      <c r="ADI10" s="337"/>
      <c r="ADJ10" s="337"/>
      <c r="ADK10" s="337"/>
      <c r="ADL10" s="337"/>
      <c r="ADM10" s="337"/>
      <c r="ADN10" s="337"/>
      <c r="ADO10" s="337"/>
      <c r="ADP10" s="337"/>
      <c r="ADQ10" s="337"/>
      <c r="ADR10" s="337"/>
      <c r="ADS10" s="337"/>
      <c r="ADT10" s="337"/>
      <c r="ADU10" s="337"/>
      <c r="ADV10" s="337"/>
      <c r="ADW10" s="337"/>
      <c r="ADX10" s="337"/>
      <c r="ADY10" s="337"/>
      <c r="ADZ10" s="337"/>
      <c r="AEA10" s="337"/>
      <c r="AEB10" s="337"/>
      <c r="AEC10" s="337"/>
      <c r="AED10" s="337"/>
      <c r="AEE10" s="337"/>
      <c r="AEF10" s="337"/>
      <c r="AEG10" s="337"/>
      <c r="AEH10" s="337"/>
      <c r="AEI10" s="337"/>
      <c r="AEJ10" s="337"/>
      <c r="AEK10" s="337"/>
      <c r="AEL10" s="337"/>
      <c r="AEM10" s="337"/>
      <c r="AEN10" s="337"/>
      <c r="AEO10" s="337"/>
      <c r="AEP10" s="337"/>
      <c r="AEQ10" s="337"/>
      <c r="AER10" s="337"/>
      <c r="AES10" s="337"/>
      <c r="AET10" s="337"/>
      <c r="AEU10" s="337"/>
      <c r="AEV10" s="337"/>
      <c r="AEW10" s="337"/>
      <c r="AEX10" s="337"/>
      <c r="AEY10" s="337"/>
      <c r="AEZ10" s="337"/>
      <c r="AFA10" s="337"/>
      <c r="AFB10" s="337"/>
      <c r="AFC10" s="337"/>
      <c r="AFD10" s="337"/>
      <c r="AFE10" s="337"/>
      <c r="AFF10" s="337"/>
      <c r="AFG10" s="337"/>
      <c r="AFH10" s="337"/>
      <c r="AFI10" s="337"/>
      <c r="AFJ10" s="337"/>
      <c r="AFK10" s="337"/>
      <c r="AFL10" s="337"/>
      <c r="AFM10" s="337"/>
      <c r="AFN10" s="337"/>
      <c r="AFO10" s="337"/>
      <c r="AFP10" s="337"/>
      <c r="AFQ10" s="337"/>
      <c r="AFR10" s="337"/>
      <c r="AFS10" s="337"/>
      <c r="AFT10" s="337"/>
      <c r="AFU10" s="337"/>
      <c r="AFV10" s="337"/>
      <c r="AFW10" s="337"/>
      <c r="AFX10" s="337"/>
      <c r="AFY10" s="337"/>
      <c r="AFZ10" s="337"/>
      <c r="AGA10" s="337"/>
      <c r="AGB10" s="337"/>
      <c r="AGC10" s="337"/>
      <c r="AGD10" s="337"/>
      <c r="AGE10" s="337"/>
      <c r="AGF10" s="337"/>
      <c r="AGG10" s="337"/>
      <c r="AGH10" s="337"/>
      <c r="AGI10" s="337"/>
      <c r="AGJ10" s="337"/>
      <c r="AGK10" s="337"/>
      <c r="AGL10" s="337"/>
      <c r="AGM10" s="337"/>
      <c r="AGN10" s="337"/>
      <c r="AGO10" s="337"/>
      <c r="AGP10" s="337"/>
      <c r="AGQ10" s="337"/>
      <c r="AGR10" s="337"/>
      <c r="AGS10" s="337"/>
      <c r="AGT10" s="337"/>
      <c r="AGU10" s="337"/>
      <c r="AGV10" s="337"/>
      <c r="AGW10" s="337"/>
      <c r="AGX10" s="337"/>
      <c r="AGY10" s="337"/>
      <c r="AGZ10" s="337"/>
      <c r="AHA10" s="337"/>
      <c r="AHB10" s="337"/>
      <c r="AHC10" s="337"/>
      <c r="AHD10" s="337"/>
      <c r="AHE10" s="337"/>
      <c r="AHF10" s="337"/>
      <c r="AHG10" s="337"/>
      <c r="AHH10" s="337"/>
      <c r="AHI10" s="337"/>
      <c r="AHJ10" s="337"/>
      <c r="AHK10" s="337"/>
      <c r="AHL10" s="337"/>
      <c r="AHM10" s="337"/>
      <c r="AHN10" s="337"/>
      <c r="AHO10" s="337"/>
      <c r="AHP10" s="337"/>
      <c r="AHQ10" s="337"/>
      <c r="AHR10" s="337"/>
      <c r="AHS10" s="337"/>
      <c r="AHT10" s="337"/>
      <c r="AHU10" s="337"/>
      <c r="AHV10" s="337"/>
      <c r="AHW10" s="337"/>
      <c r="AHX10" s="337"/>
      <c r="AHY10" s="337"/>
      <c r="AHZ10" s="337"/>
      <c r="AIA10" s="337"/>
      <c r="AIB10" s="337"/>
      <c r="AIC10" s="337"/>
      <c r="AID10" s="337"/>
      <c r="AIE10" s="337"/>
      <c r="AIF10" s="337"/>
      <c r="AIG10" s="337"/>
      <c r="AIH10" s="337"/>
      <c r="AII10" s="337"/>
      <c r="AIJ10" s="337"/>
      <c r="AIK10" s="337"/>
      <c r="AIL10" s="337"/>
      <c r="AIM10" s="337"/>
      <c r="AIN10" s="337"/>
      <c r="AIO10" s="337"/>
      <c r="AIP10" s="337"/>
      <c r="AIQ10" s="337"/>
      <c r="AIR10" s="337"/>
      <c r="AIS10" s="337"/>
      <c r="AIT10" s="337"/>
      <c r="AIU10" s="337"/>
      <c r="AIV10" s="337"/>
      <c r="AIW10" s="337"/>
      <c r="AIX10" s="337"/>
      <c r="AIY10" s="337"/>
      <c r="AIZ10" s="337"/>
      <c r="AJA10" s="337"/>
      <c r="AJB10" s="337"/>
      <c r="AJC10" s="337"/>
      <c r="AJD10" s="337"/>
      <c r="AJE10" s="337"/>
      <c r="AJF10" s="337"/>
      <c r="AJG10" s="337"/>
      <c r="AJH10" s="337"/>
      <c r="AJI10" s="337"/>
      <c r="AJJ10" s="337"/>
      <c r="AJK10" s="337"/>
      <c r="AJL10" s="337"/>
      <c r="AJM10" s="337"/>
      <c r="AJN10" s="337"/>
      <c r="AJO10" s="337"/>
      <c r="AJP10" s="337"/>
      <c r="AJQ10" s="337"/>
      <c r="AJR10" s="337"/>
      <c r="AJS10" s="337"/>
      <c r="AJT10" s="337"/>
      <c r="AJU10" s="337"/>
      <c r="AJV10" s="337"/>
      <c r="AJW10" s="337"/>
      <c r="AJX10" s="337"/>
      <c r="AJY10" s="337"/>
      <c r="AJZ10" s="337"/>
      <c r="AKA10" s="337"/>
      <c r="AKB10" s="337"/>
      <c r="AKC10" s="337"/>
      <c r="AKD10" s="337"/>
      <c r="AKE10" s="337"/>
      <c r="AKF10" s="337"/>
      <c r="AKG10" s="337"/>
      <c r="AKH10" s="337"/>
      <c r="AKI10" s="337"/>
      <c r="AKJ10" s="337"/>
      <c r="AKK10" s="337"/>
      <c r="AKL10" s="337"/>
      <c r="AKM10" s="337"/>
      <c r="AKN10" s="337"/>
      <c r="AKO10" s="337"/>
      <c r="AKP10" s="337"/>
      <c r="AKQ10" s="337"/>
      <c r="AKR10" s="337"/>
      <c r="AKS10" s="337"/>
      <c r="AKT10" s="337"/>
      <c r="AKU10" s="337"/>
      <c r="AKV10" s="337"/>
      <c r="AKW10" s="337"/>
      <c r="AKX10" s="337"/>
      <c r="AKY10" s="337"/>
      <c r="AKZ10" s="337"/>
      <c r="ALA10" s="337"/>
      <c r="ALB10" s="337"/>
      <c r="ALC10" s="337"/>
      <c r="ALD10" s="337"/>
      <c r="ALE10" s="337"/>
      <c r="ALF10" s="337"/>
      <c r="ALG10" s="337"/>
      <c r="ALH10" s="337"/>
      <c r="ALI10" s="337"/>
      <c r="ALJ10" s="337"/>
      <c r="ALK10" s="337"/>
      <c r="ALL10" s="337"/>
      <c r="ALM10" s="337"/>
      <c r="ALN10" s="337"/>
      <c r="ALO10" s="337"/>
      <c r="ALP10" s="337"/>
      <c r="ALQ10" s="337"/>
      <c r="ALR10" s="337"/>
      <c r="ALS10" s="337"/>
      <c r="ALT10" s="337"/>
      <c r="ALU10" s="337"/>
      <c r="ALV10" s="337"/>
      <c r="ALW10" s="337"/>
      <c r="ALX10" s="337"/>
      <c r="ALY10" s="337"/>
      <c r="ALZ10" s="337"/>
      <c r="AMA10" s="337"/>
      <c r="AMB10" s="337"/>
      <c r="AMC10" s="337"/>
      <c r="AMD10" s="337"/>
      <c r="AME10" s="337"/>
      <c r="AMF10" s="337"/>
      <c r="AMG10" s="337"/>
      <c r="AMH10" s="337"/>
      <c r="AMI10" s="337"/>
    </row>
    <row r="11" ht="17.4" customHeight="1" spans="1:10" x14ac:dyDescent="0.25">
      <c r="A11" s="145"/>
      <c r="B11" s="395" t="s">
        <v>833</v>
      </c>
      <c r="C11" s="395"/>
      <c r="D11" s="395"/>
      <c r="E11" s="395"/>
      <c r="F11" s="395"/>
      <c r="G11" s="395"/>
      <c r="H11" s="395"/>
      <c r="I11" s="395"/>
      <c r="J11" s="395"/>
    </row>
    <row r="12" ht="17.5" customHeight="1" spans="1:10" x14ac:dyDescent="0.25">
      <c r="A12" s="145" t="s">
        <v>1004</v>
      </c>
      <c r="B12" s="396">
        <v>0</v>
      </c>
      <c r="C12" s="393"/>
      <c r="D12" s="369">
        <v>0</v>
      </c>
      <c r="E12" s="369">
        <v>0</v>
      </c>
      <c r="F12" s="369">
        <v>0</v>
      </c>
      <c r="G12" s="369">
        <v>0</v>
      </c>
      <c r="H12" s="369">
        <v>0</v>
      </c>
      <c r="I12" s="369">
        <v>0</v>
      </c>
      <c r="J12" s="354"/>
    </row>
    <row r="13" ht="17.5" customHeight="1" spans="1:10" x14ac:dyDescent="0.25">
      <c r="A13" s="145" t="s">
        <v>1005</v>
      </c>
      <c r="B13" s="397">
        <v>0.2</v>
      </c>
      <c r="C13" s="394"/>
      <c r="D13" s="369">
        <v>0</v>
      </c>
      <c r="E13" s="369">
        <v>0</v>
      </c>
      <c r="F13" s="369">
        <v>0</v>
      </c>
      <c r="G13" s="369">
        <v>0</v>
      </c>
      <c r="H13" s="369">
        <v>0</v>
      </c>
      <c r="I13" s="369">
        <v>0</v>
      </c>
      <c r="J13" s="369">
        <v>0</v>
      </c>
    </row>
    <row r="14" ht="17.5" customHeight="1" spans="1:10" x14ac:dyDescent="0.25">
      <c r="A14" s="145" t="s">
        <v>1006</v>
      </c>
      <c r="B14" s="397">
        <v>0.35</v>
      </c>
      <c r="C14" s="369">
        <f>1644+1133</f>
        <v>2777</v>
      </c>
      <c r="D14" s="369">
        <v>0</v>
      </c>
      <c r="E14" s="369">
        <v>0</v>
      </c>
      <c r="F14" s="369">
        <v>0</v>
      </c>
      <c r="G14" s="369">
        <v>0</v>
      </c>
      <c r="H14" s="369">
        <v>0</v>
      </c>
      <c r="I14" s="369">
        <f>H14+G14+F14+E14+D14+C14</f>
        <v>2777</v>
      </c>
      <c r="J14" s="369">
        <f t="shared" ref="J14" si="0">I14*B14</f>
        <v>971.9499999999999</v>
      </c>
    </row>
    <row r="15" ht="17.5" customHeight="1" spans="1:10" x14ac:dyDescent="0.25">
      <c r="A15" s="145" t="s">
        <v>1007</v>
      </c>
      <c r="B15" s="397">
        <v>0.5</v>
      </c>
      <c r="C15" s="394"/>
      <c r="D15" s="369">
        <v>0</v>
      </c>
      <c r="E15" s="369">
        <v>0</v>
      </c>
      <c r="F15" s="369">
        <v>0</v>
      </c>
      <c r="G15" s="369">
        <v>0</v>
      </c>
      <c r="H15" s="369">
        <v>0</v>
      </c>
      <c r="I15" s="369">
        <v>0</v>
      </c>
      <c r="J15" s="369">
        <v>0</v>
      </c>
    </row>
    <row r="16" ht="17.5" customHeight="1" spans="1:10" x14ac:dyDescent="0.25">
      <c r="A16" s="145" t="s">
        <v>1008</v>
      </c>
      <c r="B16" s="397">
        <v>1</v>
      </c>
      <c r="C16" s="369">
        <v>9</v>
      </c>
      <c r="D16" s="369">
        <v>0</v>
      </c>
      <c r="E16" s="369">
        <v>0</v>
      </c>
      <c r="F16" s="369">
        <v>0</v>
      </c>
      <c r="G16" s="369">
        <v>0</v>
      </c>
      <c r="H16" s="369">
        <v>0</v>
      </c>
      <c r="I16" s="369">
        <f>H16+G16+F16+E16+D16+C16</f>
        <v>9</v>
      </c>
      <c r="J16" s="369">
        <f t="shared" ref="J16" si="1">I16*B16</f>
        <v>9</v>
      </c>
    </row>
    <row r="17" ht="18" customHeight="1" spans="1:10" s="337" customFormat="1" x14ac:dyDescent="0.25">
      <c r="A17" s="145" t="s">
        <v>1009</v>
      </c>
      <c r="B17" s="57" t="s">
        <v>520</v>
      </c>
      <c r="C17" s="369">
        <f>C12+C13+C14+C15+C16</f>
        <v>2786</v>
      </c>
      <c r="D17" s="369">
        <f t="shared" ref="D17:J17" si="2">D12+D13+D14+D15+D16</f>
        <v>0</v>
      </c>
      <c r="E17" s="369">
        <f t="shared" si="2"/>
        <v>0</v>
      </c>
      <c r="F17" s="369">
        <f t="shared" si="2"/>
        <v>0</v>
      </c>
      <c r="G17" s="369">
        <f t="shared" si="2"/>
        <v>0</v>
      </c>
      <c r="H17" s="369">
        <f t="shared" si="2"/>
        <v>0</v>
      </c>
      <c r="I17" s="369">
        <f t="shared" si="2"/>
        <v>2786</v>
      </c>
      <c r="J17" s="369">
        <f t="shared" si="2"/>
        <v>980.9499999999999</v>
      </c>
    </row>
    <row r="18" ht="9" customHeight="1" spans="1:10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</row>
    <row r="19" ht="18" customHeight="1" spans="1:10" x14ac:dyDescent="0.25">
      <c r="A19" s="357"/>
      <c r="B19" s="157" t="s">
        <v>840</v>
      </c>
      <c r="C19" s="183"/>
      <c r="D19" s="183"/>
      <c r="E19" s="183"/>
      <c r="F19" s="183"/>
      <c r="G19" s="183"/>
      <c r="H19" s="183"/>
      <c r="I19" s="183"/>
      <c r="J19" s="358"/>
    </row>
    <row r="20" ht="17.5" customHeight="1" spans="1:10" x14ac:dyDescent="0.25">
      <c r="A20" s="145" t="s">
        <v>1010</v>
      </c>
      <c r="B20" s="396">
        <v>0</v>
      </c>
      <c r="C20" s="393"/>
      <c r="D20" s="369">
        <v>0</v>
      </c>
      <c r="E20" s="369">
        <v>0</v>
      </c>
      <c r="F20" s="369">
        <v>0</v>
      </c>
      <c r="G20" s="369">
        <v>0</v>
      </c>
      <c r="H20" s="369">
        <v>0</v>
      </c>
      <c r="I20" s="369">
        <v>0</v>
      </c>
      <c r="J20" s="354"/>
    </row>
    <row r="21" ht="17.5" customHeight="1" spans="1:10" x14ac:dyDescent="0.25">
      <c r="A21" s="145" t="s">
        <v>1011</v>
      </c>
      <c r="B21" s="397">
        <v>0.2</v>
      </c>
      <c r="C21" s="394"/>
      <c r="D21" s="369">
        <v>0</v>
      </c>
      <c r="E21" s="369">
        <v>0</v>
      </c>
      <c r="F21" s="369">
        <v>0</v>
      </c>
      <c r="G21" s="369">
        <v>0</v>
      </c>
      <c r="H21" s="369">
        <v>0</v>
      </c>
      <c r="I21" s="369">
        <v>0</v>
      </c>
      <c r="J21" s="369">
        <v>0</v>
      </c>
    </row>
    <row r="22" ht="17.5" customHeight="1" spans="1:10" x14ac:dyDescent="0.25">
      <c r="A22" s="145" t="s">
        <v>1012</v>
      </c>
      <c r="B22" s="397">
        <v>0.35</v>
      </c>
      <c r="C22" s="369">
        <v>0</v>
      </c>
      <c r="D22" s="369">
        <v>0</v>
      </c>
      <c r="E22" s="369">
        <v>0</v>
      </c>
      <c r="F22" s="369">
        <v>0</v>
      </c>
      <c r="G22" s="369">
        <v>0</v>
      </c>
      <c r="H22" s="369">
        <v>0</v>
      </c>
      <c r="I22" s="369">
        <v>0</v>
      </c>
      <c r="J22" s="369">
        <v>0</v>
      </c>
    </row>
    <row r="23" ht="17.5" customHeight="1" spans="1:10" x14ac:dyDescent="0.25">
      <c r="A23" s="145" t="s">
        <v>1013</v>
      </c>
      <c r="B23" s="397">
        <v>0.5</v>
      </c>
      <c r="C23" s="394"/>
      <c r="D23" s="369">
        <v>0</v>
      </c>
      <c r="E23" s="369">
        <v>0</v>
      </c>
      <c r="F23" s="369">
        <v>0</v>
      </c>
      <c r="G23" s="369">
        <v>0</v>
      </c>
      <c r="H23" s="369">
        <v>0</v>
      </c>
      <c r="I23" s="369">
        <v>0</v>
      </c>
      <c r="J23" s="369">
        <v>0</v>
      </c>
    </row>
    <row r="24" ht="17.5" customHeight="1" spans="1:10" x14ac:dyDescent="0.25">
      <c r="A24" s="145" t="s">
        <v>1014</v>
      </c>
      <c r="B24" s="397">
        <v>1</v>
      </c>
      <c r="C24" s="369">
        <v>0</v>
      </c>
      <c r="D24" s="369">
        <v>0</v>
      </c>
      <c r="E24" s="369">
        <v>0</v>
      </c>
      <c r="F24" s="369">
        <v>0</v>
      </c>
      <c r="G24" s="369">
        <v>0</v>
      </c>
      <c r="H24" s="369">
        <v>0</v>
      </c>
      <c r="I24" s="369">
        <v>0</v>
      </c>
      <c r="J24" s="369">
        <v>0</v>
      </c>
    </row>
    <row r="25" ht="18" customHeight="1" spans="1:10" s="337" customFormat="1" x14ac:dyDescent="0.25">
      <c r="A25" s="145" t="s">
        <v>1015</v>
      </c>
      <c r="B25" s="57" t="s">
        <v>520</v>
      </c>
      <c r="C25" s="369">
        <v>0</v>
      </c>
      <c r="D25" s="369">
        <v>0</v>
      </c>
      <c r="E25" s="369">
        <v>0</v>
      </c>
      <c r="F25" s="369">
        <v>0</v>
      </c>
      <c r="G25" s="369">
        <v>0</v>
      </c>
      <c r="H25" s="369">
        <v>0</v>
      </c>
      <c r="I25" s="369">
        <v>0</v>
      </c>
      <c r="J25" s="369">
        <v>0</v>
      </c>
    </row>
    <row r="26" ht="9" customHeight="1" spans="1:10" x14ac:dyDescent="0.25">
      <c r="A26" s="356"/>
      <c r="B26" s="356"/>
      <c r="C26" s="356"/>
      <c r="D26" s="356"/>
      <c r="E26" s="356"/>
      <c r="F26" s="356"/>
      <c r="G26" s="356"/>
      <c r="H26" s="356"/>
      <c r="I26" s="356"/>
      <c r="J26" s="356"/>
    </row>
    <row r="27" ht="18" customHeight="1" spans="1:10" x14ac:dyDescent="0.25">
      <c r="A27" s="357"/>
      <c r="B27" s="157" t="s">
        <v>847</v>
      </c>
      <c r="C27" s="183"/>
      <c r="D27" s="183"/>
      <c r="E27" s="183"/>
      <c r="F27" s="183"/>
      <c r="G27" s="183"/>
      <c r="H27" s="183"/>
      <c r="I27" s="183"/>
      <c r="J27" s="358"/>
    </row>
    <row r="28" ht="17.5" customHeight="1" spans="1:10" x14ac:dyDescent="0.25">
      <c r="A28" s="145" t="s">
        <v>1016</v>
      </c>
      <c r="B28" s="396">
        <v>0</v>
      </c>
      <c r="C28" s="393"/>
      <c r="D28" s="369">
        <v>0</v>
      </c>
      <c r="E28" s="369">
        <v>0</v>
      </c>
      <c r="F28" s="369">
        <v>0</v>
      </c>
      <c r="G28" s="369">
        <v>0</v>
      </c>
      <c r="H28" s="369">
        <v>0</v>
      </c>
      <c r="I28" s="369">
        <v>0</v>
      </c>
      <c r="J28" s="354"/>
    </row>
    <row r="29" ht="17.5" customHeight="1" spans="1:10" x14ac:dyDescent="0.25">
      <c r="A29" s="145" t="s">
        <v>1017</v>
      </c>
      <c r="B29" s="397">
        <v>0.2</v>
      </c>
      <c r="C29" s="394"/>
      <c r="D29" s="369">
        <v>0</v>
      </c>
      <c r="E29" s="369">
        <v>0</v>
      </c>
      <c r="F29" s="369">
        <v>0</v>
      </c>
      <c r="G29" s="369">
        <v>0</v>
      </c>
      <c r="H29" s="369">
        <v>0</v>
      </c>
      <c r="I29" s="369">
        <v>0</v>
      </c>
      <c r="J29" s="369">
        <v>0</v>
      </c>
    </row>
    <row r="30" ht="17.5" customHeight="1" spans="1:10" x14ac:dyDescent="0.25">
      <c r="A30" s="145" t="s">
        <v>1018</v>
      </c>
      <c r="B30" s="397">
        <v>0.35</v>
      </c>
      <c r="C30" s="369">
        <v>0</v>
      </c>
      <c r="D30" s="369">
        <v>0</v>
      </c>
      <c r="E30" s="369">
        <v>0</v>
      </c>
      <c r="F30" s="369">
        <v>0</v>
      </c>
      <c r="G30" s="369">
        <v>0</v>
      </c>
      <c r="H30" s="369">
        <v>0</v>
      </c>
      <c r="I30" s="369">
        <v>0</v>
      </c>
      <c r="J30" s="369">
        <v>0</v>
      </c>
    </row>
    <row r="31" ht="17.5" customHeight="1" spans="1:10" x14ac:dyDescent="0.25">
      <c r="A31" s="145" t="s">
        <v>1019</v>
      </c>
      <c r="B31" s="397">
        <v>0.5</v>
      </c>
      <c r="C31" s="394"/>
      <c r="D31" s="369">
        <v>0</v>
      </c>
      <c r="E31" s="369">
        <v>0</v>
      </c>
      <c r="F31" s="369">
        <v>0</v>
      </c>
      <c r="G31" s="369">
        <v>0</v>
      </c>
      <c r="H31" s="369">
        <v>0</v>
      </c>
      <c r="I31" s="369">
        <v>0</v>
      </c>
      <c r="J31" s="369">
        <v>0</v>
      </c>
    </row>
    <row r="32" ht="17.5" customHeight="1" spans="1:10" x14ac:dyDescent="0.25">
      <c r="A32" s="145" t="s">
        <v>1020</v>
      </c>
      <c r="B32" s="397">
        <v>1</v>
      </c>
      <c r="C32" s="369">
        <v>0</v>
      </c>
      <c r="D32" s="369">
        <v>0</v>
      </c>
      <c r="E32" s="369">
        <v>0</v>
      </c>
      <c r="F32" s="369">
        <v>0</v>
      </c>
      <c r="G32" s="369">
        <v>0</v>
      </c>
      <c r="H32" s="369">
        <v>0</v>
      </c>
      <c r="I32" s="369">
        <v>0</v>
      </c>
      <c r="J32" s="369">
        <v>0</v>
      </c>
    </row>
    <row r="33" ht="18" customHeight="1" spans="1:10" s="337" customFormat="1" x14ac:dyDescent="0.25">
      <c r="A33" s="145" t="s">
        <v>1021</v>
      </c>
      <c r="B33" s="57" t="s">
        <v>520</v>
      </c>
      <c r="C33" s="369">
        <v>0</v>
      </c>
      <c r="D33" s="369">
        <v>0</v>
      </c>
      <c r="E33" s="369">
        <v>0</v>
      </c>
      <c r="F33" s="369">
        <v>0</v>
      </c>
      <c r="G33" s="369">
        <v>0</v>
      </c>
      <c r="H33" s="369">
        <v>0</v>
      </c>
      <c r="I33" s="369">
        <v>0</v>
      </c>
      <c r="J33" s="369">
        <v>0</v>
      </c>
    </row>
    <row r="34" ht="9" customHeight="1" spans="1:10" x14ac:dyDescent="0.25">
      <c r="A34" s="362"/>
      <c r="B34" s="362"/>
      <c r="C34" s="362"/>
      <c r="D34" s="362"/>
      <c r="E34" s="362"/>
      <c r="F34" s="362"/>
      <c r="G34" s="362"/>
      <c r="H34" s="362"/>
      <c r="I34" s="362"/>
      <c r="J34" s="362"/>
    </row>
    <row r="35" ht="18" customHeight="1" spans="1:10" s="337" customFormat="1" x14ac:dyDescent="0.25">
      <c r="A35" s="252" t="s">
        <v>661</v>
      </c>
      <c r="B35" s="363" t="s">
        <v>1022</v>
      </c>
      <c r="C35" s="369">
        <f>C17+C25+C33</f>
        <v>2786</v>
      </c>
      <c r="D35" s="369">
        <f t="shared" ref="D35:J35" si="3">D17+D25+D33</f>
        <v>0</v>
      </c>
      <c r="E35" s="369">
        <f t="shared" si="3"/>
        <v>0</v>
      </c>
      <c r="F35" s="369">
        <f t="shared" si="3"/>
        <v>0</v>
      </c>
      <c r="G35" s="369">
        <f t="shared" si="3"/>
        <v>0</v>
      </c>
      <c r="H35" s="369">
        <f t="shared" si="3"/>
        <v>0</v>
      </c>
      <c r="I35" s="369">
        <f t="shared" si="3"/>
        <v>2786</v>
      </c>
      <c r="J35" s="369">
        <f t="shared" si="3"/>
        <v>980.9499999999999</v>
      </c>
    </row>
    <row r="36" ht="9" customHeight="1" spans="2:10" x14ac:dyDescent="0.25">
      <c r="B36" s="317"/>
      <c r="C36" s="317"/>
      <c r="D36" s="317"/>
      <c r="E36" s="317"/>
      <c r="F36" s="317"/>
      <c r="G36" s="317"/>
      <c r="H36" s="317"/>
      <c r="I36" s="317"/>
      <c r="J36" s="317"/>
    </row>
    <row r="37" ht="9" customHeight="1" spans="10:10" x14ac:dyDescent="0.25">
      <c r="J37" s="317"/>
    </row>
    <row r="38" ht="9" customHeight="1" spans="10:10" x14ac:dyDescent="0.25">
      <c r="J38" s="317"/>
    </row>
    <row r="39" ht="9" customHeight="1" spans="10:10" x14ac:dyDescent="0.25">
      <c r="J39" s="317"/>
    </row>
    <row r="40" ht="9" customHeight="1" spans="10:10" x14ac:dyDescent="0.25">
      <c r="J40" s="317"/>
    </row>
    <row r="41" ht="9" customHeight="1" spans="10:10" x14ac:dyDescent="0.25">
      <c r="J41" s="317"/>
    </row>
  </sheetData>
  <sheetProtection sheet="1" algorithmName="SHA-512" hashValue="R4pazlZXrmQQP4M9O5J0i3zSx5buBLhoK/25QsaOtg9JbUEtV5MJZWlGm7RVa/LO/sZ323TbPOTTBFg1d8J6dw==" saltValue="ccwU7GtC0YfCrD8vA3Rkkw==" spinCount="100000" objects="1" scenarios="1"/>
  <mergeCells count="11">
    <mergeCell ref="B1:I1"/>
    <mergeCell ref="D8:F8"/>
    <mergeCell ref="G8:H8"/>
    <mergeCell ref="A8:A9"/>
    <mergeCell ref="B8:B9"/>
    <mergeCell ref="J8:J9"/>
    <mergeCell ref="B11:J11"/>
    <mergeCell ref="A18:J18"/>
    <mergeCell ref="A26:J26"/>
    <mergeCell ref="A34:J34"/>
    <mergeCell ref="B36:J36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7" fitToWidth="1" fitToHeight="1" firstPageNumber="1" useFirstPageNumber="1" copies="1"/>
  <headerFooter>
    <oddFooter>&amp;R&amp;P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6"/>
  <sheetViews>
    <sheetView workbookViewId="0" zoomScale="60" zoomScaleNormal="60" view="pageBreakPreview">
      <selection activeCell="C34" sqref="C34"/>
    </sheetView>
  </sheetViews>
  <sheetFormatPr defaultRowHeight="9" outlineLevelRow="0" outlineLevelCol="0" x14ac:dyDescent="0" defaultColWidth="10" customHeight="1"/>
  <cols>
    <col min="1" max="1" width="11.08984375" style="317" customWidth="1"/>
    <col min="2" max="2" width="57.36328125" style="317" customWidth="1"/>
    <col min="3" max="6" width="21.26953125" style="317" customWidth="1"/>
    <col min="7" max="8" width="25.90625" style="317" customWidth="1"/>
    <col min="9" max="9" width="21.26953125" style="317" customWidth="1"/>
    <col min="10" max="10" width="21.26953125" style="341" customWidth="1"/>
    <col min="11" max="16384" width="10" style="317" customWidth="1"/>
  </cols>
  <sheetData>
    <row r="1" ht="29.25" customHeight="1" spans="2:12" x14ac:dyDescent="0.25">
      <c r="B1" s="319" t="s">
        <v>1023</v>
      </c>
      <c r="C1" s="319"/>
      <c r="D1" s="319"/>
      <c r="E1" s="319"/>
      <c r="F1" s="319"/>
      <c r="G1" s="319"/>
      <c r="H1" s="319"/>
      <c r="I1" s="319"/>
      <c r="J1" s="320" t="s">
        <v>70</v>
      </c>
      <c r="K1" s="323"/>
      <c r="L1" s="323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2:12" x14ac:dyDescent="0.25">
      <c r="B7" s="317"/>
      <c r="C7" s="317"/>
      <c r="D7" s="317"/>
      <c r="E7" s="317"/>
      <c r="F7" s="317"/>
      <c r="G7" s="317"/>
      <c r="H7" s="317"/>
      <c r="I7" s="317"/>
      <c r="J7" s="317"/>
      <c r="K7" s="317"/>
      <c r="L7" s="317"/>
    </row>
    <row r="8" ht="21" customHeight="1" spans="1:1023" s="321" customFormat="1" x14ac:dyDescent="0.25">
      <c r="A8" s="135" t="s">
        <v>113</v>
      </c>
      <c r="B8" s="346" t="s">
        <v>820</v>
      </c>
      <c r="C8" s="347" t="s">
        <v>821</v>
      </c>
      <c r="D8" s="58" t="s">
        <v>822</v>
      </c>
      <c r="E8" s="58"/>
      <c r="F8" s="58"/>
      <c r="G8" s="58" t="s">
        <v>823</v>
      </c>
      <c r="H8" s="58"/>
      <c r="I8" s="135" t="s">
        <v>824</v>
      </c>
      <c r="J8" s="346" t="s">
        <v>825</v>
      </c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2"/>
      <c r="AM8" s="342"/>
      <c r="AN8" s="342"/>
      <c r="AO8" s="342"/>
      <c r="AP8" s="342"/>
      <c r="AQ8" s="342"/>
      <c r="AR8" s="342"/>
      <c r="AS8" s="342"/>
      <c r="AT8" s="342"/>
      <c r="AU8" s="342"/>
      <c r="AV8" s="342"/>
      <c r="AW8" s="342"/>
      <c r="AX8" s="342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2"/>
      <c r="BW8" s="342"/>
      <c r="BX8" s="342"/>
      <c r="BY8" s="342"/>
      <c r="BZ8" s="342"/>
      <c r="CA8" s="342"/>
      <c r="CB8" s="342"/>
      <c r="CC8" s="342"/>
      <c r="CD8" s="342"/>
      <c r="CE8" s="342"/>
      <c r="CF8" s="342"/>
      <c r="CG8" s="342"/>
      <c r="CH8" s="342"/>
      <c r="CI8" s="342"/>
      <c r="CJ8" s="342"/>
      <c r="CK8" s="342"/>
      <c r="CL8" s="342"/>
      <c r="CM8" s="342"/>
      <c r="CN8" s="342"/>
      <c r="CO8" s="342"/>
      <c r="CP8" s="342"/>
      <c r="CQ8" s="342"/>
      <c r="CR8" s="342"/>
      <c r="CS8" s="342"/>
      <c r="CT8" s="342"/>
      <c r="CU8" s="342"/>
      <c r="CV8" s="342"/>
      <c r="CW8" s="342"/>
      <c r="CX8" s="342"/>
      <c r="CY8" s="342"/>
      <c r="CZ8" s="342"/>
      <c r="DA8" s="342"/>
      <c r="DB8" s="342"/>
      <c r="DC8" s="342"/>
      <c r="DD8" s="342"/>
      <c r="DE8" s="342"/>
      <c r="DF8" s="342"/>
      <c r="DG8" s="342"/>
      <c r="DH8" s="342"/>
      <c r="DI8" s="342"/>
      <c r="DJ8" s="342"/>
      <c r="DK8" s="342"/>
      <c r="DL8" s="342"/>
      <c r="DM8" s="342"/>
      <c r="DN8" s="342"/>
      <c r="DO8" s="342"/>
      <c r="DP8" s="342"/>
      <c r="DQ8" s="342"/>
      <c r="DR8" s="342"/>
      <c r="DS8" s="342"/>
      <c r="DT8" s="342"/>
      <c r="DU8" s="342"/>
      <c r="DV8" s="342"/>
      <c r="DW8" s="342"/>
      <c r="DX8" s="342"/>
      <c r="DY8" s="342"/>
      <c r="DZ8" s="342"/>
      <c r="EA8" s="342"/>
      <c r="EB8" s="342"/>
      <c r="EC8" s="342"/>
      <c r="ED8" s="342"/>
      <c r="EE8" s="342"/>
      <c r="EF8" s="342"/>
      <c r="EG8" s="342"/>
      <c r="EH8" s="342"/>
      <c r="EI8" s="342"/>
      <c r="EJ8" s="342"/>
      <c r="EK8" s="342"/>
      <c r="EL8" s="342"/>
      <c r="EM8" s="342"/>
      <c r="EN8" s="342"/>
      <c r="EO8" s="342"/>
      <c r="EP8" s="342"/>
      <c r="EQ8" s="342"/>
      <c r="ER8" s="342"/>
      <c r="ES8" s="342"/>
      <c r="ET8" s="342"/>
      <c r="EU8" s="342"/>
      <c r="EV8" s="342"/>
      <c r="EW8" s="342"/>
      <c r="EX8" s="342"/>
      <c r="EY8" s="342"/>
      <c r="EZ8" s="342"/>
      <c r="FA8" s="342"/>
      <c r="FB8" s="342"/>
      <c r="FC8" s="342"/>
      <c r="FD8" s="342"/>
      <c r="FE8" s="342"/>
      <c r="FF8" s="342"/>
      <c r="FG8" s="342"/>
      <c r="FH8" s="342"/>
      <c r="FI8" s="342"/>
      <c r="FJ8" s="342"/>
      <c r="FK8" s="342"/>
      <c r="FL8" s="342"/>
      <c r="FM8" s="342"/>
      <c r="FN8" s="342"/>
      <c r="FO8" s="342"/>
      <c r="FP8" s="342"/>
      <c r="FQ8" s="342"/>
      <c r="FR8" s="342"/>
      <c r="FS8" s="342"/>
      <c r="FT8" s="342"/>
      <c r="FU8" s="342"/>
      <c r="FV8" s="342"/>
      <c r="FW8" s="342"/>
      <c r="FX8" s="342"/>
      <c r="FY8" s="342"/>
      <c r="FZ8" s="342"/>
      <c r="GA8" s="342"/>
      <c r="GB8" s="342"/>
      <c r="GC8" s="342"/>
      <c r="GD8" s="342"/>
      <c r="GE8" s="342"/>
      <c r="GF8" s="342"/>
      <c r="GG8" s="342"/>
      <c r="GH8" s="342"/>
      <c r="GI8" s="342"/>
      <c r="GJ8" s="342"/>
      <c r="GK8" s="342"/>
      <c r="GL8" s="342"/>
      <c r="GM8" s="342"/>
      <c r="GN8" s="342"/>
      <c r="GO8" s="342"/>
      <c r="GP8" s="342"/>
      <c r="GQ8" s="342"/>
      <c r="GR8" s="342"/>
      <c r="GS8" s="342"/>
      <c r="GT8" s="342"/>
      <c r="GU8" s="342"/>
      <c r="GV8" s="342"/>
      <c r="GW8" s="342"/>
      <c r="GX8" s="342"/>
      <c r="GY8" s="342"/>
      <c r="GZ8" s="342"/>
      <c r="HA8" s="342"/>
      <c r="HB8" s="342"/>
      <c r="HC8" s="342"/>
      <c r="HD8" s="342"/>
      <c r="HE8" s="342"/>
      <c r="HF8" s="342"/>
      <c r="HG8" s="342"/>
      <c r="HH8" s="342"/>
      <c r="HI8" s="342"/>
      <c r="HJ8" s="342"/>
      <c r="HK8" s="342"/>
      <c r="HL8" s="342"/>
      <c r="HM8" s="342"/>
      <c r="HN8" s="342"/>
      <c r="HO8" s="342"/>
      <c r="HP8" s="342"/>
      <c r="HQ8" s="342"/>
      <c r="HR8" s="342"/>
      <c r="HS8" s="342"/>
      <c r="HT8" s="342"/>
      <c r="HU8" s="342"/>
      <c r="HV8" s="342"/>
      <c r="HW8" s="342"/>
      <c r="HX8" s="342"/>
      <c r="HY8" s="342"/>
      <c r="HZ8" s="342"/>
      <c r="IA8" s="342"/>
      <c r="IB8" s="342"/>
      <c r="IC8" s="342"/>
      <c r="ID8" s="342"/>
      <c r="IE8" s="342"/>
      <c r="IF8" s="342"/>
      <c r="IG8" s="342"/>
      <c r="IH8" s="342"/>
      <c r="II8" s="342"/>
      <c r="IJ8" s="342"/>
      <c r="IK8" s="342"/>
      <c r="IL8" s="342"/>
      <c r="IM8" s="342"/>
      <c r="IN8" s="342"/>
      <c r="IO8" s="342"/>
      <c r="IP8" s="342"/>
      <c r="IQ8" s="342"/>
      <c r="IR8" s="342"/>
      <c r="IS8" s="342"/>
      <c r="IT8" s="342"/>
      <c r="IU8" s="342"/>
      <c r="IV8" s="342"/>
      <c r="IW8" s="342"/>
      <c r="IX8" s="342"/>
      <c r="IY8" s="342"/>
      <c r="IZ8" s="342"/>
      <c r="JA8" s="342"/>
      <c r="JB8" s="342"/>
      <c r="JC8" s="342"/>
      <c r="JD8" s="342"/>
      <c r="JE8" s="342"/>
      <c r="JF8" s="342"/>
      <c r="JG8" s="342"/>
      <c r="JH8" s="342"/>
      <c r="JI8" s="342"/>
      <c r="JJ8" s="342"/>
      <c r="JK8" s="342"/>
      <c r="JL8" s="342"/>
      <c r="JM8" s="342"/>
      <c r="JN8" s="342"/>
      <c r="JO8" s="342"/>
      <c r="JP8" s="342"/>
      <c r="JQ8" s="342"/>
      <c r="JR8" s="342"/>
      <c r="JS8" s="342"/>
      <c r="JT8" s="342"/>
      <c r="JU8" s="342"/>
      <c r="JV8" s="342"/>
      <c r="JW8" s="342"/>
      <c r="JX8" s="342"/>
      <c r="JY8" s="342"/>
      <c r="JZ8" s="342"/>
      <c r="KA8" s="342"/>
      <c r="KB8" s="342"/>
      <c r="KC8" s="342"/>
      <c r="KD8" s="342"/>
      <c r="KE8" s="342"/>
      <c r="KF8" s="342"/>
      <c r="KG8" s="342"/>
      <c r="KH8" s="342"/>
      <c r="KI8" s="342"/>
      <c r="KJ8" s="342"/>
      <c r="KK8" s="342"/>
      <c r="KL8" s="342"/>
      <c r="KM8" s="342"/>
      <c r="KN8" s="342"/>
      <c r="KO8" s="342"/>
      <c r="KP8" s="342"/>
      <c r="KQ8" s="342"/>
      <c r="KR8" s="342"/>
      <c r="KS8" s="342"/>
      <c r="KT8" s="342"/>
      <c r="KU8" s="342"/>
      <c r="KV8" s="342"/>
      <c r="KW8" s="342"/>
      <c r="KX8" s="342"/>
      <c r="KY8" s="342"/>
      <c r="KZ8" s="342"/>
      <c r="LA8" s="342"/>
      <c r="LB8" s="342"/>
      <c r="LC8" s="342"/>
      <c r="LD8" s="342"/>
      <c r="LE8" s="342"/>
      <c r="LF8" s="342"/>
      <c r="LG8" s="342"/>
      <c r="LH8" s="342"/>
      <c r="LI8" s="342"/>
      <c r="LJ8" s="342"/>
      <c r="LK8" s="342"/>
      <c r="LL8" s="342"/>
      <c r="LM8" s="342"/>
      <c r="LN8" s="342"/>
      <c r="LO8" s="342"/>
      <c r="LP8" s="342"/>
      <c r="LQ8" s="342"/>
      <c r="LR8" s="342"/>
      <c r="LS8" s="342"/>
      <c r="LT8" s="342"/>
      <c r="LU8" s="342"/>
      <c r="LV8" s="342"/>
      <c r="LW8" s="342"/>
      <c r="LX8" s="342"/>
      <c r="LY8" s="342"/>
      <c r="LZ8" s="342"/>
      <c r="MA8" s="342"/>
      <c r="MB8" s="342"/>
      <c r="MC8" s="342"/>
      <c r="MD8" s="342"/>
      <c r="ME8" s="342"/>
      <c r="MF8" s="342"/>
      <c r="MG8" s="342"/>
      <c r="MH8" s="342"/>
      <c r="MI8" s="342"/>
      <c r="MJ8" s="342"/>
      <c r="MK8" s="342"/>
      <c r="ML8" s="342"/>
      <c r="MM8" s="342"/>
      <c r="MN8" s="342"/>
      <c r="MO8" s="342"/>
      <c r="MP8" s="342"/>
      <c r="MQ8" s="342"/>
      <c r="MR8" s="342"/>
      <c r="MS8" s="342"/>
      <c r="MT8" s="342"/>
      <c r="MU8" s="342"/>
      <c r="MV8" s="342"/>
      <c r="MW8" s="342"/>
      <c r="MX8" s="342"/>
      <c r="MY8" s="342"/>
      <c r="MZ8" s="342"/>
      <c r="NA8" s="342"/>
      <c r="NB8" s="342"/>
      <c r="NC8" s="342"/>
      <c r="ND8" s="342"/>
      <c r="NE8" s="342"/>
      <c r="NF8" s="342"/>
      <c r="NG8" s="342"/>
      <c r="NH8" s="342"/>
      <c r="NI8" s="342"/>
      <c r="NJ8" s="342"/>
      <c r="NK8" s="342"/>
      <c r="NL8" s="342"/>
      <c r="NM8" s="342"/>
      <c r="NN8" s="342"/>
      <c r="NO8" s="342"/>
      <c r="NP8" s="342"/>
      <c r="NQ8" s="342"/>
      <c r="NR8" s="342"/>
      <c r="NS8" s="342"/>
      <c r="NT8" s="342"/>
      <c r="NU8" s="342"/>
      <c r="NV8" s="342"/>
      <c r="NW8" s="342"/>
      <c r="NX8" s="342"/>
      <c r="NY8" s="342"/>
      <c r="NZ8" s="342"/>
      <c r="OA8" s="342"/>
      <c r="OB8" s="342"/>
      <c r="OC8" s="342"/>
      <c r="OD8" s="342"/>
      <c r="OE8" s="342"/>
      <c r="OF8" s="342"/>
      <c r="OG8" s="342"/>
      <c r="OH8" s="342"/>
      <c r="OI8" s="342"/>
      <c r="OJ8" s="342"/>
      <c r="OK8" s="342"/>
      <c r="OL8" s="342"/>
      <c r="OM8" s="342"/>
      <c r="ON8" s="342"/>
      <c r="OO8" s="342"/>
      <c r="OP8" s="342"/>
      <c r="OQ8" s="342"/>
      <c r="OR8" s="342"/>
      <c r="OS8" s="342"/>
      <c r="OT8" s="342"/>
      <c r="OU8" s="342"/>
      <c r="OV8" s="342"/>
      <c r="OW8" s="342"/>
      <c r="OX8" s="342"/>
      <c r="OY8" s="342"/>
      <c r="OZ8" s="342"/>
      <c r="PA8" s="342"/>
      <c r="PB8" s="342"/>
      <c r="PC8" s="342"/>
      <c r="PD8" s="342"/>
      <c r="PE8" s="342"/>
      <c r="PF8" s="342"/>
      <c r="PG8" s="342"/>
      <c r="PH8" s="342"/>
      <c r="PI8" s="342"/>
      <c r="PJ8" s="342"/>
      <c r="PK8" s="342"/>
      <c r="PL8" s="342"/>
      <c r="PM8" s="342"/>
      <c r="PN8" s="342"/>
      <c r="PO8" s="342"/>
      <c r="PP8" s="342"/>
      <c r="PQ8" s="342"/>
      <c r="PR8" s="342"/>
      <c r="PS8" s="342"/>
      <c r="PT8" s="342"/>
      <c r="PU8" s="342"/>
      <c r="PV8" s="342"/>
      <c r="PW8" s="342"/>
      <c r="PX8" s="342"/>
      <c r="PY8" s="342"/>
      <c r="PZ8" s="342"/>
      <c r="QA8" s="342"/>
      <c r="QB8" s="342"/>
      <c r="QC8" s="342"/>
      <c r="QD8" s="342"/>
      <c r="QE8" s="342"/>
      <c r="QF8" s="342"/>
      <c r="QG8" s="342"/>
      <c r="QH8" s="342"/>
      <c r="QI8" s="342"/>
      <c r="QJ8" s="342"/>
      <c r="QK8" s="342"/>
      <c r="QL8" s="342"/>
      <c r="QM8" s="342"/>
      <c r="QN8" s="342"/>
      <c r="QO8" s="342"/>
      <c r="QP8" s="342"/>
      <c r="QQ8" s="342"/>
      <c r="QR8" s="342"/>
      <c r="QS8" s="342"/>
      <c r="QT8" s="342"/>
      <c r="QU8" s="342"/>
      <c r="QV8" s="342"/>
      <c r="QW8" s="342"/>
      <c r="QX8" s="342"/>
      <c r="QY8" s="342"/>
      <c r="QZ8" s="342"/>
      <c r="RA8" s="342"/>
      <c r="RB8" s="342"/>
      <c r="RC8" s="342"/>
      <c r="RD8" s="342"/>
      <c r="RE8" s="342"/>
      <c r="RF8" s="342"/>
      <c r="RG8" s="342"/>
      <c r="RH8" s="342"/>
      <c r="RI8" s="342"/>
      <c r="RJ8" s="342"/>
      <c r="RK8" s="342"/>
      <c r="RL8" s="342"/>
      <c r="RM8" s="342"/>
      <c r="RN8" s="342"/>
      <c r="RO8" s="342"/>
      <c r="RP8" s="342"/>
      <c r="RQ8" s="342"/>
      <c r="RR8" s="342"/>
      <c r="RS8" s="342"/>
      <c r="RT8" s="342"/>
      <c r="RU8" s="342"/>
      <c r="RV8" s="342"/>
      <c r="RW8" s="342"/>
      <c r="RX8" s="342"/>
      <c r="RY8" s="342"/>
      <c r="RZ8" s="342"/>
      <c r="SA8" s="342"/>
      <c r="SB8" s="342"/>
      <c r="SC8" s="342"/>
      <c r="SD8" s="342"/>
      <c r="SE8" s="342"/>
      <c r="SF8" s="342"/>
      <c r="SG8" s="342"/>
      <c r="SH8" s="342"/>
      <c r="SI8" s="342"/>
      <c r="SJ8" s="342"/>
      <c r="SK8" s="342"/>
      <c r="SL8" s="342"/>
      <c r="SM8" s="342"/>
      <c r="SN8" s="342"/>
      <c r="SO8" s="342"/>
      <c r="SP8" s="342"/>
      <c r="SQ8" s="342"/>
      <c r="SR8" s="342"/>
      <c r="SS8" s="342"/>
      <c r="ST8" s="342"/>
      <c r="SU8" s="342"/>
      <c r="SV8" s="342"/>
      <c r="SW8" s="342"/>
      <c r="SX8" s="342"/>
      <c r="SY8" s="342"/>
      <c r="SZ8" s="342"/>
      <c r="TA8" s="342"/>
      <c r="TB8" s="342"/>
      <c r="TC8" s="342"/>
      <c r="TD8" s="342"/>
      <c r="TE8" s="342"/>
      <c r="TF8" s="342"/>
      <c r="TG8" s="342"/>
      <c r="TH8" s="342"/>
      <c r="TI8" s="342"/>
      <c r="TJ8" s="342"/>
      <c r="TK8" s="342"/>
      <c r="TL8" s="342"/>
      <c r="TM8" s="342"/>
      <c r="TN8" s="342"/>
      <c r="TO8" s="342"/>
      <c r="TP8" s="342"/>
      <c r="TQ8" s="342"/>
      <c r="TR8" s="342"/>
      <c r="TS8" s="342"/>
      <c r="TT8" s="342"/>
      <c r="TU8" s="342"/>
      <c r="TV8" s="342"/>
      <c r="TW8" s="342"/>
      <c r="TX8" s="342"/>
      <c r="TY8" s="342"/>
      <c r="TZ8" s="342"/>
      <c r="UA8" s="342"/>
      <c r="UB8" s="342"/>
      <c r="UC8" s="342"/>
      <c r="UD8" s="342"/>
      <c r="UE8" s="342"/>
      <c r="UF8" s="342"/>
      <c r="UG8" s="342"/>
      <c r="UH8" s="342"/>
      <c r="UI8" s="342"/>
      <c r="UJ8" s="342"/>
      <c r="UK8" s="342"/>
      <c r="UL8" s="342"/>
      <c r="UM8" s="342"/>
      <c r="UN8" s="342"/>
      <c r="UO8" s="342"/>
      <c r="UP8" s="342"/>
      <c r="UQ8" s="342"/>
      <c r="UR8" s="342"/>
      <c r="US8" s="342"/>
      <c r="UT8" s="342"/>
      <c r="UU8" s="342"/>
      <c r="UV8" s="342"/>
      <c r="UW8" s="342"/>
      <c r="UX8" s="342"/>
      <c r="UY8" s="342"/>
      <c r="UZ8" s="342"/>
      <c r="VA8" s="342"/>
      <c r="VB8" s="342"/>
      <c r="VC8" s="342"/>
      <c r="VD8" s="342"/>
      <c r="VE8" s="342"/>
      <c r="VF8" s="342"/>
      <c r="VG8" s="342"/>
      <c r="VH8" s="342"/>
      <c r="VI8" s="342"/>
      <c r="VJ8" s="342"/>
      <c r="VK8" s="342"/>
      <c r="VL8" s="342"/>
      <c r="VM8" s="342"/>
      <c r="VN8" s="342"/>
      <c r="VO8" s="342"/>
      <c r="VP8" s="342"/>
      <c r="VQ8" s="342"/>
      <c r="VR8" s="342"/>
      <c r="VS8" s="342"/>
      <c r="VT8" s="342"/>
      <c r="VU8" s="342"/>
      <c r="VV8" s="342"/>
      <c r="VW8" s="342"/>
      <c r="VX8" s="342"/>
      <c r="VY8" s="342"/>
      <c r="VZ8" s="342"/>
      <c r="WA8" s="342"/>
      <c r="WB8" s="342"/>
      <c r="WC8" s="342"/>
      <c r="WD8" s="342"/>
      <c r="WE8" s="342"/>
      <c r="WF8" s="342"/>
      <c r="WG8" s="342"/>
      <c r="WH8" s="342"/>
      <c r="WI8" s="342"/>
      <c r="WJ8" s="342"/>
      <c r="WK8" s="342"/>
      <c r="WL8" s="342"/>
      <c r="WM8" s="342"/>
      <c r="WN8" s="342"/>
      <c r="WO8" s="342"/>
      <c r="WP8" s="342"/>
      <c r="WQ8" s="342"/>
      <c r="WR8" s="342"/>
      <c r="WS8" s="342"/>
      <c r="WT8" s="342"/>
      <c r="WU8" s="342"/>
      <c r="WV8" s="342"/>
      <c r="WW8" s="342"/>
      <c r="WX8" s="342"/>
      <c r="WY8" s="342"/>
      <c r="WZ8" s="342"/>
      <c r="XA8" s="342"/>
      <c r="XB8" s="342"/>
      <c r="XC8" s="342"/>
      <c r="XD8" s="342"/>
      <c r="XE8" s="342"/>
      <c r="XF8" s="342"/>
      <c r="XG8" s="342"/>
      <c r="XH8" s="342"/>
      <c r="XI8" s="342"/>
      <c r="XJ8" s="342"/>
      <c r="XK8" s="342"/>
      <c r="XL8" s="342"/>
      <c r="XM8" s="342"/>
      <c r="XN8" s="342"/>
      <c r="XO8" s="342"/>
      <c r="XP8" s="342"/>
      <c r="XQ8" s="342"/>
      <c r="XR8" s="342"/>
      <c r="XS8" s="342"/>
      <c r="XT8" s="342"/>
      <c r="XU8" s="342"/>
      <c r="XV8" s="342"/>
      <c r="XW8" s="342"/>
      <c r="XX8" s="342"/>
      <c r="XY8" s="342"/>
      <c r="XZ8" s="342"/>
      <c r="YA8" s="342"/>
      <c r="YB8" s="342"/>
      <c r="YC8" s="342"/>
      <c r="YD8" s="342"/>
      <c r="YE8" s="342"/>
      <c r="YF8" s="342"/>
      <c r="YG8" s="342"/>
      <c r="YH8" s="342"/>
      <c r="YI8" s="342"/>
      <c r="YJ8" s="342"/>
      <c r="YK8" s="342"/>
      <c r="YL8" s="342"/>
      <c r="YM8" s="342"/>
      <c r="YN8" s="342"/>
      <c r="YO8" s="342"/>
      <c r="YP8" s="342"/>
      <c r="YQ8" s="342"/>
      <c r="YR8" s="342"/>
      <c r="YS8" s="342"/>
      <c r="YT8" s="342"/>
      <c r="YU8" s="342"/>
      <c r="YV8" s="342"/>
      <c r="YW8" s="342"/>
      <c r="YX8" s="342"/>
      <c r="YY8" s="342"/>
      <c r="YZ8" s="342"/>
      <c r="ZA8" s="342"/>
      <c r="ZB8" s="342"/>
      <c r="ZC8" s="342"/>
      <c r="ZD8" s="342"/>
      <c r="ZE8" s="342"/>
      <c r="ZF8" s="342"/>
      <c r="ZG8" s="342"/>
      <c r="ZH8" s="342"/>
      <c r="ZI8" s="342"/>
      <c r="ZJ8" s="342"/>
      <c r="ZK8" s="342"/>
      <c r="ZL8" s="342"/>
      <c r="ZM8" s="342"/>
      <c r="ZN8" s="342"/>
      <c r="ZO8" s="342"/>
      <c r="ZP8" s="342"/>
      <c r="ZQ8" s="342"/>
      <c r="ZR8" s="342"/>
      <c r="ZS8" s="342"/>
      <c r="ZT8" s="342"/>
      <c r="ZU8" s="342"/>
      <c r="ZV8" s="342"/>
      <c r="ZW8" s="342"/>
      <c r="ZX8" s="342"/>
      <c r="ZY8" s="342"/>
      <c r="ZZ8" s="342"/>
      <c r="AAA8" s="342"/>
      <c r="AAB8" s="342"/>
      <c r="AAC8" s="342"/>
      <c r="AAD8" s="342"/>
      <c r="AAE8" s="342"/>
      <c r="AAF8" s="342"/>
      <c r="AAG8" s="342"/>
      <c r="AAH8" s="342"/>
      <c r="AAI8" s="342"/>
      <c r="AAJ8" s="342"/>
      <c r="AAK8" s="342"/>
      <c r="AAL8" s="342"/>
      <c r="AAM8" s="342"/>
      <c r="AAN8" s="342"/>
      <c r="AAO8" s="342"/>
      <c r="AAP8" s="342"/>
      <c r="AAQ8" s="342"/>
      <c r="AAR8" s="342"/>
      <c r="AAS8" s="342"/>
      <c r="AAT8" s="342"/>
      <c r="AAU8" s="342"/>
      <c r="AAV8" s="342"/>
      <c r="AAW8" s="342"/>
      <c r="AAX8" s="342"/>
      <c r="AAY8" s="342"/>
      <c r="AAZ8" s="342"/>
      <c r="ABA8" s="342"/>
      <c r="ABB8" s="342"/>
      <c r="ABC8" s="342"/>
      <c r="ABD8" s="342"/>
      <c r="ABE8" s="342"/>
      <c r="ABF8" s="342"/>
      <c r="ABG8" s="342"/>
      <c r="ABH8" s="342"/>
      <c r="ABI8" s="342"/>
      <c r="ABJ8" s="342"/>
      <c r="ABK8" s="342"/>
      <c r="ABL8" s="342"/>
      <c r="ABM8" s="342"/>
      <c r="ABN8" s="342"/>
      <c r="ABO8" s="342"/>
      <c r="ABP8" s="342"/>
      <c r="ABQ8" s="342"/>
      <c r="ABR8" s="342"/>
      <c r="ABS8" s="342"/>
      <c r="ABT8" s="342"/>
      <c r="ABU8" s="342"/>
      <c r="ABV8" s="342"/>
      <c r="ABW8" s="342"/>
      <c r="ABX8" s="342"/>
      <c r="ABY8" s="342"/>
      <c r="ABZ8" s="342"/>
      <c r="ACA8" s="342"/>
      <c r="ACB8" s="342"/>
      <c r="ACC8" s="342"/>
      <c r="ACD8" s="342"/>
      <c r="ACE8" s="342"/>
      <c r="ACF8" s="342"/>
      <c r="ACG8" s="342"/>
      <c r="ACH8" s="342"/>
      <c r="ACI8" s="342"/>
      <c r="ACJ8" s="342"/>
      <c r="ACK8" s="342"/>
      <c r="ACL8" s="342"/>
      <c r="ACM8" s="342"/>
      <c r="ACN8" s="342"/>
      <c r="ACO8" s="342"/>
      <c r="ACP8" s="342"/>
      <c r="ACQ8" s="342"/>
      <c r="ACR8" s="342"/>
      <c r="ACS8" s="342"/>
      <c r="ACT8" s="342"/>
      <c r="ACU8" s="342"/>
      <c r="ACV8" s="342"/>
      <c r="ACW8" s="342"/>
      <c r="ACX8" s="342"/>
      <c r="ACY8" s="342"/>
      <c r="ACZ8" s="342"/>
      <c r="ADA8" s="342"/>
      <c r="ADB8" s="342"/>
      <c r="ADC8" s="342"/>
      <c r="ADD8" s="342"/>
      <c r="ADE8" s="342"/>
      <c r="ADF8" s="342"/>
      <c r="ADG8" s="342"/>
      <c r="ADH8" s="342"/>
      <c r="ADI8" s="342"/>
      <c r="ADJ8" s="342"/>
      <c r="ADK8" s="342"/>
      <c r="ADL8" s="342"/>
      <c r="ADM8" s="342"/>
      <c r="ADN8" s="342"/>
      <c r="ADO8" s="342"/>
      <c r="ADP8" s="342"/>
      <c r="ADQ8" s="342"/>
      <c r="ADR8" s="342"/>
      <c r="ADS8" s="342"/>
      <c r="ADT8" s="342"/>
      <c r="ADU8" s="342"/>
      <c r="ADV8" s="342"/>
      <c r="ADW8" s="342"/>
      <c r="ADX8" s="342"/>
      <c r="ADY8" s="342"/>
      <c r="ADZ8" s="342"/>
      <c r="AEA8" s="342"/>
      <c r="AEB8" s="342"/>
      <c r="AEC8" s="342"/>
      <c r="AED8" s="342"/>
      <c r="AEE8" s="342"/>
      <c r="AEF8" s="342"/>
      <c r="AEG8" s="342"/>
      <c r="AEH8" s="342"/>
      <c r="AEI8" s="342"/>
      <c r="AEJ8" s="342"/>
      <c r="AEK8" s="342"/>
      <c r="AEL8" s="342"/>
      <c r="AEM8" s="342"/>
      <c r="AEN8" s="342"/>
      <c r="AEO8" s="342"/>
      <c r="AEP8" s="342"/>
      <c r="AEQ8" s="342"/>
      <c r="AER8" s="342"/>
      <c r="AES8" s="342"/>
      <c r="AET8" s="342"/>
      <c r="AEU8" s="342"/>
      <c r="AEV8" s="342"/>
      <c r="AEW8" s="342"/>
      <c r="AEX8" s="342"/>
      <c r="AEY8" s="342"/>
      <c r="AEZ8" s="342"/>
      <c r="AFA8" s="342"/>
      <c r="AFB8" s="342"/>
      <c r="AFC8" s="342"/>
      <c r="AFD8" s="342"/>
      <c r="AFE8" s="342"/>
      <c r="AFF8" s="342"/>
      <c r="AFG8" s="342"/>
      <c r="AFH8" s="342"/>
      <c r="AFI8" s="342"/>
      <c r="AFJ8" s="342"/>
      <c r="AFK8" s="342"/>
      <c r="AFL8" s="342"/>
      <c r="AFM8" s="342"/>
      <c r="AFN8" s="342"/>
      <c r="AFO8" s="342"/>
      <c r="AFP8" s="342"/>
      <c r="AFQ8" s="342"/>
      <c r="AFR8" s="342"/>
      <c r="AFS8" s="342"/>
      <c r="AFT8" s="342"/>
      <c r="AFU8" s="342"/>
      <c r="AFV8" s="342"/>
      <c r="AFW8" s="342"/>
      <c r="AFX8" s="342"/>
      <c r="AFY8" s="342"/>
      <c r="AFZ8" s="342"/>
      <c r="AGA8" s="342"/>
      <c r="AGB8" s="342"/>
      <c r="AGC8" s="342"/>
      <c r="AGD8" s="342"/>
      <c r="AGE8" s="342"/>
      <c r="AGF8" s="342"/>
      <c r="AGG8" s="342"/>
      <c r="AGH8" s="342"/>
      <c r="AGI8" s="342"/>
      <c r="AGJ8" s="342"/>
      <c r="AGK8" s="342"/>
      <c r="AGL8" s="342"/>
      <c r="AGM8" s="342"/>
      <c r="AGN8" s="342"/>
      <c r="AGO8" s="342"/>
      <c r="AGP8" s="342"/>
      <c r="AGQ8" s="342"/>
      <c r="AGR8" s="342"/>
      <c r="AGS8" s="342"/>
      <c r="AGT8" s="342"/>
      <c r="AGU8" s="342"/>
      <c r="AGV8" s="342"/>
      <c r="AGW8" s="342"/>
      <c r="AGX8" s="342"/>
      <c r="AGY8" s="342"/>
      <c r="AGZ8" s="342"/>
      <c r="AHA8" s="342"/>
      <c r="AHB8" s="342"/>
      <c r="AHC8" s="342"/>
      <c r="AHD8" s="342"/>
      <c r="AHE8" s="342"/>
      <c r="AHF8" s="342"/>
      <c r="AHG8" s="342"/>
      <c r="AHH8" s="342"/>
      <c r="AHI8" s="342"/>
      <c r="AHJ8" s="342"/>
      <c r="AHK8" s="342"/>
      <c r="AHL8" s="342"/>
      <c r="AHM8" s="342"/>
      <c r="AHN8" s="342"/>
      <c r="AHO8" s="342"/>
      <c r="AHP8" s="342"/>
      <c r="AHQ8" s="342"/>
      <c r="AHR8" s="342"/>
      <c r="AHS8" s="342"/>
      <c r="AHT8" s="342"/>
      <c r="AHU8" s="342"/>
      <c r="AHV8" s="342"/>
      <c r="AHW8" s="342"/>
      <c r="AHX8" s="342"/>
      <c r="AHY8" s="342"/>
      <c r="AHZ8" s="342"/>
      <c r="AIA8" s="342"/>
      <c r="AIB8" s="342"/>
      <c r="AIC8" s="342"/>
      <c r="AID8" s="342"/>
      <c r="AIE8" s="342"/>
      <c r="AIF8" s="342"/>
      <c r="AIG8" s="342"/>
      <c r="AIH8" s="342"/>
      <c r="AII8" s="342"/>
      <c r="AIJ8" s="342"/>
      <c r="AIK8" s="342"/>
      <c r="AIL8" s="342"/>
      <c r="AIM8" s="342"/>
      <c r="AIN8" s="342"/>
      <c r="AIO8" s="342"/>
      <c r="AIP8" s="342"/>
      <c r="AIQ8" s="342"/>
      <c r="AIR8" s="342"/>
      <c r="AIS8" s="342"/>
      <c r="AIT8" s="342"/>
      <c r="AIU8" s="342"/>
      <c r="AIV8" s="342"/>
      <c r="AIW8" s="342"/>
      <c r="AIX8" s="342"/>
      <c r="AIY8" s="342"/>
      <c r="AIZ8" s="342"/>
      <c r="AJA8" s="342"/>
      <c r="AJB8" s="342"/>
      <c r="AJC8" s="342"/>
      <c r="AJD8" s="342"/>
      <c r="AJE8" s="342"/>
      <c r="AJF8" s="342"/>
      <c r="AJG8" s="342"/>
      <c r="AJH8" s="342"/>
      <c r="AJI8" s="342"/>
      <c r="AJJ8" s="342"/>
      <c r="AJK8" s="342"/>
      <c r="AJL8" s="342"/>
      <c r="AJM8" s="342"/>
      <c r="AJN8" s="342"/>
      <c r="AJO8" s="342"/>
      <c r="AJP8" s="342"/>
      <c r="AJQ8" s="342"/>
      <c r="AJR8" s="342"/>
      <c r="AJS8" s="342"/>
      <c r="AJT8" s="342"/>
      <c r="AJU8" s="342"/>
      <c r="AJV8" s="342"/>
      <c r="AJW8" s="342"/>
      <c r="AJX8" s="342"/>
      <c r="AJY8" s="342"/>
      <c r="AJZ8" s="342"/>
      <c r="AKA8" s="342"/>
      <c r="AKB8" s="342"/>
      <c r="AKC8" s="342"/>
      <c r="AKD8" s="342"/>
      <c r="AKE8" s="342"/>
      <c r="AKF8" s="342"/>
      <c r="AKG8" s="342"/>
      <c r="AKH8" s="342"/>
      <c r="AKI8" s="342"/>
      <c r="AKJ8" s="342"/>
      <c r="AKK8" s="342"/>
      <c r="AKL8" s="342"/>
      <c r="AKM8" s="342"/>
      <c r="AKN8" s="342"/>
      <c r="AKO8" s="342"/>
      <c r="AKP8" s="342"/>
      <c r="AKQ8" s="342"/>
      <c r="AKR8" s="342"/>
      <c r="AKS8" s="342"/>
      <c r="AKT8" s="342"/>
      <c r="AKU8" s="342"/>
      <c r="AKV8" s="342"/>
      <c r="AKW8" s="342"/>
      <c r="AKX8" s="342"/>
      <c r="AKY8" s="342"/>
      <c r="AKZ8" s="342"/>
      <c r="ALA8" s="342"/>
      <c r="ALB8" s="342"/>
      <c r="ALC8" s="342"/>
      <c r="ALD8" s="342"/>
      <c r="ALE8" s="342"/>
      <c r="ALF8" s="342"/>
      <c r="ALG8" s="342"/>
      <c r="ALH8" s="342"/>
      <c r="ALI8" s="342"/>
      <c r="ALJ8" s="342"/>
      <c r="ALK8" s="342"/>
      <c r="ALL8" s="342"/>
      <c r="ALM8" s="342"/>
      <c r="ALN8" s="342"/>
      <c r="ALO8" s="342"/>
      <c r="ALP8" s="342"/>
      <c r="ALQ8" s="342"/>
      <c r="ALR8" s="342"/>
      <c r="ALS8" s="342"/>
      <c r="ALT8" s="342"/>
      <c r="ALU8" s="342"/>
      <c r="ALV8" s="342"/>
      <c r="ALW8" s="342"/>
      <c r="ALX8" s="342"/>
      <c r="ALY8" s="342"/>
      <c r="ALZ8" s="342"/>
      <c r="AMA8" s="342"/>
      <c r="AMB8" s="342"/>
      <c r="AMC8" s="342"/>
      <c r="AMD8" s="342"/>
      <c r="AME8" s="342"/>
      <c r="AMF8" s="342"/>
      <c r="AMG8" s="342"/>
      <c r="AMH8" s="342"/>
      <c r="AMI8" s="342"/>
    </row>
    <row r="9" ht="100.5" customHeight="1" spans="1:1025" x14ac:dyDescent="0.25">
      <c r="A9" s="135"/>
      <c r="B9" s="346"/>
      <c r="C9" s="349" t="s">
        <v>1024</v>
      </c>
      <c r="D9" s="349" t="s">
        <v>826</v>
      </c>
      <c r="E9" s="349" t="s">
        <v>827</v>
      </c>
      <c r="F9" s="349" t="s">
        <v>890</v>
      </c>
      <c r="G9" s="349" t="s">
        <v>829</v>
      </c>
      <c r="H9" s="348" t="s">
        <v>830</v>
      </c>
      <c r="I9" s="348" t="s">
        <v>693</v>
      </c>
      <c r="J9" s="346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  <c r="AK9" s="342"/>
      <c r="AL9" s="342"/>
      <c r="AM9" s="342"/>
      <c r="AN9" s="342"/>
      <c r="AO9" s="342"/>
      <c r="AP9" s="342"/>
      <c r="AQ9" s="342"/>
      <c r="AR9" s="342"/>
      <c r="AS9" s="342"/>
      <c r="AT9" s="342"/>
      <c r="AU9" s="342"/>
      <c r="AV9" s="342"/>
      <c r="AW9" s="342"/>
      <c r="AX9" s="342"/>
      <c r="AY9" s="342"/>
      <c r="AZ9" s="342"/>
      <c r="BA9" s="342"/>
      <c r="BB9" s="342"/>
      <c r="BC9" s="342"/>
      <c r="BD9" s="342"/>
      <c r="BE9" s="342"/>
      <c r="BF9" s="342"/>
      <c r="BG9" s="342"/>
      <c r="BH9" s="342"/>
      <c r="BI9" s="342"/>
      <c r="BJ9" s="342"/>
      <c r="BK9" s="342"/>
      <c r="BL9" s="342"/>
      <c r="BM9" s="342"/>
      <c r="BN9" s="342"/>
      <c r="BO9" s="342"/>
      <c r="BP9" s="342"/>
      <c r="BQ9" s="342"/>
      <c r="BR9" s="342"/>
      <c r="BS9" s="342"/>
      <c r="BT9" s="342"/>
      <c r="BU9" s="342"/>
      <c r="BV9" s="342"/>
      <c r="BW9" s="342"/>
      <c r="BX9" s="342"/>
      <c r="BY9" s="342"/>
      <c r="BZ9" s="342"/>
      <c r="CA9" s="342"/>
      <c r="CB9" s="342"/>
      <c r="CC9" s="342"/>
      <c r="CD9" s="342"/>
      <c r="CE9" s="342"/>
      <c r="CF9" s="342"/>
      <c r="CG9" s="342"/>
      <c r="CH9" s="342"/>
      <c r="CI9" s="342"/>
      <c r="CJ9" s="342"/>
      <c r="CK9" s="342"/>
      <c r="CL9" s="342"/>
      <c r="CM9" s="342"/>
      <c r="CN9" s="342"/>
      <c r="CO9" s="342"/>
      <c r="CP9" s="342"/>
      <c r="CQ9" s="342"/>
      <c r="CR9" s="342"/>
      <c r="CS9" s="342"/>
      <c r="CT9" s="342"/>
      <c r="CU9" s="342"/>
      <c r="CV9" s="342"/>
      <c r="CW9" s="342"/>
      <c r="CX9" s="342"/>
      <c r="CY9" s="342"/>
      <c r="CZ9" s="342"/>
      <c r="DA9" s="342"/>
      <c r="DB9" s="342"/>
      <c r="DC9" s="342"/>
      <c r="DD9" s="342"/>
      <c r="DE9" s="342"/>
      <c r="DF9" s="342"/>
      <c r="DG9" s="342"/>
      <c r="DH9" s="342"/>
      <c r="DI9" s="342"/>
      <c r="DJ9" s="342"/>
      <c r="DK9" s="342"/>
      <c r="DL9" s="342"/>
      <c r="DM9" s="342"/>
      <c r="DN9" s="342"/>
      <c r="DO9" s="342"/>
      <c r="DP9" s="342"/>
      <c r="DQ9" s="342"/>
      <c r="DR9" s="342"/>
      <c r="DS9" s="342"/>
      <c r="DT9" s="342"/>
      <c r="DU9" s="342"/>
      <c r="DV9" s="342"/>
      <c r="DW9" s="342"/>
      <c r="DX9" s="342"/>
      <c r="DY9" s="342"/>
      <c r="DZ9" s="342"/>
      <c r="EA9" s="342"/>
      <c r="EB9" s="342"/>
      <c r="EC9" s="342"/>
      <c r="ED9" s="342"/>
      <c r="EE9" s="342"/>
      <c r="EF9" s="342"/>
      <c r="EG9" s="342"/>
      <c r="EH9" s="342"/>
      <c r="EI9" s="342"/>
      <c r="EJ9" s="342"/>
      <c r="EK9" s="342"/>
      <c r="EL9" s="342"/>
      <c r="EM9" s="342"/>
      <c r="EN9" s="342"/>
      <c r="EO9" s="342"/>
      <c r="EP9" s="342"/>
      <c r="EQ9" s="342"/>
      <c r="ER9" s="342"/>
      <c r="ES9" s="342"/>
      <c r="ET9" s="342"/>
      <c r="EU9" s="342"/>
      <c r="EV9" s="342"/>
      <c r="EW9" s="342"/>
      <c r="EX9" s="342"/>
      <c r="EY9" s="342"/>
      <c r="EZ9" s="342"/>
      <c r="FA9" s="342"/>
      <c r="FB9" s="342"/>
      <c r="FC9" s="342"/>
      <c r="FD9" s="342"/>
      <c r="FE9" s="342"/>
      <c r="FF9" s="342"/>
      <c r="FG9" s="342"/>
      <c r="FH9" s="342"/>
      <c r="FI9" s="342"/>
      <c r="FJ9" s="342"/>
      <c r="FK9" s="342"/>
      <c r="FL9" s="342"/>
      <c r="FM9" s="342"/>
      <c r="FN9" s="342"/>
      <c r="FO9" s="342"/>
      <c r="FP9" s="342"/>
      <c r="FQ9" s="342"/>
      <c r="FR9" s="342"/>
      <c r="FS9" s="342"/>
      <c r="FT9" s="342"/>
      <c r="FU9" s="342"/>
      <c r="FV9" s="342"/>
      <c r="FW9" s="342"/>
      <c r="FX9" s="342"/>
      <c r="FY9" s="342"/>
      <c r="FZ9" s="342"/>
      <c r="GA9" s="342"/>
      <c r="GB9" s="342"/>
      <c r="GC9" s="342"/>
      <c r="GD9" s="342"/>
      <c r="GE9" s="342"/>
      <c r="GF9" s="342"/>
      <c r="GG9" s="342"/>
      <c r="GH9" s="342"/>
      <c r="GI9" s="342"/>
      <c r="GJ9" s="342"/>
      <c r="GK9" s="342"/>
      <c r="GL9" s="342"/>
      <c r="GM9" s="342"/>
      <c r="GN9" s="342"/>
      <c r="GO9" s="342"/>
      <c r="GP9" s="342"/>
      <c r="GQ9" s="342"/>
      <c r="GR9" s="342"/>
      <c r="GS9" s="342"/>
      <c r="GT9" s="342"/>
      <c r="GU9" s="342"/>
      <c r="GV9" s="342"/>
      <c r="GW9" s="342"/>
      <c r="GX9" s="342"/>
      <c r="GY9" s="342"/>
      <c r="GZ9" s="342"/>
      <c r="HA9" s="342"/>
      <c r="HB9" s="342"/>
      <c r="HC9" s="342"/>
      <c r="HD9" s="342"/>
      <c r="HE9" s="342"/>
      <c r="HF9" s="342"/>
      <c r="HG9" s="342"/>
      <c r="HH9" s="342"/>
      <c r="HI9" s="342"/>
      <c r="HJ9" s="342"/>
      <c r="HK9" s="342"/>
      <c r="HL9" s="342"/>
      <c r="HM9" s="342"/>
      <c r="HN9" s="342"/>
      <c r="HO9" s="342"/>
      <c r="HP9" s="342"/>
      <c r="HQ9" s="342"/>
      <c r="HR9" s="342"/>
      <c r="HS9" s="342"/>
      <c r="HT9" s="342"/>
      <c r="HU9" s="342"/>
      <c r="HV9" s="342"/>
      <c r="HW9" s="342"/>
      <c r="HX9" s="342"/>
      <c r="HY9" s="342"/>
      <c r="HZ9" s="342"/>
      <c r="IA9" s="342"/>
      <c r="IB9" s="342"/>
      <c r="IC9" s="342"/>
      <c r="ID9" s="342"/>
      <c r="IE9" s="342"/>
      <c r="IF9" s="342"/>
      <c r="IG9" s="342"/>
      <c r="IH9" s="342"/>
      <c r="II9" s="342"/>
      <c r="IJ9" s="342"/>
      <c r="IK9" s="342"/>
      <c r="IL9" s="342"/>
      <c r="IM9" s="342"/>
      <c r="IN9" s="342"/>
      <c r="IO9" s="342"/>
      <c r="IP9" s="342"/>
      <c r="IQ9" s="342"/>
      <c r="IR9" s="342"/>
      <c r="IS9" s="342"/>
      <c r="IT9" s="342"/>
      <c r="IU9" s="342"/>
      <c r="IV9" s="342"/>
      <c r="IW9" s="342"/>
      <c r="IX9" s="342"/>
      <c r="IY9" s="342"/>
      <c r="IZ9" s="342"/>
      <c r="JA9" s="342"/>
      <c r="JB9" s="342"/>
      <c r="JC9" s="342"/>
      <c r="JD9" s="342"/>
      <c r="JE9" s="342"/>
      <c r="JF9" s="342"/>
      <c r="JG9" s="342"/>
      <c r="JH9" s="342"/>
      <c r="JI9" s="342"/>
      <c r="JJ9" s="342"/>
      <c r="JK9" s="342"/>
      <c r="JL9" s="342"/>
      <c r="JM9" s="342"/>
      <c r="JN9" s="342"/>
      <c r="JO9" s="342"/>
      <c r="JP9" s="342"/>
      <c r="JQ9" s="342"/>
      <c r="JR9" s="342"/>
      <c r="JS9" s="342"/>
      <c r="JT9" s="342"/>
      <c r="JU9" s="342"/>
      <c r="JV9" s="342"/>
      <c r="JW9" s="342"/>
      <c r="JX9" s="342"/>
      <c r="JY9" s="342"/>
      <c r="JZ9" s="342"/>
      <c r="KA9" s="342"/>
      <c r="KB9" s="342"/>
      <c r="KC9" s="342"/>
      <c r="KD9" s="342"/>
      <c r="KE9" s="342"/>
      <c r="KF9" s="342"/>
      <c r="KG9" s="342"/>
      <c r="KH9" s="342"/>
      <c r="KI9" s="342"/>
      <c r="KJ9" s="342"/>
      <c r="KK9" s="342"/>
      <c r="KL9" s="342"/>
      <c r="KM9" s="342"/>
      <c r="KN9" s="342"/>
      <c r="KO9" s="342"/>
      <c r="KP9" s="342"/>
      <c r="KQ9" s="342"/>
      <c r="KR9" s="342"/>
      <c r="KS9" s="342"/>
      <c r="KT9" s="342"/>
      <c r="KU9" s="342"/>
      <c r="KV9" s="342"/>
      <c r="KW9" s="342"/>
      <c r="KX9" s="342"/>
      <c r="KY9" s="342"/>
      <c r="KZ9" s="342"/>
      <c r="LA9" s="342"/>
      <c r="LB9" s="342"/>
      <c r="LC9" s="342"/>
      <c r="LD9" s="342"/>
      <c r="LE9" s="342"/>
      <c r="LF9" s="342"/>
      <c r="LG9" s="342"/>
      <c r="LH9" s="342"/>
      <c r="LI9" s="342"/>
      <c r="LJ9" s="342"/>
      <c r="LK9" s="342"/>
      <c r="LL9" s="342"/>
      <c r="LM9" s="342"/>
      <c r="LN9" s="342"/>
      <c r="LO9" s="342"/>
      <c r="LP9" s="342"/>
      <c r="LQ9" s="342"/>
      <c r="LR9" s="342"/>
      <c r="LS9" s="342"/>
      <c r="LT9" s="342"/>
      <c r="LU9" s="342"/>
      <c r="LV9" s="342"/>
      <c r="LW9" s="342"/>
      <c r="LX9" s="342"/>
      <c r="LY9" s="342"/>
      <c r="LZ9" s="342"/>
      <c r="MA9" s="342"/>
      <c r="MB9" s="342"/>
      <c r="MC9" s="342"/>
      <c r="MD9" s="342"/>
      <c r="ME9" s="342"/>
      <c r="MF9" s="342"/>
      <c r="MG9" s="342"/>
      <c r="MH9" s="342"/>
      <c r="MI9" s="342"/>
      <c r="MJ9" s="342"/>
      <c r="MK9" s="342"/>
      <c r="ML9" s="342"/>
      <c r="MM9" s="342"/>
      <c r="MN9" s="342"/>
      <c r="MO9" s="342"/>
      <c r="MP9" s="342"/>
      <c r="MQ9" s="342"/>
      <c r="MR9" s="342"/>
      <c r="MS9" s="342"/>
      <c r="MT9" s="342"/>
      <c r="MU9" s="342"/>
      <c r="MV9" s="342"/>
      <c r="MW9" s="342"/>
      <c r="MX9" s="342"/>
      <c r="MY9" s="342"/>
      <c r="MZ9" s="342"/>
      <c r="NA9" s="342"/>
      <c r="NB9" s="342"/>
      <c r="NC9" s="342"/>
      <c r="ND9" s="342"/>
      <c r="NE9" s="342"/>
      <c r="NF9" s="342"/>
      <c r="NG9" s="342"/>
      <c r="NH9" s="342"/>
      <c r="NI9" s="342"/>
      <c r="NJ9" s="342"/>
      <c r="NK9" s="342"/>
      <c r="NL9" s="342"/>
      <c r="NM9" s="342"/>
      <c r="NN9" s="342"/>
      <c r="NO9" s="342"/>
      <c r="NP9" s="342"/>
      <c r="NQ9" s="342"/>
      <c r="NR9" s="342"/>
      <c r="NS9" s="342"/>
      <c r="NT9" s="342"/>
      <c r="NU9" s="342"/>
      <c r="NV9" s="342"/>
      <c r="NW9" s="342"/>
      <c r="NX9" s="342"/>
      <c r="NY9" s="342"/>
      <c r="NZ9" s="342"/>
      <c r="OA9" s="342"/>
      <c r="OB9" s="342"/>
      <c r="OC9" s="342"/>
      <c r="OD9" s="342"/>
      <c r="OE9" s="342"/>
      <c r="OF9" s="342"/>
      <c r="OG9" s="342"/>
      <c r="OH9" s="342"/>
      <c r="OI9" s="342"/>
      <c r="OJ9" s="342"/>
      <c r="OK9" s="342"/>
      <c r="OL9" s="342"/>
      <c r="OM9" s="342"/>
      <c r="ON9" s="342"/>
      <c r="OO9" s="342"/>
      <c r="OP9" s="342"/>
      <c r="OQ9" s="342"/>
      <c r="OR9" s="342"/>
      <c r="OS9" s="342"/>
      <c r="OT9" s="342"/>
      <c r="OU9" s="342"/>
      <c r="OV9" s="342"/>
      <c r="OW9" s="342"/>
      <c r="OX9" s="342"/>
      <c r="OY9" s="342"/>
      <c r="OZ9" s="342"/>
      <c r="PA9" s="342"/>
      <c r="PB9" s="342"/>
      <c r="PC9" s="342"/>
      <c r="PD9" s="342"/>
      <c r="PE9" s="342"/>
      <c r="PF9" s="342"/>
      <c r="PG9" s="342"/>
      <c r="PH9" s="342"/>
      <c r="PI9" s="342"/>
      <c r="PJ9" s="342"/>
      <c r="PK9" s="342"/>
      <c r="PL9" s="342"/>
      <c r="PM9" s="342"/>
      <c r="PN9" s="342"/>
      <c r="PO9" s="342"/>
      <c r="PP9" s="342"/>
      <c r="PQ9" s="342"/>
      <c r="PR9" s="342"/>
      <c r="PS9" s="342"/>
      <c r="PT9" s="342"/>
      <c r="PU9" s="342"/>
      <c r="PV9" s="342"/>
      <c r="PW9" s="342"/>
      <c r="PX9" s="342"/>
      <c r="PY9" s="342"/>
      <c r="PZ9" s="342"/>
      <c r="QA9" s="342"/>
      <c r="QB9" s="342"/>
      <c r="QC9" s="342"/>
      <c r="QD9" s="342"/>
      <c r="QE9" s="342"/>
      <c r="QF9" s="342"/>
      <c r="QG9" s="342"/>
      <c r="QH9" s="342"/>
      <c r="QI9" s="342"/>
      <c r="QJ9" s="342"/>
      <c r="QK9" s="342"/>
      <c r="QL9" s="342"/>
      <c r="QM9" s="342"/>
      <c r="QN9" s="342"/>
      <c r="QO9" s="342"/>
      <c r="QP9" s="342"/>
      <c r="QQ9" s="342"/>
      <c r="QR9" s="342"/>
      <c r="QS9" s="342"/>
      <c r="QT9" s="342"/>
      <c r="QU9" s="342"/>
      <c r="QV9" s="342"/>
      <c r="QW9" s="342"/>
      <c r="QX9" s="342"/>
      <c r="QY9" s="342"/>
      <c r="QZ9" s="342"/>
      <c r="RA9" s="342"/>
      <c r="RB9" s="342"/>
      <c r="RC9" s="342"/>
      <c r="RD9" s="342"/>
      <c r="RE9" s="342"/>
      <c r="RF9" s="342"/>
      <c r="RG9" s="342"/>
      <c r="RH9" s="342"/>
      <c r="RI9" s="342"/>
      <c r="RJ9" s="342"/>
      <c r="RK9" s="342"/>
      <c r="RL9" s="342"/>
      <c r="RM9" s="342"/>
      <c r="RN9" s="342"/>
      <c r="RO9" s="342"/>
      <c r="RP9" s="342"/>
      <c r="RQ9" s="342"/>
      <c r="RR9" s="342"/>
      <c r="RS9" s="342"/>
      <c r="RT9" s="342"/>
      <c r="RU9" s="342"/>
      <c r="RV9" s="342"/>
      <c r="RW9" s="342"/>
      <c r="RX9" s="342"/>
      <c r="RY9" s="342"/>
      <c r="RZ9" s="342"/>
      <c r="SA9" s="342"/>
      <c r="SB9" s="342"/>
      <c r="SC9" s="342"/>
      <c r="SD9" s="342"/>
      <c r="SE9" s="342"/>
      <c r="SF9" s="342"/>
      <c r="SG9" s="342"/>
      <c r="SH9" s="342"/>
      <c r="SI9" s="342"/>
      <c r="SJ9" s="342"/>
      <c r="SK9" s="342"/>
      <c r="SL9" s="342"/>
      <c r="SM9" s="342"/>
      <c r="SN9" s="342"/>
      <c r="SO9" s="342"/>
      <c r="SP9" s="342"/>
      <c r="SQ9" s="342"/>
      <c r="SR9" s="342"/>
      <c r="SS9" s="342"/>
      <c r="ST9" s="342"/>
      <c r="SU9" s="342"/>
      <c r="SV9" s="342"/>
      <c r="SW9" s="342"/>
      <c r="SX9" s="342"/>
      <c r="SY9" s="342"/>
      <c r="SZ9" s="342"/>
      <c r="TA9" s="342"/>
      <c r="TB9" s="342"/>
      <c r="TC9" s="342"/>
      <c r="TD9" s="342"/>
      <c r="TE9" s="342"/>
      <c r="TF9" s="342"/>
      <c r="TG9" s="342"/>
      <c r="TH9" s="342"/>
      <c r="TI9" s="342"/>
      <c r="TJ9" s="342"/>
      <c r="TK9" s="342"/>
      <c r="TL9" s="342"/>
      <c r="TM9" s="342"/>
      <c r="TN9" s="342"/>
      <c r="TO9" s="342"/>
      <c r="TP9" s="342"/>
      <c r="TQ9" s="342"/>
      <c r="TR9" s="342"/>
      <c r="TS9" s="342"/>
      <c r="TT9" s="342"/>
      <c r="TU9" s="342"/>
      <c r="TV9" s="342"/>
      <c r="TW9" s="342"/>
      <c r="TX9" s="342"/>
      <c r="TY9" s="342"/>
      <c r="TZ9" s="342"/>
      <c r="UA9" s="342"/>
      <c r="UB9" s="342"/>
      <c r="UC9" s="342"/>
      <c r="UD9" s="342"/>
      <c r="UE9" s="342"/>
      <c r="UF9" s="342"/>
      <c r="UG9" s="342"/>
      <c r="UH9" s="342"/>
      <c r="UI9" s="342"/>
      <c r="UJ9" s="342"/>
      <c r="UK9" s="342"/>
      <c r="UL9" s="342"/>
      <c r="UM9" s="342"/>
      <c r="UN9" s="342"/>
      <c r="UO9" s="342"/>
      <c r="UP9" s="342"/>
      <c r="UQ9" s="342"/>
      <c r="UR9" s="342"/>
      <c r="US9" s="342"/>
      <c r="UT9" s="342"/>
      <c r="UU9" s="342"/>
      <c r="UV9" s="342"/>
      <c r="UW9" s="342"/>
      <c r="UX9" s="342"/>
      <c r="UY9" s="342"/>
      <c r="UZ9" s="342"/>
      <c r="VA9" s="342"/>
      <c r="VB9" s="342"/>
      <c r="VC9" s="342"/>
      <c r="VD9" s="342"/>
      <c r="VE9" s="342"/>
      <c r="VF9" s="342"/>
      <c r="VG9" s="342"/>
      <c r="VH9" s="342"/>
      <c r="VI9" s="342"/>
      <c r="VJ9" s="342"/>
      <c r="VK9" s="342"/>
      <c r="VL9" s="342"/>
      <c r="VM9" s="342"/>
      <c r="VN9" s="342"/>
      <c r="VO9" s="342"/>
      <c r="VP9" s="342"/>
      <c r="VQ9" s="342"/>
      <c r="VR9" s="342"/>
      <c r="VS9" s="342"/>
      <c r="VT9" s="342"/>
      <c r="VU9" s="342"/>
      <c r="VV9" s="342"/>
      <c r="VW9" s="342"/>
      <c r="VX9" s="342"/>
      <c r="VY9" s="342"/>
      <c r="VZ9" s="342"/>
      <c r="WA9" s="342"/>
      <c r="WB9" s="342"/>
      <c r="WC9" s="342"/>
      <c r="WD9" s="342"/>
      <c r="WE9" s="342"/>
      <c r="WF9" s="342"/>
      <c r="WG9" s="342"/>
      <c r="WH9" s="342"/>
      <c r="WI9" s="342"/>
      <c r="WJ9" s="342"/>
      <c r="WK9" s="342"/>
      <c r="WL9" s="342"/>
      <c r="WM9" s="342"/>
      <c r="WN9" s="342"/>
      <c r="WO9" s="342"/>
      <c r="WP9" s="342"/>
      <c r="WQ9" s="342"/>
      <c r="WR9" s="342"/>
      <c r="WS9" s="342"/>
      <c r="WT9" s="342"/>
      <c r="WU9" s="342"/>
      <c r="WV9" s="342"/>
      <c r="WW9" s="342"/>
      <c r="WX9" s="342"/>
      <c r="WY9" s="342"/>
      <c r="WZ9" s="342"/>
      <c r="XA9" s="342"/>
      <c r="XB9" s="342"/>
      <c r="XC9" s="342"/>
      <c r="XD9" s="342"/>
      <c r="XE9" s="342"/>
      <c r="XF9" s="342"/>
      <c r="XG9" s="342"/>
      <c r="XH9" s="342"/>
      <c r="XI9" s="342"/>
      <c r="XJ9" s="342"/>
      <c r="XK9" s="342"/>
      <c r="XL9" s="342"/>
      <c r="XM9" s="342"/>
      <c r="XN9" s="342"/>
      <c r="XO9" s="342"/>
      <c r="XP9" s="342"/>
      <c r="XQ9" s="342"/>
      <c r="XR9" s="342"/>
      <c r="XS9" s="342"/>
      <c r="XT9" s="342"/>
      <c r="XU9" s="342"/>
      <c r="XV9" s="342"/>
      <c r="XW9" s="342"/>
      <c r="XX9" s="342"/>
      <c r="XY9" s="342"/>
      <c r="XZ9" s="342"/>
      <c r="YA9" s="342"/>
      <c r="YB9" s="342"/>
      <c r="YC9" s="342"/>
      <c r="YD9" s="342"/>
      <c r="YE9" s="342"/>
      <c r="YF9" s="342"/>
      <c r="YG9" s="342"/>
      <c r="YH9" s="342"/>
      <c r="YI9" s="342"/>
      <c r="YJ9" s="342"/>
      <c r="YK9" s="342"/>
      <c r="YL9" s="342"/>
      <c r="YM9" s="342"/>
      <c r="YN9" s="342"/>
      <c r="YO9" s="342"/>
      <c r="YP9" s="342"/>
      <c r="YQ9" s="342"/>
      <c r="YR9" s="342"/>
      <c r="YS9" s="342"/>
      <c r="YT9" s="342"/>
      <c r="YU9" s="342"/>
      <c r="YV9" s="342"/>
      <c r="YW9" s="342"/>
      <c r="YX9" s="342"/>
      <c r="YY9" s="342"/>
      <c r="YZ9" s="342"/>
      <c r="ZA9" s="342"/>
      <c r="ZB9" s="342"/>
      <c r="ZC9" s="342"/>
      <c r="ZD9" s="342"/>
      <c r="ZE9" s="342"/>
      <c r="ZF9" s="342"/>
      <c r="ZG9" s="342"/>
      <c r="ZH9" s="342"/>
      <c r="ZI9" s="342"/>
      <c r="ZJ9" s="342"/>
      <c r="ZK9" s="342"/>
      <c r="ZL9" s="342"/>
      <c r="ZM9" s="342"/>
      <c r="ZN9" s="342"/>
      <c r="ZO9" s="342"/>
      <c r="ZP9" s="342"/>
      <c r="ZQ9" s="342"/>
      <c r="ZR9" s="342"/>
      <c r="ZS9" s="342"/>
      <c r="ZT9" s="342"/>
      <c r="ZU9" s="342"/>
      <c r="ZV9" s="342"/>
      <c r="ZW9" s="342"/>
      <c r="ZX9" s="342"/>
      <c r="ZY9" s="342"/>
      <c r="ZZ9" s="342"/>
      <c r="AAA9" s="342"/>
      <c r="AAB9" s="342"/>
      <c r="AAC9" s="342"/>
      <c r="AAD9" s="342"/>
      <c r="AAE9" s="342"/>
      <c r="AAF9" s="342"/>
      <c r="AAG9" s="342"/>
      <c r="AAH9" s="342"/>
      <c r="AAI9" s="342"/>
      <c r="AAJ9" s="342"/>
      <c r="AAK9" s="342"/>
      <c r="AAL9" s="342"/>
      <c r="AAM9" s="342"/>
      <c r="AAN9" s="342"/>
      <c r="AAO9" s="342"/>
      <c r="AAP9" s="342"/>
      <c r="AAQ9" s="342"/>
      <c r="AAR9" s="342"/>
      <c r="AAS9" s="342"/>
      <c r="AAT9" s="342"/>
      <c r="AAU9" s="342"/>
      <c r="AAV9" s="342"/>
      <c r="AAW9" s="342"/>
      <c r="AAX9" s="342"/>
      <c r="AAY9" s="342"/>
      <c r="AAZ9" s="342"/>
      <c r="ABA9" s="342"/>
      <c r="ABB9" s="342"/>
      <c r="ABC9" s="342"/>
      <c r="ABD9" s="342"/>
      <c r="ABE9" s="342"/>
      <c r="ABF9" s="342"/>
      <c r="ABG9" s="342"/>
      <c r="ABH9" s="342"/>
      <c r="ABI9" s="342"/>
      <c r="ABJ9" s="342"/>
      <c r="ABK9" s="342"/>
      <c r="ABL9" s="342"/>
      <c r="ABM9" s="342"/>
      <c r="ABN9" s="342"/>
      <c r="ABO9" s="342"/>
      <c r="ABP9" s="342"/>
      <c r="ABQ9" s="342"/>
      <c r="ABR9" s="342"/>
      <c r="ABS9" s="342"/>
      <c r="ABT9" s="342"/>
      <c r="ABU9" s="342"/>
      <c r="ABV9" s="342"/>
      <c r="ABW9" s="342"/>
      <c r="ABX9" s="342"/>
      <c r="ABY9" s="342"/>
      <c r="ABZ9" s="342"/>
      <c r="ACA9" s="342"/>
      <c r="ACB9" s="342"/>
      <c r="ACC9" s="342"/>
      <c r="ACD9" s="342"/>
      <c r="ACE9" s="342"/>
      <c r="ACF9" s="342"/>
      <c r="ACG9" s="342"/>
      <c r="ACH9" s="342"/>
      <c r="ACI9" s="342"/>
      <c r="ACJ9" s="342"/>
      <c r="ACK9" s="342"/>
      <c r="ACL9" s="342"/>
      <c r="ACM9" s="342"/>
      <c r="ACN9" s="342"/>
      <c r="ACO9" s="342"/>
      <c r="ACP9" s="342"/>
      <c r="ACQ9" s="342"/>
      <c r="ACR9" s="342"/>
      <c r="ACS9" s="342"/>
      <c r="ACT9" s="342"/>
      <c r="ACU9" s="342"/>
      <c r="ACV9" s="342"/>
      <c r="ACW9" s="342"/>
      <c r="ACX9" s="342"/>
      <c r="ACY9" s="342"/>
      <c r="ACZ9" s="342"/>
      <c r="ADA9" s="342"/>
      <c r="ADB9" s="342"/>
      <c r="ADC9" s="342"/>
      <c r="ADD9" s="342"/>
      <c r="ADE9" s="342"/>
      <c r="ADF9" s="342"/>
      <c r="ADG9" s="342"/>
      <c r="ADH9" s="342"/>
      <c r="ADI9" s="342"/>
      <c r="ADJ9" s="342"/>
      <c r="ADK9" s="342"/>
      <c r="ADL9" s="342"/>
      <c r="ADM9" s="342"/>
      <c r="ADN9" s="342"/>
      <c r="ADO9" s="342"/>
      <c r="ADP9" s="342"/>
      <c r="ADQ9" s="342"/>
      <c r="ADR9" s="342"/>
      <c r="ADS9" s="342"/>
      <c r="ADT9" s="342"/>
      <c r="ADU9" s="342"/>
      <c r="ADV9" s="342"/>
      <c r="ADW9" s="342"/>
      <c r="ADX9" s="342"/>
      <c r="ADY9" s="342"/>
      <c r="ADZ9" s="342"/>
      <c r="AEA9" s="342"/>
      <c r="AEB9" s="342"/>
      <c r="AEC9" s="342"/>
      <c r="AED9" s="342"/>
      <c r="AEE9" s="342"/>
      <c r="AEF9" s="342"/>
      <c r="AEG9" s="342"/>
      <c r="AEH9" s="342"/>
      <c r="AEI9" s="342"/>
      <c r="AEJ9" s="342"/>
      <c r="AEK9" s="342"/>
      <c r="AEL9" s="342"/>
      <c r="AEM9" s="342"/>
      <c r="AEN9" s="342"/>
      <c r="AEO9" s="342"/>
      <c r="AEP9" s="342"/>
      <c r="AEQ9" s="342"/>
      <c r="AER9" s="342"/>
      <c r="AES9" s="342"/>
      <c r="AET9" s="342"/>
      <c r="AEU9" s="342"/>
      <c r="AEV9" s="342"/>
      <c r="AEW9" s="342"/>
      <c r="AEX9" s="342"/>
      <c r="AEY9" s="342"/>
      <c r="AEZ9" s="342"/>
      <c r="AFA9" s="342"/>
      <c r="AFB9" s="342"/>
      <c r="AFC9" s="342"/>
      <c r="AFD9" s="342"/>
      <c r="AFE9" s="342"/>
      <c r="AFF9" s="342"/>
      <c r="AFG9" s="342"/>
      <c r="AFH9" s="342"/>
      <c r="AFI9" s="342"/>
      <c r="AFJ9" s="342"/>
      <c r="AFK9" s="342"/>
      <c r="AFL9" s="342"/>
      <c r="AFM9" s="342"/>
      <c r="AFN9" s="342"/>
      <c r="AFO9" s="342"/>
      <c r="AFP9" s="342"/>
      <c r="AFQ9" s="342"/>
      <c r="AFR9" s="342"/>
      <c r="AFS9" s="342"/>
      <c r="AFT9" s="342"/>
      <c r="AFU9" s="342"/>
      <c r="AFV9" s="342"/>
      <c r="AFW9" s="342"/>
      <c r="AFX9" s="342"/>
      <c r="AFY9" s="342"/>
      <c r="AFZ9" s="342"/>
      <c r="AGA9" s="342"/>
      <c r="AGB9" s="342"/>
      <c r="AGC9" s="342"/>
      <c r="AGD9" s="342"/>
      <c r="AGE9" s="342"/>
      <c r="AGF9" s="342"/>
      <c r="AGG9" s="342"/>
      <c r="AGH9" s="342"/>
      <c r="AGI9" s="342"/>
      <c r="AGJ9" s="342"/>
      <c r="AGK9" s="342"/>
      <c r="AGL9" s="342"/>
      <c r="AGM9" s="342"/>
      <c r="AGN9" s="342"/>
      <c r="AGO9" s="342"/>
      <c r="AGP9" s="342"/>
      <c r="AGQ9" s="342"/>
      <c r="AGR9" s="342"/>
      <c r="AGS9" s="342"/>
      <c r="AGT9" s="342"/>
      <c r="AGU9" s="342"/>
      <c r="AGV9" s="342"/>
      <c r="AGW9" s="342"/>
      <c r="AGX9" s="342"/>
      <c r="AGY9" s="342"/>
      <c r="AGZ9" s="342"/>
      <c r="AHA9" s="342"/>
      <c r="AHB9" s="342"/>
      <c r="AHC9" s="342"/>
      <c r="AHD9" s="342"/>
      <c r="AHE9" s="342"/>
      <c r="AHF9" s="342"/>
      <c r="AHG9" s="342"/>
      <c r="AHH9" s="342"/>
      <c r="AHI9" s="342"/>
      <c r="AHJ9" s="342"/>
      <c r="AHK9" s="342"/>
      <c r="AHL9" s="342"/>
      <c r="AHM9" s="342"/>
      <c r="AHN9" s="342"/>
      <c r="AHO9" s="342"/>
      <c r="AHP9" s="342"/>
      <c r="AHQ9" s="342"/>
      <c r="AHR9" s="342"/>
      <c r="AHS9" s="342"/>
      <c r="AHT9" s="342"/>
      <c r="AHU9" s="342"/>
      <c r="AHV9" s="342"/>
      <c r="AHW9" s="342"/>
      <c r="AHX9" s="342"/>
      <c r="AHY9" s="342"/>
      <c r="AHZ9" s="342"/>
      <c r="AIA9" s="342"/>
      <c r="AIB9" s="342"/>
      <c r="AIC9" s="342"/>
      <c r="AID9" s="342"/>
      <c r="AIE9" s="342"/>
      <c r="AIF9" s="342"/>
      <c r="AIG9" s="342"/>
      <c r="AIH9" s="342"/>
      <c r="AII9" s="342"/>
      <c r="AIJ9" s="342"/>
      <c r="AIK9" s="342"/>
      <c r="AIL9" s="342"/>
      <c r="AIM9" s="342"/>
      <c r="AIN9" s="342"/>
      <c r="AIO9" s="342"/>
      <c r="AIP9" s="342"/>
      <c r="AIQ9" s="342"/>
      <c r="AIR9" s="342"/>
      <c r="AIS9" s="342"/>
      <c r="AIT9" s="342"/>
      <c r="AIU9" s="342"/>
      <c r="AIV9" s="342"/>
      <c r="AIW9" s="342"/>
      <c r="AIX9" s="342"/>
      <c r="AIY9" s="342"/>
      <c r="AIZ9" s="342"/>
      <c r="AJA9" s="342"/>
      <c r="AJB9" s="342"/>
      <c r="AJC9" s="342"/>
      <c r="AJD9" s="342"/>
      <c r="AJE9" s="342"/>
      <c r="AJF9" s="342"/>
      <c r="AJG9" s="342"/>
      <c r="AJH9" s="342"/>
      <c r="AJI9" s="342"/>
      <c r="AJJ9" s="342"/>
      <c r="AJK9" s="342"/>
      <c r="AJL9" s="342"/>
      <c r="AJM9" s="342"/>
      <c r="AJN9" s="342"/>
      <c r="AJO9" s="342"/>
      <c r="AJP9" s="342"/>
      <c r="AJQ9" s="342"/>
      <c r="AJR9" s="342"/>
      <c r="AJS9" s="342"/>
      <c r="AJT9" s="342"/>
      <c r="AJU9" s="342"/>
      <c r="AJV9" s="342"/>
      <c r="AJW9" s="342"/>
      <c r="AJX9" s="342"/>
      <c r="AJY9" s="342"/>
      <c r="AJZ9" s="342"/>
      <c r="AKA9" s="342"/>
      <c r="AKB9" s="342"/>
      <c r="AKC9" s="342"/>
      <c r="AKD9" s="342"/>
      <c r="AKE9" s="342"/>
      <c r="AKF9" s="342"/>
      <c r="AKG9" s="342"/>
      <c r="AKH9" s="342"/>
      <c r="AKI9" s="342"/>
      <c r="AKJ9" s="342"/>
      <c r="AKK9" s="342"/>
      <c r="AKL9" s="342"/>
      <c r="AKM9" s="342"/>
      <c r="AKN9" s="342"/>
      <c r="AKO9" s="342"/>
      <c r="AKP9" s="342"/>
      <c r="AKQ9" s="342"/>
      <c r="AKR9" s="342"/>
      <c r="AKS9" s="342"/>
      <c r="AKT9" s="342"/>
      <c r="AKU9" s="342"/>
      <c r="AKV9" s="342"/>
      <c r="AKW9" s="342"/>
      <c r="AKX9" s="342"/>
      <c r="AKY9" s="342"/>
      <c r="AKZ9" s="342"/>
      <c r="ALA9" s="342"/>
      <c r="ALB9" s="342"/>
      <c r="ALC9" s="342"/>
      <c r="ALD9" s="342"/>
      <c r="ALE9" s="342"/>
      <c r="ALF9" s="342"/>
      <c r="ALG9" s="342"/>
      <c r="ALH9" s="342"/>
      <c r="ALI9" s="342"/>
      <c r="ALJ9" s="342"/>
      <c r="ALK9" s="342"/>
      <c r="ALL9" s="342"/>
      <c r="ALM9" s="342"/>
      <c r="ALN9" s="342"/>
      <c r="ALO9" s="342"/>
      <c r="ALP9" s="342"/>
      <c r="ALQ9" s="342"/>
      <c r="ALR9" s="342"/>
      <c r="ALS9" s="342"/>
      <c r="ALT9" s="342"/>
      <c r="ALU9" s="342"/>
      <c r="ALV9" s="342"/>
      <c r="ALW9" s="342"/>
      <c r="ALX9" s="342"/>
      <c r="ALY9" s="342"/>
      <c r="ALZ9" s="342"/>
      <c r="AMA9" s="342"/>
      <c r="AMB9" s="342"/>
      <c r="AMC9" s="342"/>
      <c r="AMD9" s="342"/>
      <c r="AME9" s="342"/>
      <c r="AMF9" s="342"/>
      <c r="AMG9" s="342"/>
      <c r="AMH9" s="342"/>
      <c r="AMI9" s="342"/>
      <c r="AMJ9" s="321"/>
      <c r="AMK9" s="321"/>
    </row>
    <row r="10" ht="36" customHeight="1" spans="1:1023" x14ac:dyDescent="0.25">
      <c r="A10" s="145"/>
      <c r="B10" s="350" t="s">
        <v>154</v>
      </c>
      <c r="C10" s="135" t="s">
        <v>157</v>
      </c>
      <c r="D10" s="135" t="s">
        <v>160</v>
      </c>
      <c r="E10" s="135" t="s">
        <v>164</v>
      </c>
      <c r="F10" s="135" t="s">
        <v>321</v>
      </c>
      <c r="G10" s="135" t="s">
        <v>329</v>
      </c>
      <c r="H10" s="135" t="s">
        <v>331</v>
      </c>
      <c r="I10" s="135" t="s">
        <v>831</v>
      </c>
      <c r="J10" s="135" t="s">
        <v>832</v>
      </c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7"/>
      <c r="AP10" s="337"/>
      <c r="AQ10" s="337"/>
      <c r="AR10" s="337"/>
      <c r="AS10" s="337"/>
      <c r="AT10" s="337"/>
      <c r="AU10" s="337"/>
      <c r="AV10" s="337"/>
      <c r="AW10" s="337"/>
      <c r="AX10" s="337"/>
      <c r="AY10" s="337"/>
      <c r="AZ10" s="337"/>
      <c r="BA10" s="337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7"/>
      <c r="BU10" s="337"/>
      <c r="BV10" s="337"/>
      <c r="BW10" s="337"/>
      <c r="BX10" s="337"/>
      <c r="BY10" s="337"/>
      <c r="BZ10" s="337"/>
      <c r="CA10" s="337"/>
      <c r="CB10" s="337"/>
      <c r="CC10" s="337"/>
      <c r="CD10" s="337"/>
      <c r="CE10" s="337"/>
      <c r="CF10" s="337"/>
      <c r="CG10" s="337"/>
      <c r="CH10" s="337"/>
      <c r="CI10" s="337"/>
      <c r="CJ10" s="337"/>
      <c r="CK10" s="337"/>
      <c r="CL10" s="337"/>
      <c r="CM10" s="337"/>
      <c r="CN10" s="337"/>
      <c r="CO10" s="337"/>
      <c r="CP10" s="337"/>
      <c r="CQ10" s="337"/>
      <c r="CR10" s="337"/>
      <c r="CS10" s="337"/>
      <c r="CT10" s="337"/>
      <c r="CU10" s="337"/>
      <c r="CV10" s="337"/>
      <c r="CW10" s="337"/>
      <c r="CX10" s="337"/>
      <c r="CY10" s="337"/>
      <c r="CZ10" s="337"/>
      <c r="DA10" s="337"/>
      <c r="DB10" s="337"/>
      <c r="DC10" s="337"/>
      <c r="DD10" s="337"/>
      <c r="DE10" s="337"/>
      <c r="DF10" s="337"/>
      <c r="DG10" s="337"/>
      <c r="DH10" s="337"/>
      <c r="DI10" s="337"/>
      <c r="DJ10" s="337"/>
      <c r="DK10" s="337"/>
      <c r="DL10" s="337"/>
      <c r="DM10" s="337"/>
      <c r="DN10" s="337"/>
      <c r="DO10" s="337"/>
      <c r="DP10" s="337"/>
      <c r="DQ10" s="337"/>
      <c r="DR10" s="337"/>
      <c r="DS10" s="337"/>
      <c r="DT10" s="337"/>
      <c r="DU10" s="337"/>
      <c r="DV10" s="337"/>
      <c r="DW10" s="337"/>
      <c r="DX10" s="337"/>
      <c r="DY10" s="337"/>
      <c r="DZ10" s="337"/>
      <c r="EA10" s="337"/>
      <c r="EB10" s="337"/>
      <c r="EC10" s="337"/>
      <c r="ED10" s="337"/>
      <c r="EE10" s="337"/>
      <c r="EF10" s="337"/>
      <c r="EG10" s="337"/>
      <c r="EH10" s="337"/>
      <c r="EI10" s="337"/>
      <c r="EJ10" s="337"/>
      <c r="EK10" s="337"/>
      <c r="EL10" s="337"/>
      <c r="EM10" s="337"/>
      <c r="EN10" s="337"/>
      <c r="EO10" s="337"/>
      <c r="EP10" s="337"/>
      <c r="EQ10" s="337"/>
      <c r="ER10" s="337"/>
      <c r="ES10" s="337"/>
      <c r="ET10" s="337"/>
      <c r="EU10" s="337"/>
      <c r="EV10" s="337"/>
      <c r="EW10" s="337"/>
      <c r="EX10" s="337"/>
      <c r="EY10" s="337"/>
      <c r="EZ10" s="337"/>
      <c r="FA10" s="337"/>
      <c r="FB10" s="337"/>
      <c r="FC10" s="337"/>
      <c r="FD10" s="337"/>
      <c r="FE10" s="337"/>
      <c r="FF10" s="337"/>
      <c r="FG10" s="337"/>
      <c r="FH10" s="337"/>
      <c r="FI10" s="337"/>
      <c r="FJ10" s="337"/>
      <c r="FK10" s="337"/>
      <c r="FL10" s="337"/>
      <c r="FM10" s="337"/>
      <c r="FN10" s="337"/>
      <c r="FO10" s="337"/>
      <c r="FP10" s="337"/>
      <c r="FQ10" s="337"/>
      <c r="FR10" s="337"/>
      <c r="FS10" s="337"/>
      <c r="FT10" s="337"/>
      <c r="FU10" s="337"/>
      <c r="FV10" s="337"/>
      <c r="FW10" s="337"/>
      <c r="FX10" s="337"/>
      <c r="FY10" s="337"/>
      <c r="FZ10" s="337"/>
      <c r="GA10" s="337"/>
      <c r="GB10" s="337"/>
      <c r="GC10" s="337"/>
      <c r="GD10" s="337"/>
      <c r="GE10" s="337"/>
      <c r="GF10" s="337"/>
      <c r="GG10" s="337"/>
      <c r="GH10" s="337"/>
      <c r="GI10" s="337"/>
      <c r="GJ10" s="337"/>
      <c r="GK10" s="337"/>
      <c r="GL10" s="337"/>
      <c r="GM10" s="337"/>
      <c r="GN10" s="337"/>
      <c r="GO10" s="337"/>
      <c r="GP10" s="337"/>
      <c r="GQ10" s="337"/>
      <c r="GR10" s="337"/>
      <c r="GS10" s="337"/>
      <c r="GT10" s="337"/>
      <c r="GU10" s="337"/>
      <c r="GV10" s="337"/>
      <c r="GW10" s="337"/>
      <c r="GX10" s="337"/>
      <c r="GY10" s="337"/>
      <c r="GZ10" s="337"/>
      <c r="HA10" s="337"/>
      <c r="HB10" s="337"/>
      <c r="HC10" s="337"/>
      <c r="HD10" s="337"/>
      <c r="HE10" s="337"/>
      <c r="HF10" s="337"/>
      <c r="HG10" s="337"/>
      <c r="HH10" s="337"/>
      <c r="HI10" s="337"/>
      <c r="HJ10" s="337"/>
      <c r="HK10" s="337"/>
      <c r="HL10" s="337"/>
      <c r="HM10" s="337"/>
      <c r="HN10" s="337"/>
      <c r="HO10" s="337"/>
      <c r="HP10" s="337"/>
      <c r="HQ10" s="337"/>
      <c r="HR10" s="337"/>
      <c r="HS10" s="337"/>
      <c r="HT10" s="337"/>
      <c r="HU10" s="337"/>
      <c r="HV10" s="337"/>
      <c r="HW10" s="337"/>
      <c r="HX10" s="337"/>
      <c r="HY10" s="337"/>
      <c r="HZ10" s="337"/>
      <c r="IA10" s="337"/>
      <c r="IB10" s="337"/>
      <c r="IC10" s="337"/>
      <c r="ID10" s="337"/>
      <c r="IE10" s="337"/>
      <c r="IF10" s="337"/>
      <c r="IG10" s="337"/>
      <c r="IH10" s="337"/>
      <c r="II10" s="337"/>
      <c r="IJ10" s="337"/>
      <c r="IK10" s="337"/>
      <c r="IL10" s="337"/>
      <c r="IM10" s="337"/>
      <c r="IN10" s="337"/>
      <c r="IO10" s="337"/>
      <c r="IP10" s="337"/>
      <c r="IQ10" s="337"/>
      <c r="IR10" s="337"/>
      <c r="IS10" s="337"/>
      <c r="IT10" s="337"/>
      <c r="IU10" s="337"/>
      <c r="IV10" s="337"/>
      <c r="IW10" s="337"/>
      <c r="IX10" s="337"/>
      <c r="IY10" s="337"/>
      <c r="IZ10" s="337"/>
      <c r="JA10" s="337"/>
      <c r="JB10" s="337"/>
      <c r="JC10" s="337"/>
      <c r="JD10" s="337"/>
      <c r="JE10" s="337"/>
      <c r="JF10" s="337"/>
      <c r="JG10" s="337"/>
      <c r="JH10" s="337"/>
      <c r="JI10" s="337"/>
      <c r="JJ10" s="337"/>
      <c r="JK10" s="337"/>
      <c r="JL10" s="337"/>
      <c r="JM10" s="337"/>
      <c r="JN10" s="337"/>
      <c r="JO10" s="337"/>
      <c r="JP10" s="337"/>
      <c r="JQ10" s="337"/>
      <c r="JR10" s="337"/>
      <c r="JS10" s="337"/>
      <c r="JT10" s="337"/>
      <c r="JU10" s="337"/>
      <c r="JV10" s="337"/>
      <c r="JW10" s="337"/>
      <c r="JX10" s="337"/>
      <c r="JY10" s="337"/>
      <c r="JZ10" s="337"/>
      <c r="KA10" s="337"/>
      <c r="KB10" s="337"/>
      <c r="KC10" s="337"/>
      <c r="KD10" s="337"/>
      <c r="KE10" s="337"/>
      <c r="KF10" s="337"/>
      <c r="KG10" s="337"/>
      <c r="KH10" s="337"/>
      <c r="KI10" s="337"/>
      <c r="KJ10" s="337"/>
      <c r="KK10" s="337"/>
      <c r="KL10" s="337"/>
      <c r="KM10" s="337"/>
      <c r="KN10" s="337"/>
      <c r="KO10" s="337"/>
      <c r="KP10" s="337"/>
      <c r="KQ10" s="337"/>
      <c r="KR10" s="337"/>
      <c r="KS10" s="337"/>
      <c r="KT10" s="337"/>
      <c r="KU10" s="337"/>
      <c r="KV10" s="337"/>
      <c r="KW10" s="337"/>
      <c r="KX10" s="337"/>
      <c r="KY10" s="337"/>
      <c r="KZ10" s="337"/>
      <c r="LA10" s="337"/>
      <c r="LB10" s="337"/>
      <c r="LC10" s="337"/>
      <c r="LD10" s="337"/>
      <c r="LE10" s="337"/>
      <c r="LF10" s="337"/>
      <c r="LG10" s="337"/>
      <c r="LH10" s="337"/>
      <c r="LI10" s="337"/>
      <c r="LJ10" s="337"/>
      <c r="LK10" s="337"/>
      <c r="LL10" s="337"/>
      <c r="LM10" s="337"/>
      <c r="LN10" s="337"/>
      <c r="LO10" s="337"/>
      <c r="LP10" s="337"/>
      <c r="LQ10" s="337"/>
      <c r="LR10" s="337"/>
      <c r="LS10" s="337"/>
      <c r="LT10" s="337"/>
      <c r="LU10" s="337"/>
      <c r="LV10" s="337"/>
      <c r="LW10" s="337"/>
      <c r="LX10" s="337"/>
      <c r="LY10" s="337"/>
      <c r="LZ10" s="337"/>
      <c r="MA10" s="337"/>
      <c r="MB10" s="337"/>
      <c r="MC10" s="337"/>
      <c r="MD10" s="337"/>
      <c r="ME10" s="337"/>
      <c r="MF10" s="337"/>
      <c r="MG10" s="337"/>
      <c r="MH10" s="337"/>
      <c r="MI10" s="337"/>
      <c r="MJ10" s="337"/>
      <c r="MK10" s="337"/>
      <c r="ML10" s="337"/>
      <c r="MM10" s="337"/>
      <c r="MN10" s="337"/>
      <c r="MO10" s="337"/>
      <c r="MP10" s="337"/>
      <c r="MQ10" s="337"/>
      <c r="MR10" s="337"/>
      <c r="MS10" s="337"/>
      <c r="MT10" s="337"/>
      <c r="MU10" s="337"/>
      <c r="MV10" s="337"/>
      <c r="MW10" s="337"/>
      <c r="MX10" s="337"/>
      <c r="MY10" s="337"/>
      <c r="MZ10" s="337"/>
      <c r="NA10" s="337"/>
      <c r="NB10" s="337"/>
      <c r="NC10" s="337"/>
      <c r="ND10" s="337"/>
      <c r="NE10" s="337"/>
      <c r="NF10" s="337"/>
      <c r="NG10" s="337"/>
      <c r="NH10" s="337"/>
      <c r="NI10" s="337"/>
      <c r="NJ10" s="337"/>
      <c r="NK10" s="337"/>
      <c r="NL10" s="337"/>
      <c r="NM10" s="337"/>
      <c r="NN10" s="337"/>
      <c r="NO10" s="337"/>
      <c r="NP10" s="337"/>
      <c r="NQ10" s="337"/>
      <c r="NR10" s="337"/>
      <c r="NS10" s="337"/>
      <c r="NT10" s="337"/>
      <c r="NU10" s="337"/>
      <c r="NV10" s="337"/>
      <c r="NW10" s="337"/>
      <c r="NX10" s="337"/>
      <c r="NY10" s="337"/>
      <c r="NZ10" s="337"/>
      <c r="OA10" s="337"/>
      <c r="OB10" s="337"/>
      <c r="OC10" s="337"/>
      <c r="OD10" s="337"/>
      <c r="OE10" s="337"/>
      <c r="OF10" s="337"/>
      <c r="OG10" s="337"/>
      <c r="OH10" s="337"/>
      <c r="OI10" s="337"/>
      <c r="OJ10" s="337"/>
      <c r="OK10" s="337"/>
      <c r="OL10" s="337"/>
      <c r="OM10" s="337"/>
      <c r="ON10" s="337"/>
      <c r="OO10" s="337"/>
      <c r="OP10" s="337"/>
      <c r="OQ10" s="337"/>
      <c r="OR10" s="337"/>
      <c r="OS10" s="337"/>
      <c r="OT10" s="337"/>
      <c r="OU10" s="337"/>
      <c r="OV10" s="337"/>
      <c r="OW10" s="337"/>
      <c r="OX10" s="337"/>
      <c r="OY10" s="337"/>
      <c r="OZ10" s="337"/>
      <c r="PA10" s="337"/>
      <c r="PB10" s="337"/>
      <c r="PC10" s="337"/>
      <c r="PD10" s="337"/>
      <c r="PE10" s="337"/>
      <c r="PF10" s="337"/>
      <c r="PG10" s="337"/>
      <c r="PH10" s="337"/>
      <c r="PI10" s="337"/>
      <c r="PJ10" s="337"/>
      <c r="PK10" s="337"/>
      <c r="PL10" s="337"/>
      <c r="PM10" s="337"/>
      <c r="PN10" s="337"/>
      <c r="PO10" s="337"/>
      <c r="PP10" s="337"/>
      <c r="PQ10" s="337"/>
      <c r="PR10" s="337"/>
      <c r="PS10" s="337"/>
      <c r="PT10" s="337"/>
      <c r="PU10" s="337"/>
      <c r="PV10" s="337"/>
      <c r="PW10" s="337"/>
      <c r="PX10" s="337"/>
      <c r="PY10" s="337"/>
      <c r="PZ10" s="337"/>
      <c r="QA10" s="337"/>
      <c r="QB10" s="337"/>
      <c r="QC10" s="337"/>
      <c r="QD10" s="337"/>
      <c r="QE10" s="337"/>
      <c r="QF10" s="337"/>
      <c r="QG10" s="337"/>
      <c r="QH10" s="337"/>
      <c r="QI10" s="337"/>
      <c r="QJ10" s="337"/>
      <c r="QK10" s="337"/>
      <c r="QL10" s="337"/>
      <c r="QM10" s="337"/>
      <c r="QN10" s="337"/>
      <c r="QO10" s="337"/>
      <c r="QP10" s="337"/>
      <c r="QQ10" s="337"/>
      <c r="QR10" s="337"/>
      <c r="QS10" s="337"/>
      <c r="QT10" s="337"/>
      <c r="QU10" s="337"/>
      <c r="QV10" s="337"/>
      <c r="QW10" s="337"/>
      <c r="QX10" s="337"/>
      <c r="QY10" s="337"/>
      <c r="QZ10" s="337"/>
      <c r="RA10" s="337"/>
      <c r="RB10" s="337"/>
      <c r="RC10" s="337"/>
      <c r="RD10" s="337"/>
      <c r="RE10" s="337"/>
      <c r="RF10" s="337"/>
      <c r="RG10" s="337"/>
      <c r="RH10" s="337"/>
      <c r="RI10" s="337"/>
      <c r="RJ10" s="337"/>
      <c r="RK10" s="337"/>
      <c r="RL10" s="337"/>
      <c r="RM10" s="337"/>
      <c r="RN10" s="337"/>
      <c r="RO10" s="337"/>
      <c r="RP10" s="337"/>
      <c r="RQ10" s="337"/>
      <c r="RR10" s="337"/>
      <c r="RS10" s="337"/>
      <c r="RT10" s="337"/>
      <c r="RU10" s="337"/>
      <c r="RV10" s="337"/>
      <c r="RW10" s="337"/>
      <c r="RX10" s="337"/>
      <c r="RY10" s="337"/>
      <c r="RZ10" s="337"/>
      <c r="SA10" s="337"/>
      <c r="SB10" s="337"/>
      <c r="SC10" s="337"/>
      <c r="SD10" s="337"/>
      <c r="SE10" s="337"/>
      <c r="SF10" s="337"/>
      <c r="SG10" s="337"/>
      <c r="SH10" s="337"/>
      <c r="SI10" s="337"/>
      <c r="SJ10" s="337"/>
      <c r="SK10" s="337"/>
      <c r="SL10" s="337"/>
      <c r="SM10" s="337"/>
      <c r="SN10" s="337"/>
      <c r="SO10" s="337"/>
      <c r="SP10" s="337"/>
      <c r="SQ10" s="337"/>
      <c r="SR10" s="337"/>
      <c r="SS10" s="337"/>
      <c r="ST10" s="337"/>
      <c r="SU10" s="337"/>
      <c r="SV10" s="337"/>
      <c r="SW10" s="337"/>
      <c r="SX10" s="337"/>
      <c r="SY10" s="337"/>
      <c r="SZ10" s="337"/>
      <c r="TA10" s="337"/>
      <c r="TB10" s="337"/>
      <c r="TC10" s="337"/>
      <c r="TD10" s="337"/>
      <c r="TE10" s="337"/>
      <c r="TF10" s="337"/>
      <c r="TG10" s="337"/>
      <c r="TH10" s="337"/>
      <c r="TI10" s="337"/>
      <c r="TJ10" s="337"/>
      <c r="TK10" s="337"/>
      <c r="TL10" s="337"/>
      <c r="TM10" s="337"/>
      <c r="TN10" s="337"/>
      <c r="TO10" s="337"/>
      <c r="TP10" s="337"/>
      <c r="TQ10" s="337"/>
      <c r="TR10" s="337"/>
      <c r="TS10" s="337"/>
      <c r="TT10" s="337"/>
      <c r="TU10" s="337"/>
      <c r="TV10" s="337"/>
      <c r="TW10" s="337"/>
      <c r="TX10" s="337"/>
      <c r="TY10" s="337"/>
      <c r="TZ10" s="337"/>
      <c r="UA10" s="337"/>
      <c r="UB10" s="337"/>
      <c r="UC10" s="337"/>
      <c r="UD10" s="337"/>
      <c r="UE10" s="337"/>
      <c r="UF10" s="337"/>
      <c r="UG10" s="337"/>
      <c r="UH10" s="337"/>
      <c r="UI10" s="337"/>
      <c r="UJ10" s="337"/>
      <c r="UK10" s="337"/>
      <c r="UL10" s="337"/>
      <c r="UM10" s="337"/>
      <c r="UN10" s="337"/>
      <c r="UO10" s="337"/>
      <c r="UP10" s="337"/>
      <c r="UQ10" s="337"/>
      <c r="UR10" s="337"/>
      <c r="US10" s="337"/>
      <c r="UT10" s="337"/>
      <c r="UU10" s="337"/>
      <c r="UV10" s="337"/>
      <c r="UW10" s="337"/>
      <c r="UX10" s="337"/>
      <c r="UY10" s="337"/>
      <c r="UZ10" s="337"/>
      <c r="VA10" s="337"/>
      <c r="VB10" s="337"/>
      <c r="VC10" s="337"/>
      <c r="VD10" s="337"/>
      <c r="VE10" s="337"/>
      <c r="VF10" s="337"/>
      <c r="VG10" s="337"/>
      <c r="VH10" s="337"/>
      <c r="VI10" s="337"/>
      <c r="VJ10" s="337"/>
      <c r="VK10" s="337"/>
      <c r="VL10" s="337"/>
      <c r="VM10" s="337"/>
      <c r="VN10" s="337"/>
      <c r="VO10" s="337"/>
      <c r="VP10" s="337"/>
      <c r="VQ10" s="337"/>
      <c r="VR10" s="337"/>
      <c r="VS10" s="337"/>
      <c r="VT10" s="337"/>
      <c r="VU10" s="337"/>
      <c r="VV10" s="337"/>
      <c r="VW10" s="337"/>
      <c r="VX10" s="337"/>
      <c r="VY10" s="337"/>
      <c r="VZ10" s="337"/>
      <c r="WA10" s="337"/>
      <c r="WB10" s="337"/>
      <c r="WC10" s="337"/>
      <c r="WD10" s="337"/>
      <c r="WE10" s="337"/>
      <c r="WF10" s="337"/>
      <c r="WG10" s="337"/>
      <c r="WH10" s="337"/>
      <c r="WI10" s="337"/>
      <c r="WJ10" s="337"/>
      <c r="WK10" s="337"/>
      <c r="WL10" s="337"/>
      <c r="WM10" s="337"/>
      <c r="WN10" s="337"/>
      <c r="WO10" s="337"/>
      <c r="WP10" s="337"/>
      <c r="WQ10" s="337"/>
      <c r="WR10" s="337"/>
      <c r="WS10" s="337"/>
      <c r="WT10" s="337"/>
      <c r="WU10" s="337"/>
      <c r="WV10" s="337"/>
      <c r="WW10" s="337"/>
      <c r="WX10" s="337"/>
      <c r="WY10" s="337"/>
      <c r="WZ10" s="337"/>
      <c r="XA10" s="337"/>
      <c r="XB10" s="337"/>
      <c r="XC10" s="337"/>
      <c r="XD10" s="337"/>
      <c r="XE10" s="337"/>
      <c r="XF10" s="337"/>
      <c r="XG10" s="337"/>
      <c r="XH10" s="337"/>
      <c r="XI10" s="337"/>
      <c r="XJ10" s="337"/>
      <c r="XK10" s="337"/>
      <c r="XL10" s="337"/>
      <c r="XM10" s="337"/>
      <c r="XN10" s="337"/>
      <c r="XO10" s="337"/>
      <c r="XP10" s="337"/>
      <c r="XQ10" s="337"/>
      <c r="XR10" s="337"/>
      <c r="XS10" s="337"/>
      <c r="XT10" s="337"/>
      <c r="XU10" s="337"/>
      <c r="XV10" s="337"/>
      <c r="XW10" s="337"/>
      <c r="XX10" s="337"/>
      <c r="XY10" s="337"/>
      <c r="XZ10" s="337"/>
      <c r="YA10" s="337"/>
      <c r="YB10" s="337"/>
      <c r="YC10" s="337"/>
      <c r="YD10" s="337"/>
      <c r="YE10" s="337"/>
      <c r="YF10" s="337"/>
      <c r="YG10" s="337"/>
      <c r="YH10" s="337"/>
      <c r="YI10" s="337"/>
      <c r="YJ10" s="337"/>
      <c r="YK10" s="337"/>
      <c r="YL10" s="337"/>
      <c r="YM10" s="337"/>
      <c r="YN10" s="337"/>
      <c r="YO10" s="337"/>
      <c r="YP10" s="337"/>
      <c r="YQ10" s="337"/>
      <c r="YR10" s="337"/>
      <c r="YS10" s="337"/>
      <c r="YT10" s="337"/>
      <c r="YU10" s="337"/>
      <c r="YV10" s="337"/>
      <c r="YW10" s="337"/>
      <c r="YX10" s="337"/>
      <c r="YY10" s="337"/>
      <c r="YZ10" s="337"/>
      <c r="ZA10" s="337"/>
      <c r="ZB10" s="337"/>
      <c r="ZC10" s="337"/>
      <c r="ZD10" s="337"/>
      <c r="ZE10" s="337"/>
      <c r="ZF10" s="337"/>
      <c r="ZG10" s="337"/>
      <c r="ZH10" s="337"/>
      <c r="ZI10" s="337"/>
      <c r="ZJ10" s="337"/>
      <c r="ZK10" s="337"/>
      <c r="ZL10" s="337"/>
      <c r="ZM10" s="337"/>
      <c r="ZN10" s="337"/>
      <c r="ZO10" s="337"/>
      <c r="ZP10" s="337"/>
      <c r="ZQ10" s="337"/>
      <c r="ZR10" s="337"/>
      <c r="ZS10" s="337"/>
      <c r="ZT10" s="337"/>
      <c r="ZU10" s="337"/>
      <c r="ZV10" s="337"/>
      <c r="ZW10" s="337"/>
      <c r="ZX10" s="337"/>
      <c r="ZY10" s="337"/>
      <c r="ZZ10" s="337"/>
      <c r="AAA10" s="337"/>
      <c r="AAB10" s="337"/>
      <c r="AAC10" s="337"/>
      <c r="AAD10" s="337"/>
      <c r="AAE10" s="337"/>
      <c r="AAF10" s="337"/>
      <c r="AAG10" s="337"/>
      <c r="AAH10" s="337"/>
      <c r="AAI10" s="337"/>
      <c r="AAJ10" s="337"/>
      <c r="AAK10" s="337"/>
      <c r="AAL10" s="337"/>
      <c r="AAM10" s="337"/>
      <c r="AAN10" s="337"/>
      <c r="AAO10" s="337"/>
      <c r="AAP10" s="337"/>
      <c r="AAQ10" s="337"/>
      <c r="AAR10" s="337"/>
      <c r="AAS10" s="337"/>
      <c r="AAT10" s="337"/>
      <c r="AAU10" s="337"/>
      <c r="AAV10" s="337"/>
      <c r="AAW10" s="337"/>
      <c r="AAX10" s="337"/>
      <c r="AAY10" s="337"/>
      <c r="AAZ10" s="337"/>
      <c r="ABA10" s="337"/>
      <c r="ABB10" s="337"/>
      <c r="ABC10" s="337"/>
      <c r="ABD10" s="337"/>
      <c r="ABE10" s="337"/>
      <c r="ABF10" s="337"/>
      <c r="ABG10" s="337"/>
      <c r="ABH10" s="337"/>
      <c r="ABI10" s="337"/>
      <c r="ABJ10" s="337"/>
      <c r="ABK10" s="337"/>
      <c r="ABL10" s="337"/>
      <c r="ABM10" s="337"/>
      <c r="ABN10" s="337"/>
      <c r="ABO10" s="337"/>
      <c r="ABP10" s="337"/>
      <c r="ABQ10" s="337"/>
      <c r="ABR10" s="337"/>
      <c r="ABS10" s="337"/>
      <c r="ABT10" s="337"/>
      <c r="ABU10" s="337"/>
      <c r="ABV10" s="337"/>
      <c r="ABW10" s="337"/>
      <c r="ABX10" s="337"/>
      <c r="ABY10" s="337"/>
      <c r="ABZ10" s="337"/>
      <c r="ACA10" s="337"/>
      <c r="ACB10" s="337"/>
      <c r="ACC10" s="337"/>
      <c r="ACD10" s="337"/>
      <c r="ACE10" s="337"/>
      <c r="ACF10" s="337"/>
      <c r="ACG10" s="337"/>
      <c r="ACH10" s="337"/>
      <c r="ACI10" s="337"/>
      <c r="ACJ10" s="337"/>
      <c r="ACK10" s="337"/>
      <c r="ACL10" s="337"/>
      <c r="ACM10" s="337"/>
      <c r="ACN10" s="337"/>
      <c r="ACO10" s="337"/>
      <c r="ACP10" s="337"/>
      <c r="ACQ10" s="337"/>
      <c r="ACR10" s="337"/>
      <c r="ACS10" s="337"/>
      <c r="ACT10" s="337"/>
      <c r="ACU10" s="337"/>
      <c r="ACV10" s="337"/>
      <c r="ACW10" s="337"/>
      <c r="ACX10" s="337"/>
      <c r="ACY10" s="337"/>
      <c r="ACZ10" s="337"/>
      <c r="ADA10" s="337"/>
      <c r="ADB10" s="337"/>
      <c r="ADC10" s="337"/>
      <c r="ADD10" s="337"/>
      <c r="ADE10" s="337"/>
      <c r="ADF10" s="337"/>
      <c r="ADG10" s="337"/>
      <c r="ADH10" s="337"/>
      <c r="ADI10" s="337"/>
      <c r="ADJ10" s="337"/>
      <c r="ADK10" s="337"/>
      <c r="ADL10" s="337"/>
      <c r="ADM10" s="337"/>
      <c r="ADN10" s="337"/>
      <c r="ADO10" s="337"/>
      <c r="ADP10" s="337"/>
      <c r="ADQ10" s="337"/>
      <c r="ADR10" s="337"/>
      <c r="ADS10" s="337"/>
      <c r="ADT10" s="337"/>
      <c r="ADU10" s="337"/>
      <c r="ADV10" s="337"/>
      <c r="ADW10" s="337"/>
      <c r="ADX10" s="337"/>
      <c r="ADY10" s="337"/>
      <c r="ADZ10" s="337"/>
      <c r="AEA10" s="337"/>
      <c r="AEB10" s="337"/>
      <c r="AEC10" s="337"/>
      <c r="AED10" s="337"/>
      <c r="AEE10" s="337"/>
      <c r="AEF10" s="337"/>
      <c r="AEG10" s="337"/>
      <c r="AEH10" s="337"/>
      <c r="AEI10" s="337"/>
      <c r="AEJ10" s="337"/>
      <c r="AEK10" s="337"/>
      <c r="AEL10" s="337"/>
      <c r="AEM10" s="337"/>
      <c r="AEN10" s="337"/>
      <c r="AEO10" s="337"/>
      <c r="AEP10" s="337"/>
      <c r="AEQ10" s="337"/>
      <c r="AER10" s="337"/>
      <c r="AES10" s="337"/>
      <c r="AET10" s="337"/>
      <c r="AEU10" s="337"/>
      <c r="AEV10" s="337"/>
      <c r="AEW10" s="337"/>
      <c r="AEX10" s="337"/>
      <c r="AEY10" s="337"/>
      <c r="AEZ10" s="337"/>
      <c r="AFA10" s="337"/>
      <c r="AFB10" s="337"/>
      <c r="AFC10" s="337"/>
      <c r="AFD10" s="337"/>
      <c r="AFE10" s="337"/>
      <c r="AFF10" s="337"/>
      <c r="AFG10" s="337"/>
      <c r="AFH10" s="337"/>
      <c r="AFI10" s="337"/>
      <c r="AFJ10" s="337"/>
      <c r="AFK10" s="337"/>
      <c r="AFL10" s="337"/>
      <c r="AFM10" s="337"/>
      <c r="AFN10" s="337"/>
      <c r="AFO10" s="337"/>
      <c r="AFP10" s="337"/>
      <c r="AFQ10" s="337"/>
      <c r="AFR10" s="337"/>
      <c r="AFS10" s="337"/>
      <c r="AFT10" s="337"/>
      <c r="AFU10" s="337"/>
      <c r="AFV10" s="337"/>
      <c r="AFW10" s="337"/>
      <c r="AFX10" s="337"/>
      <c r="AFY10" s="337"/>
      <c r="AFZ10" s="337"/>
      <c r="AGA10" s="337"/>
      <c r="AGB10" s="337"/>
      <c r="AGC10" s="337"/>
      <c r="AGD10" s="337"/>
      <c r="AGE10" s="337"/>
      <c r="AGF10" s="337"/>
      <c r="AGG10" s="337"/>
      <c r="AGH10" s="337"/>
      <c r="AGI10" s="337"/>
      <c r="AGJ10" s="337"/>
      <c r="AGK10" s="337"/>
      <c r="AGL10" s="337"/>
      <c r="AGM10" s="337"/>
      <c r="AGN10" s="337"/>
      <c r="AGO10" s="337"/>
      <c r="AGP10" s="337"/>
      <c r="AGQ10" s="337"/>
      <c r="AGR10" s="337"/>
      <c r="AGS10" s="337"/>
      <c r="AGT10" s="337"/>
      <c r="AGU10" s="337"/>
      <c r="AGV10" s="337"/>
      <c r="AGW10" s="337"/>
      <c r="AGX10" s="337"/>
      <c r="AGY10" s="337"/>
      <c r="AGZ10" s="337"/>
      <c r="AHA10" s="337"/>
      <c r="AHB10" s="337"/>
      <c r="AHC10" s="337"/>
      <c r="AHD10" s="337"/>
      <c r="AHE10" s="337"/>
      <c r="AHF10" s="337"/>
      <c r="AHG10" s="337"/>
      <c r="AHH10" s="337"/>
      <c r="AHI10" s="337"/>
      <c r="AHJ10" s="337"/>
      <c r="AHK10" s="337"/>
      <c r="AHL10" s="337"/>
      <c r="AHM10" s="337"/>
      <c r="AHN10" s="337"/>
      <c r="AHO10" s="337"/>
      <c r="AHP10" s="337"/>
      <c r="AHQ10" s="337"/>
      <c r="AHR10" s="337"/>
      <c r="AHS10" s="337"/>
      <c r="AHT10" s="337"/>
      <c r="AHU10" s="337"/>
      <c r="AHV10" s="337"/>
      <c r="AHW10" s="337"/>
      <c r="AHX10" s="337"/>
      <c r="AHY10" s="337"/>
      <c r="AHZ10" s="337"/>
      <c r="AIA10" s="337"/>
      <c r="AIB10" s="337"/>
      <c r="AIC10" s="337"/>
      <c r="AID10" s="337"/>
      <c r="AIE10" s="337"/>
      <c r="AIF10" s="337"/>
      <c r="AIG10" s="337"/>
      <c r="AIH10" s="337"/>
      <c r="AII10" s="337"/>
      <c r="AIJ10" s="337"/>
      <c r="AIK10" s="337"/>
      <c r="AIL10" s="337"/>
      <c r="AIM10" s="337"/>
      <c r="AIN10" s="337"/>
      <c r="AIO10" s="337"/>
      <c r="AIP10" s="337"/>
      <c r="AIQ10" s="337"/>
      <c r="AIR10" s="337"/>
      <c r="AIS10" s="337"/>
      <c r="AIT10" s="337"/>
      <c r="AIU10" s="337"/>
      <c r="AIV10" s="337"/>
      <c r="AIW10" s="337"/>
      <c r="AIX10" s="337"/>
      <c r="AIY10" s="337"/>
      <c r="AIZ10" s="337"/>
      <c r="AJA10" s="337"/>
      <c r="AJB10" s="337"/>
      <c r="AJC10" s="337"/>
      <c r="AJD10" s="337"/>
      <c r="AJE10" s="337"/>
      <c r="AJF10" s="337"/>
      <c r="AJG10" s="337"/>
      <c r="AJH10" s="337"/>
      <c r="AJI10" s="337"/>
      <c r="AJJ10" s="337"/>
      <c r="AJK10" s="337"/>
      <c r="AJL10" s="337"/>
      <c r="AJM10" s="337"/>
      <c r="AJN10" s="337"/>
      <c r="AJO10" s="337"/>
      <c r="AJP10" s="337"/>
      <c r="AJQ10" s="337"/>
      <c r="AJR10" s="337"/>
      <c r="AJS10" s="337"/>
      <c r="AJT10" s="337"/>
      <c r="AJU10" s="337"/>
      <c r="AJV10" s="337"/>
      <c r="AJW10" s="337"/>
      <c r="AJX10" s="337"/>
      <c r="AJY10" s="337"/>
      <c r="AJZ10" s="337"/>
      <c r="AKA10" s="337"/>
      <c r="AKB10" s="337"/>
      <c r="AKC10" s="337"/>
      <c r="AKD10" s="337"/>
      <c r="AKE10" s="337"/>
      <c r="AKF10" s="337"/>
      <c r="AKG10" s="337"/>
      <c r="AKH10" s="337"/>
      <c r="AKI10" s="337"/>
      <c r="AKJ10" s="337"/>
      <c r="AKK10" s="337"/>
      <c r="AKL10" s="337"/>
      <c r="AKM10" s="337"/>
      <c r="AKN10" s="337"/>
      <c r="AKO10" s="337"/>
      <c r="AKP10" s="337"/>
      <c r="AKQ10" s="337"/>
      <c r="AKR10" s="337"/>
      <c r="AKS10" s="337"/>
      <c r="AKT10" s="337"/>
      <c r="AKU10" s="337"/>
      <c r="AKV10" s="337"/>
      <c r="AKW10" s="337"/>
      <c r="AKX10" s="337"/>
      <c r="AKY10" s="337"/>
      <c r="AKZ10" s="337"/>
      <c r="ALA10" s="337"/>
      <c r="ALB10" s="337"/>
      <c r="ALC10" s="337"/>
      <c r="ALD10" s="337"/>
      <c r="ALE10" s="337"/>
      <c r="ALF10" s="337"/>
      <c r="ALG10" s="337"/>
      <c r="ALH10" s="337"/>
      <c r="ALI10" s="337"/>
      <c r="ALJ10" s="337"/>
      <c r="ALK10" s="337"/>
      <c r="ALL10" s="337"/>
      <c r="ALM10" s="337"/>
      <c r="ALN10" s="337"/>
      <c r="ALO10" s="337"/>
      <c r="ALP10" s="337"/>
      <c r="ALQ10" s="337"/>
      <c r="ALR10" s="337"/>
      <c r="ALS10" s="337"/>
      <c r="ALT10" s="337"/>
      <c r="ALU10" s="337"/>
      <c r="ALV10" s="337"/>
      <c r="ALW10" s="337"/>
      <c r="ALX10" s="337"/>
      <c r="ALY10" s="337"/>
      <c r="ALZ10" s="337"/>
      <c r="AMA10" s="337"/>
      <c r="AMB10" s="337"/>
      <c r="AMC10" s="337"/>
      <c r="AMD10" s="337"/>
      <c r="AME10" s="337"/>
      <c r="AMF10" s="337"/>
      <c r="AMG10" s="337"/>
      <c r="AMH10" s="337"/>
      <c r="AMI10" s="337"/>
    </row>
    <row r="11" ht="17.4" customHeight="1" spans="1:10" x14ac:dyDescent="0.25">
      <c r="A11" s="145"/>
      <c r="B11" s="351" t="s">
        <v>833</v>
      </c>
      <c r="C11" s="351"/>
      <c r="D11" s="351"/>
      <c r="E11" s="351"/>
      <c r="F11" s="351"/>
      <c r="G11" s="351"/>
      <c r="H11" s="351"/>
      <c r="I11" s="351"/>
      <c r="J11" s="351"/>
    </row>
    <row r="12" ht="17.5" customHeight="1" spans="1:10" x14ac:dyDescent="0.25">
      <c r="A12" s="145" t="s">
        <v>1025</v>
      </c>
      <c r="B12" s="392">
        <v>0</v>
      </c>
      <c r="C12" s="393"/>
      <c r="D12" s="369">
        <v>0</v>
      </c>
      <c r="E12" s="369">
        <v>0</v>
      </c>
      <c r="F12" s="369">
        <v>0</v>
      </c>
      <c r="G12" s="369">
        <v>0</v>
      </c>
      <c r="H12" s="369">
        <v>0</v>
      </c>
      <c r="I12" s="369">
        <v>0</v>
      </c>
      <c r="J12" s="354"/>
    </row>
    <row r="13" ht="17.5" customHeight="1" spans="1:10" x14ac:dyDescent="0.25">
      <c r="A13" s="145" t="s">
        <v>1026</v>
      </c>
      <c r="B13" s="392">
        <v>0.2</v>
      </c>
      <c r="C13" s="394"/>
      <c r="D13" s="369">
        <v>0</v>
      </c>
      <c r="E13" s="369">
        <v>0</v>
      </c>
      <c r="F13" s="369">
        <v>0</v>
      </c>
      <c r="G13" s="369">
        <v>0</v>
      </c>
      <c r="H13" s="369">
        <v>0</v>
      </c>
      <c r="I13" s="369">
        <v>0</v>
      </c>
      <c r="J13" s="369">
        <v>0</v>
      </c>
    </row>
    <row r="14" ht="17.5" customHeight="1" spans="1:10" x14ac:dyDescent="0.25">
      <c r="A14" s="145" t="s">
        <v>1027</v>
      </c>
      <c r="B14" s="392">
        <v>0.5</v>
      </c>
      <c r="C14" s="361"/>
      <c r="D14" s="369">
        <v>0</v>
      </c>
      <c r="E14" s="369">
        <v>0</v>
      </c>
      <c r="F14" s="369">
        <v>0</v>
      </c>
      <c r="G14" s="369">
        <v>0</v>
      </c>
      <c r="H14" s="369">
        <v>0</v>
      </c>
      <c r="I14" s="369">
        <v>0</v>
      </c>
      <c r="J14" s="369">
        <v>0</v>
      </c>
    </row>
    <row r="15" ht="17.5" customHeight="1" spans="1:10" x14ac:dyDescent="0.25">
      <c r="A15" s="145" t="s">
        <v>1028</v>
      </c>
      <c r="B15" s="352">
        <v>0.75</v>
      </c>
      <c r="C15" s="369">
        <v>19978</v>
      </c>
      <c r="D15" s="369">
        <v>0</v>
      </c>
      <c r="E15" s="369">
        <v>0</v>
      </c>
      <c r="F15" s="369">
        <v>0</v>
      </c>
      <c r="G15" s="369">
        <v>0</v>
      </c>
      <c r="H15" s="369">
        <v>0</v>
      </c>
      <c r="I15" s="369">
        <f t="shared" ref="I15:I17" si="0">H15+G15+F15+E15+D15+C15</f>
        <v>19978</v>
      </c>
      <c r="J15" s="369">
        <f>I15*B15</f>
        <v>14983.5</v>
      </c>
    </row>
    <row r="16" ht="17.5" customHeight="1" spans="1:10" x14ac:dyDescent="0.25">
      <c r="A16" s="145" t="s">
        <v>1029</v>
      </c>
      <c r="B16" s="352">
        <v>1</v>
      </c>
      <c r="C16" s="369">
        <v>0</v>
      </c>
      <c r="D16" s="369">
        <v>0</v>
      </c>
      <c r="E16" s="369">
        <v>0</v>
      </c>
      <c r="F16" s="369">
        <v>0</v>
      </c>
      <c r="G16" s="369">
        <v>0</v>
      </c>
      <c r="H16" s="369">
        <v>0</v>
      </c>
      <c r="I16" s="369">
        <f t="shared" si="0"/>
        <v>0</v>
      </c>
      <c r="J16" s="369">
        <f>I16*B16</f>
        <v>0</v>
      </c>
    </row>
    <row r="17" ht="17.5" customHeight="1" spans="1:10" x14ac:dyDescent="0.25">
      <c r="A17" s="145" t="s">
        <v>1030</v>
      </c>
      <c r="B17" s="352">
        <v>1.5</v>
      </c>
      <c r="C17" s="369">
        <v>0</v>
      </c>
      <c r="D17" s="369">
        <v>0</v>
      </c>
      <c r="E17" s="369">
        <v>0</v>
      </c>
      <c r="F17" s="369">
        <v>0</v>
      </c>
      <c r="G17" s="369">
        <v>0</v>
      </c>
      <c r="H17" s="369">
        <v>0</v>
      </c>
      <c r="I17" s="369">
        <f t="shared" si="0"/>
        <v>0</v>
      </c>
      <c r="J17" s="369">
        <f>I17*B17</f>
        <v>0</v>
      </c>
    </row>
    <row r="18" ht="18" customHeight="1" spans="1:10" s="337" customFormat="1" x14ac:dyDescent="0.25">
      <c r="A18" s="145" t="s">
        <v>1031</v>
      </c>
      <c r="B18" s="57" t="s">
        <v>520</v>
      </c>
      <c r="C18" s="369">
        <f>C12+C13+C14+C15+C16+C17</f>
        <v>19978</v>
      </c>
      <c r="D18" s="369">
        <f t="shared" ref="D18:J18" si="1">D12+D13+D14+D15+D16+D17</f>
        <v>0</v>
      </c>
      <c r="E18" s="369">
        <f t="shared" si="1"/>
        <v>0</v>
      </c>
      <c r="F18" s="369">
        <f t="shared" si="1"/>
        <v>0</v>
      </c>
      <c r="G18" s="369">
        <f t="shared" si="1"/>
        <v>0</v>
      </c>
      <c r="H18" s="369">
        <f t="shared" si="1"/>
        <v>0</v>
      </c>
      <c r="I18" s="369">
        <f t="shared" si="1"/>
        <v>19978</v>
      </c>
      <c r="J18" s="369">
        <f t="shared" si="1"/>
        <v>14983.5</v>
      </c>
    </row>
    <row r="19" ht="9" customHeight="1" spans="1:10" x14ac:dyDescent="0.25">
      <c r="A19" s="356"/>
      <c r="B19" s="356"/>
      <c r="C19" s="356"/>
      <c r="D19" s="356"/>
      <c r="E19" s="356"/>
      <c r="F19" s="356"/>
      <c r="G19" s="356"/>
      <c r="H19" s="356"/>
      <c r="I19" s="356"/>
      <c r="J19" s="356"/>
    </row>
    <row r="20" ht="18" customHeight="1" spans="1:10" x14ac:dyDescent="0.25">
      <c r="A20" s="357"/>
      <c r="B20" s="157" t="s">
        <v>840</v>
      </c>
      <c r="C20" s="183"/>
      <c r="D20" s="183"/>
      <c r="E20" s="183"/>
      <c r="F20" s="183"/>
      <c r="G20" s="183"/>
      <c r="H20" s="183"/>
      <c r="I20" s="183"/>
      <c r="J20" s="358"/>
    </row>
    <row r="21" ht="17.5" customHeight="1" spans="1:10" x14ac:dyDescent="0.25">
      <c r="A21" s="145" t="s">
        <v>1032</v>
      </c>
      <c r="B21" s="392">
        <v>0</v>
      </c>
      <c r="C21" s="393"/>
      <c r="D21" s="369">
        <v>0</v>
      </c>
      <c r="E21" s="369">
        <v>0</v>
      </c>
      <c r="F21" s="369">
        <v>0</v>
      </c>
      <c r="G21" s="369">
        <v>0</v>
      </c>
      <c r="H21" s="369">
        <v>0</v>
      </c>
      <c r="I21" s="369">
        <v>0</v>
      </c>
      <c r="J21" s="354"/>
    </row>
    <row r="22" ht="17.5" customHeight="1" spans="1:10" x14ac:dyDescent="0.25">
      <c r="A22" s="145" t="s">
        <v>1033</v>
      </c>
      <c r="B22" s="392">
        <v>0.2</v>
      </c>
      <c r="C22" s="394"/>
      <c r="D22" s="369">
        <v>0</v>
      </c>
      <c r="E22" s="369">
        <v>0</v>
      </c>
      <c r="F22" s="369">
        <v>0</v>
      </c>
      <c r="G22" s="369">
        <v>0</v>
      </c>
      <c r="H22" s="369">
        <v>0</v>
      </c>
      <c r="I22" s="369">
        <v>0</v>
      </c>
      <c r="J22" s="369">
        <v>0</v>
      </c>
    </row>
    <row r="23" ht="17.5" customHeight="1" spans="1:10" x14ac:dyDescent="0.25">
      <c r="A23" s="145" t="s">
        <v>1034</v>
      </c>
      <c r="B23" s="392">
        <v>0.5</v>
      </c>
      <c r="C23" s="361"/>
      <c r="D23" s="369">
        <v>0</v>
      </c>
      <c r="E23" s="369">
        <v>0</v>
      </c>
      <c r="F23" s="369">
        <v>0</v>
      </c>
      <c r="G23" s="369">
        <v>0</v>
      </c>
      <c r="H23" s="369">
        <v>0</v>
      </c>
      <c r="I23" s="369">
        <v>0</v>
      </c>
      <c r="J23" s="369">
        <v>0</v>
      </c>
    </row>
    <row r="24" ht="17.5" customHeight="1" spans="1:10" x14ac:dyDescent="0.25">
      <c r="A24" s="145" t="s">
        <v>1035</v>
      </c>
      <c r="B24" s="352">
        <v>0.75</v>
      </c>
      <c r="C24" s="369">
        <v>0</v>
      </c>
      <c r="D24" s="369">
        <v>0</v>
      </c>
      <c r="E24" s="369">
        <v>0</v>
      </c>
      <c r="F24" s="369">
        <v>0</v>
      </c>
      <c r="G24" s="369">
        <v>0</v>
      </c>
      <c r="H24" s="369">
        <v>0</v>
      </c>
      <c r="I24" s="369">
        <v>0</v>
      </c>
      <c r="J24" s="369">
        <v>0</v>
      </c>
    </row>
    <row r="25" ht="17.5" customHeight="1" spans="1:10" x14ac:dyDescent="0.25">
      <c r="A25" s="145" t="s">
        <v>1036</v>
      </c>
      <c r="B25" s="352">
        <v>1</v>
      </c>
      <c r="C25" s="369">
        <v>0</v>
      </c>
      <c r="D25" s="369">
        <v>0</v>
      </c>
      <c r="E25" s="369">
        <v>0</v>
      </c>
      <c r="F25" s="369">
        <v>0</v>
      </c>
      <c r="G25" s="369">
        <v>0</v>
      </c>
      <c r="H25" s="369">
        <v>0</v>
      </c>
      <c r="I25" s="369">
        <v>0</v>
      </c>
      <c r="J25" s="369">
        <v>0</v>
      </c>
    </row>
    <row r="26" ht="17.5" customHeight="1" spans="1:10" x14ac:dyDescent="0.25">
      <c r="A26" s="145" t="s">
        <v>1037</v>
      </c>
      <c r="B26" s="352">
        <v>1.5</v>
      </c>
      <c r="C26" s="369">
        <v>0</v>
      </c>
      <c r="D26" s="369">
        <v>0</v>
      </c>
      <c r="E26" s="369">
        <v>0</v>
      </c>
      <c r="F26" s="369">
        <v>0</v>
      </c>
      <c r="G26" s="369">
        <v>0</v>
      </c>
      <c r="H26" s="369">
        <v>0</v>
      </c>
      <c r="I26" s="369">
        <v>0</v>
      </c>
      <c r="J26" s="369">
        <v>0</v>
      </c>
    </row>
    <row r="27" ht="18" customHeight="1" spans="1:10" s="337" customFormat="1" x14ac:dyDescent="0.25">
      <c r="A27" s="145" t="s">
        <v>1038</v>
      </c>
      <c r="B27" s="57" t="s">
        <v>520</v>
      </c>
      <c r="C27" s="369">
        <v>0</v>
      </c>
      <c r="D27" s="369">
        <v>0</v>
      </c>
      <c r="E27" s="369">
        <v>0</v>
      </c>
      <c r="F27" s="369">
        <v>0</v>
      </c>
      <c r="G27" s="369">
        <v>0</v>
      </c>
      <c r="H27" s="369">
        <v>0</v>
      </c>
      <c r="I27" s="369">
        <v>0</v>
      </c>
      <c r="J27" s="369">
        <v>0</v>
      </c>
    </row>
    <row r="28" ht="9" customHeight="1" spans="1:10" x14ac:dyDescent="0.25">
      <c r="A28" s="356"/>
      <c r="B28" s="356"/>
      <c r="C28" s="356"/>
      <c r="D28" s="356"/>
      <c r="E28" s="356"/>
      <c r="F28" s="356"/>
      <c r="G28" s="356"/>
      <c r="H28" s="356"/>
      <c r="I28" s="356"/>
      <c r="J28" s="356"/>
    </row>
    <row r="29" ht="18" customHeight="1" spans="1:10" x14ac:dyDescent="0.25">
      <c r="A29" s="357"/>
      <c r="B29" s="157" t="s">
        <v>847</v>
      </c>
      <c r="C29" s="183"/>
      <c r="D29" s="183"/>
      <c r="E29" s="183"/>
      <c r="F29" s="183"/>
      <c r="G29" s="183"/>
      <c r="H29" s="183"/>
      <c r="I29" s="183"/>
      <c r="J29" s="358"/>
    </row>
    <row r="30" ht="17.5" customHeight="1" spans="1:10" x14ac:dyDescent="0.25">
      <c r="A30" s="145" t="s">
        <v>1039</v>
      </c>
      <c r="B30" s="392">
        <v>0</v>
      </c>
      <c r="C30" s="393"/>
      <c r="D30" s="369">
        <v>0</v>
      </c>
      <c r="E30" s="369">
        <v>0</v>
      </c>
      <c r="F30" s="369">
        <v>0</v>
      </c>
      <c r="G30" s="369">
        <v>0</v>
      </c>
      <c r="H30" s="369">
        <v>0</v>
      </c>
      <c r="I30" s="369">
        <v>0</v>
      </c>
      <c r="J30" s="354"/>
    </row>
    <row r="31" ht="17.5" customHeight="1" spans="1:10" x14ac:dyDescent="0.25">
      <c r="A31" s="145" t="s">
        <v>1040</v>
      </c>
      <c r="B31" s="392">
        <v>0.2</v>
      </c>
      <c r="C31" s="394"/>
      <c r="D31" s="369">
        <v>0</v>
      </c>
      <c r="E31" s="369">
        <v>0</v>
      </c>
      <c r="F31" s="369">
        <v>0</v>
      </c>
      <c r="G31" s="369">
        <v>0</v>
      </c>
      <c r="H31" s="369">
        <v>0</v>
      </c>
      <c r="I31" s="369">
        <v>0</v>
      </c>
      <c r="J31" s="369">
        <v>0</v>
      </c>
    </row>
    <row r="32" ht="17.5" customHeight="1" spans="1:10" x14ac:dyDescent="0.25">
      <c r="A32" s="145" t="s">
        <v>1041</v>
      </c>
      <c r="B32" s="392">
        <v>0.5</v>
      </c>
      <c r="C32" s="361"/>
      <c r="D32" s="369">
        <v>0</v>
      </c>
      <c r="E32" s="369">
        <v>0</v>
      </c>
      <c r="F32" s="369">
        <v>0</v>
      </c>
      <c r="G32" s="369">
        <v>0</v>
      </c>
      <c r="H32" s="369">
        <v>0</v>
      </c>
      <c r="I32" s="369">
        <v>0</v>
      </c>
      <c r="J32" s="369">
        <v>0</v>
      </c>
    </row>
    <row r="33" ht="17.5" customHeight="1" spans="1:10" x14ac:dyDescent="0.25">
      <c r="A33" s="145" t="s">
        <v>1042</v>
      </c>
      <c r="B33" s="352">
        <v>0.75</v>
      </c>
      <c r="C33" s="369">
        <f>'EP10'!N42</f>
        <v>2833.5</v>
      </c>
      <c r="D33" s="369">
        <v>0</v>
      </c>
      <c r="E33" s="369">
        <v>0</v>
      </c>
      <c r="F33" s="369">
        <v>0</v>
      </c>
      <c r="G33" s="369">
        <v>0</v>
      </c>
      <c r="H33" s="369">
        <v>0</v>
      </c>
      <c r="I33" s="369">
        <f t="shared" ref="I33:I35" si="2">H33+G33+F33+E33+D33+C33</f>
        <v>2833.5</v>
      </c>
      <c r="J33" s="369">
        <f>I33*B33</f>
        <v>2125.125</v>
      </c>
    </row>
    <row r="34" ht="17.5" customHeight="1" spans="1:10" x14ac:dyDescent="0.25">
      <c r="A34" s="145" t="s">
        <v>1043</v>
      </c>
      <c r="B34" s="352">
        <v>1</v>
      </c>
      <c r="C34" s="369">
        <v>0</v>
      </c>
      <c r="D34" s="369">
        <v>0</v>
      </c>
      <c r="E34" s="369">
        <v>0</v>
      </c>
      <c r="F34" s="369">
        <v>0</v>
      </c>
      <c r="G34" s="369">
        <v>0</v>
      </c>
      <c r="H34" s="369">
        <v>0</v>
      </c>
      <c r="I34" s="369">
        <f t="shared" si="2"/>
        <v>0</v>
      </c>
      <c r="J34" s="369">
        <f>I34*B34</f>
        <v>0</v>
      </c>
    </row>
    <row r="35" ht="17.5" customHeight="1" spans="1:10" x14ac:dyDescent="0.25">
      <c r="A35" s="145" t="s">
        <v>1044</v>
      </c>
      <c r="B35" s="352">
        <v>1.5</v>
      </c>
      <c r="C35" s="369">
        <v>0</v>
      </c>
      <c r="D35" s="369">
        <v>0</v>
      </c>
      <c r="E35" s="369">
        <v>0</v>
      </c>
      <c r="F35" s="369">
        <v>0</v>
      </c>
      <c r="G35" s="369">
        <v>0</v>
      </c>
      <c r="H35" s="369">
        <v>0</v>
      </c>
      <c r="I35" s="369">
        <f t="shared" si="2"/>
        <v>0</v>
      </c>
      <c r="J35" s="369">
        <f>I35*B35</f>
        <v>0</v>
      </c>
    </row>
    <row r="36" ht="18" customHeight="1" spans="1:10" s="337" customFormat="1" x14ac:dyDescent="0.25">
      <c r="A36" s="145" t="s">
        <v>1045</v>
      </c>
      <c r="B36" s="57" t="s">
        <v>520</v>
      </c>
      <c r="C36" s="369">
        <f>C30+C31+C32+C33+C34+C35</f>
        <v>2833.5</v>
      </c>
      <c r="D36" s="369">
        <f t="shared" ref="D36:J36" si="3">D30+D31+D32+D33+D34+D35</f>
        <v>0</v>
      </c>
      <c r="E36" s="369">
        <f t="shared" si="3"/>
        <v>0</v>
      </c>
      <c r="F36" s="369">
        <f t="shared" si="3"/>
        <v>0</v>
      </c>
      <c r="G36" s="369">
        <f t="shared" si="3"/>
        <v>0</v>
      </c>
      <c r="H36" s="369">
        <f t="shared" si="3"/>
        <v>0</v>
      </c>
      <c r="I36" s="369">
        <f t="shared" si="3"/>
        <v>2833.5</v>
      </c>
      <c r="J36" s="369">
        <f t="shared" si="3"/>
        <v>2125.125</v>
      </c>
    </row>
    <row r="37" ht="9" customHeight="1" spans="1:10" x14ac:dyDescent="0.25">
      <c r="A37" s="362"/>
      <c r="B37" s="362"/>
      <c r="C37" s="362"/>
      <c r="D37" s="362"/>
      <c r="E37" s="362"/>
      <c r="F37" s="362"/>
      <c r="G37" s="362"/>
      <c r="H37" s="362"/>
      <c r="I37" s="362"/>
      <c r="J37" s="362"/>
    </row>
    <row r="38" ht="18" customHeight="1" spans="1:10" s="337" customFormat="1" x14ac:dyDescent="0.25">
      <c r="A38" s="252" t="s">
        <v>663</v>
      </c>
      <c r="B38" s="363" t="s">
        <v>1046</v>
      </c>
      <c r="C38" s="369">
        <f>C18+C27+C36</f>
        <v>22811.5</v>
      </c>
      <c r="D38" s="369">
        <f t="shared" ref="D38:J38" si="4">D18+D27+D36</f>
        <v>0</v>
      </c>
      <c r="E38" s="369">
        <f t="shared" si="4"/>
        <v>0</v>
      </c>
      <c r="F38" s="369">
        <f t="shared" si="4"/>
        <v>0</v>
      </c>
      <c r="G38" s="369">
        <f t="shared" si="4"/>
        <v>0</v>
      </c>
      <c r="H38" s="369">
        <f t="shared" si="4"/>
        <v>0</v>
      </c>
      <c r="I38" s="369">
        <f t="shared" si="4"/>
        <v>22811.5</v>
      </c>
      <c r="J38" s="369">
        <f t="shared" si="4"/>
        <v>17108.625</v>
      </c>
    </row>
    <row r="39" ht="9" customHeight="1" spans="2:10" x14ac:dyDescent="0.25">
      <c r="B39" s="317"/>
      <c r="C39" s="317"/>
      <c r="D39" s="317"/>
      <c r="E39" s="317"/>
      <c r="F39" s="317"/>
      <c r="G39" s="317"/>
      <c r="H39" s="317"/>
      <c r="I39" s="317"/>
      <c r="J39" s="317"/>
    </row>
    <row r="40" ht="9" customHeight="1" spans="10:10" x14ac:dyDescent="0.25">
      <c r="J40" s="317"/>
    </row>
    <row r="41" ht="9" customHeight="1" spans="10:10" x14ac:dyDescent="0.25">
      <c r="J41" s="317"/>
    </row>
    <row r="42" ht="9" customHeight="1" spans="10:10" x14ac:dyDescent="0.25">
      <c r="J42" s="317"/>
    </row>
    <row r="43" ht="9" customHeight="1" spans="10:10" x14ac:dyDescent="0.25">
      <c r="J43" s="317"/>
    </row>
    <row r="44" ht="9" customHeight="1" spans="10:10" x14ac:dyDescent="0.25">
      <c r="J44" s="317"/>
    </row>
    <row r="45" ht="9" customHeight="1" spans="10:10" x14ac:dyDescent="0.25">
      <c r="J45" s="317"/>
    </row>
    <row r="46" ht="9" customHeight="1" spans="10:10" x14ac:dyDescent="0.25">
      <c r="J46" s="317"/>
    </row>
  </sheetData>
  <sheetProtection sheet="1" algorithmName="SHA-512" hashValue="/clAgPF929hIGTZl3aFq+0hM28VcoPgDlsaxiVCJRIsssfs+qIS8eWvorVe9tVayrErfSAeF2B7648WcQnXTzQ==" saltValue="RojzdMltkXTJkrTOF8LTVg==" spinCount="100000" objects="1" scenarios="1"/>
  <mergeCells count="11">
    <mergeCell ref="B1:I1"/>
    <mergeCell ref="D8:F8"/>
    <mergeCell ref="G8:H8"/>
    <mergeCell ref="A8:A9"/>
    <mergeCell ref="B8:B9"/>
    <mergeCell ref="J8:J9"/>
    <mergeCell ref="B11:J11"/>
    <mergeCell ref="A19:J19"/>
    <mergeCell ref="A28:J28"/>
    <mergeCell ref="A37:J37"/>
    <mergeCell ref="B39:J39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7" fitToWidth="1" fitToHeight="1" firstPageNumber="1" useFirstPageNumber="1" copies="1"/>
  <headerFooter>
    <oddFooter>&amp;R&amp;P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6"/>
  <sheetViews>
    <sheetView workbookViewId="0" zoomScale="50" zoomScaleNormal="70" view="pageBreakPreview">
      <selection activeCell="I23" sqref="I23"/>
    </sheetView>
  </sheetViews>
  <sheetFormatPr defaultRowHeight="15" outlineLevelRow="0" outlineLevelCol="0" x14ac:dyDescent="0" defaultColWidth="10"/>
  <cols>
    <col min="1" max="1" width="11.08984375" style="398" customWidth="1"/>
    <col min="2" max="2" width="132" style="276" customWidth="1"/>
    <col min="3" max="5" width="21.81640625" style="260" customWidth="1"/>
    <col min="6" max="16384" width="10" style="260" customWidth="1"/>
  </cols>
  <sheetData>
    <row r="1" ht="29.25" customHeight="1" spans="1:11" x14ac:dyDescent="0.25">
      <c r="A1" s="399" t="s">
        <v>1047</v>
      </c>
      <c r="B1" s="399"/>
      <c r="C1" s="399"/>
      <c r="D1" s="399"/>
      <c r="E1" s="400" t="s">
        <v>1048</v>
      </c>
      <c r="F1" s="401"/>
      <c r="G1" s="401"/>
      <c r="H1" s="401"/>
      <c r="J1" s="402"/>
      <c r="K1" s="402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5.5" customHeight="1" spans="2:11" x14ac:dyDescent="0.25">
      <c r="B7" s="403"/>
      <c r="C7" s="260"/>
      <c r="D7" s="260"/>
      <c r="E7" s="260"/>
      <c r="F7" s="260"/>
      <c r="G7" s="260"/>
      <c r="H7" s="260"/>
      <c r="I7" s="260"/>
      <c r="J7" s="260"/>
      <c r="K7" s="260"/>
    </row>
    <row r="8" ht="31" customHeight="1" spans="1:5" s="271" customFormat="1" x14ac:dyDescent="0.25">
      <c r="A8" s="404" t="s">
        <v>113</v>
      </c>
      <c r="B8" s="405" t="s">
        <v>145</v>
      </c>
      <c r="C8" s="275" t="s">
        <v>1024</v>
      </c>
      <c r="D8" s="285" t="s">
        <v>820</v>
      </c>
      <c r="E8" s="285" t="s">
        <v>825</v>
      </c>
    </row>
    <row r="9" ht="15.5" customHeight="1" spans="1:5" s="278" customFormat="1" x14ac:dyDescent="0.25">
      <c r="A9" s="406"/>
      <c r="B9" s="406"/>
      <c r="C9" s="275" t="s">
        <v>154</v>
      </c>
      <c r="D9" s="407" t="s">
        <v>157</v>
      </c>
      <c r="E9" s="275" t="s">
        <v>1049</v>
      </c>
    </row>
    <row r="10" ht="33" customHeight="1" spans="1:5" s="408" customFormat="1" x14ac:dyDescent="0.25">
      <c r="A10" s="252" t="s">
        <v>1050</v>
      </c>
      <c r="B10" s="253" t="s">
        <v>1051</v>
      </c>
      <c r="C10" s="112">
        <v>-3286</v>
      </c>
      <c r="D10" s="409">
        <v>0</v>
      </c>
      <c r="E10" s="112">
        <f t="shared" ref="E10:E26" si="0">C10*D10</f>
        <v>0</v>
      </c>
    </row>
    <row r="11" ht="33" customHeight="1" spans="1:5" s="408" customFormat="1" x14ac:dyDescent="0.25">
      <c r="A11" s="252" t="s">
        <v>1052</v>
      </c>
      <c r="B11" s="253" t="s">
        <v>1053</v>
      </c>
      <c r="C11" s="112">
        <v>0</v>
      </c>
      <c r="D11" s="409">
        <v>0</v>
      </c>
      <c r="E11" s="112">
        <f t="shared" si="0"/>
        <v>0</v>
      </c>
    </row>
    <row r="12" ht="33" customHeight="1" spans="1:5" s="408" customFormat="1" x14ac:dyDescent="0.25">
      <c r="A12" s="252" t="s">
        <v>1054</v>
      </c>
      <c r="B12" s="253" t="s">
        <v>1055</v>
      </c>
      <c r="C12" s="112">
        <v>-31</v>
      </c>
      <c r="D12" s="409">
        <v>0.2</v>
      </c>
      <c r="E12" s="112">
        <f t="shared" si="0"/>
        <v>-6.2</v>
      </c>
    </row>
    <row r="13" ht="33" customHeight="1" spans="1:5" s="408" customFormat="1" x14ac:dyDescent="0.25">
      <c r="A13" s="252" t="s">
        <v>344</v>
      </c>
      <c r="B13" s="253" t="s">
        <v>345</v>
      </c>
      <c r="C13" s="112">
        <v>0</v>
      </c>
      <c r="D13" s="409">
        <v>1</v>
      </c>
      <c r="E13" s="112">
        <f t="shared" si="0"/>
        <v>0</v>
      </c>
    </row>
    <row r="14" ht="33" customHeight="1" spans="1:5" s="408" customFormat="1" x14ac:dyDescent="0.25">
      <c r="A14" s="252" t="s">
        <v>1056</v>
      </c>
      <c r="B14" s="253" t="s">
        <v>1057</v>
      </c>
      <c r="C14" s="112">
        <v>-7819</v>
      </c>
      <c r="D14" s="409">
        <v>1</v>
      </c>
      <c r="E14" s="112">
        <f t="shared" si="0"/>
        <v>-7819</v>
      </c>
    </row>
    <row r="15" ht="33" customHeight="1" spans="1:5" s="408" customFormat="1" x14ac:dyDescent="0.25">
      <c r="A15" s="252" t="s">
        <v>1058</v>
      </c>
      <c r="B15" s="253" t="s">
        <v>1059</v>
      </c>
      <c r="C15" s="112">
        <f>-2960+31</f>
        <v>-2929</v>
      </c>
      <c r="D15" s="409">
        <v>1</v>
      </c>
      <c r="E15" s="112">
        <f t="shared" si="0"/>
        <v>-2929</v>
      </c>
    </row>
    <row r="16" ht="33" customHeight="1" spans="1:5" s="408" customFormat="1" x14ac:dyDescent="0.25">
      <c r="A16" s="252" t="s">
        <v>1060</v>
      </c>
      <c r="B16" s="253" t="s">
        <v>1061</v>
      </c>
      <c r="C16" s="112">
        <v>-2817</v>
      </c>
      <c r="D16" s="409">
        <v>1</v>
      </c>
      <c r="E16" s="112">
        <f t="shared" si="0"/>
        <v>-2817</v>
      </c>
    </row>
    <row r="17" ht="33" customHeight="1" spans="1:5" s="408" customFormat="1" x14ac:dyDescent="0.25">
      <c r="A17" s="252" t="s">
        <v>1062</v>
      </c>
      <c r="B17" s="253" t="s">
        <v>1063</v>
      </c>
      <c r="C17" s="112">
        <v>-2869</v>
      </c>
      <c r="D17" s="409">
        <v>1</v>
      </c>
      <c r="E17" s="112">
        <f t="shared" si="0"/>
        <v>-2869</v>
      </c>
    </row>
    <row r="18" ht="33" customHeight="1" spans="1:5" s="408" customFormat="1" x14ac:dyDescent="0.25">
      <c r="A18" s="252" t="s">
        <v>1064</v>
      </c>
      <c r="B18" s="253" t="s">
        <v>1065</v>
      </c>
      <c r="C18" s="112">
        <v>0</v>
      </c>
      <c r="D18" s="409">
        <v>1</v>
      </c>
      <c r="E18" s="112">
        <f t="shared" si="0"/>
        <v>0</v>
      </c>
    </row>
    <row r="19" ht="33" customHeight="1" spans="1:5" s="408" customFormat="1" x14ac:dyDescent="0.25">
      <c r="A19" s="252" t="s">
        <v>1066</v>
      </c>
      <c r="B19" s="253" t="s">
        <v>1067</v>
      </c>
      <c r="C19" s="112">
        <v>-51</v>
      </c>
      <c r="D19" s="409">
        <v>1</v>
      </c>
      <c r="E19" s="112">
        <f t="shared" si="0"/>
        <v>-51</v>
      </c>
    </row>
    <row r="20" ht="33" customHeight="1" spans="1:5" s="408" customFormat="1" x14ac:dyDescent="0.25">
      <c r="A20" s="252" t="s">
        <v>1068</v>
      </c>
      <c r="B20" s="253" t="s">
        <v>1069</v>
      </c>
      <c r="C20" s="112">
        <v>0</v>
      </c>
      <c r="D20" s="409">
        <v>1</v>
      </c>
      <c r="E20" s="112">
        <f t="shared" si="0"/>
        <v>0</v>
      </c>
    </row>
    <row r="21" ht="33" customHeight="1" spans="1:5" s="408" customFormat="1" x14ac:dyDescent="0.25">
      <c r="A21" s="252" t="s">
        <v>1070</v>
      </c>
      <c r="B21" s="410" t="s">
        <v>1071</v>
      </c>
      <c r="C21" s="112">
        <v>0</v>
      </c>
      <c r="D21" s="409">
        <v>1</v>
      </c>
      <c r="E21" s="112">
        <f t="shared" si="0"/>
        <v>0</v>
      </c>
    </row>
    <row r="22" ht="33" customHeight="1" spans="1:5" s="408" customFormat="1" x14ac:dyDescent="0.25">
      <c r="A22" s="252" t="s">
        <v>1072</v>
      </c>
      <c r="B22" s="410" t="s">
        <v>1073</v>
      </c>
      <c r="C22" s="112">
        <v>0</v>
      </c>
      <c r="D22" s="409">
        <v>1.5</v>
      </c>
      <c r="E22" s="112">
        <f t="shared" si="0"/>
        <v>0</v>
      </c>
    </row>
    <row r="23" ht="33" customHeight="1" spans="1:5" s="408" customFormat="1" x14ac:dyDescent="0.25">
      <c r="A23" s="252" t="s">
        <v>376</v>
      </c>
      <c r="B23" s="253" t="s">
        <v>377</v>
      </c>
      <c r="C23" s="112">
        <v>0</v>
      </c>
      <c r="D23" s="409">
        <v>2.5</v>
      </c>
      <c r="E23" s="112">
        <f t="shared" si="0"/>
        <v>0</v>
      </c>
    </row>
    <row r="24" ht="33" customHeight="1" spans="1:5" s="408" customFormat="1" x14ac:dyDescent="0.25">
      <c r="A24" s="252" t="s">
        <v>373</v>
      </c>
      <c r="B24" s="253" t="s">
        <v>1074</v>
      </c>
      <c r="C24" s="112">
        <v>0</v>
      </c>
      <c r="D24" s="409">
        <v>2.5</v>
      </c>
      <c r="E24" s="112">
        <f t="shared" si="0"/>
        <v>0</v>
      </c>
    </row>
    <row r="25" ht="33" customHeight="1" spans="1:5" s="408" customFormat="1" x14ac:dyDescent="0.25">
      <c r="A25" s="252" t="s">
        <v>1075</v>
      </c>
      <c r="B25" s="410" t="s">
        <v>1076</v>
      </c>
      <c r="C25" s="112">
        <v>0</v>
      </c>
      <c r="D25" s="409">
        <v>2.5</v>
      </c>
      <c r="E25" s="112">
        <f t="shared" si="0"/>
        <v>0</v>
      </c>
    </row>
    <row r="26" ht="33" customHeight="1" spans="1:5" x14ac:dyDescent="0.25">
      <c r="A26" s="252" t="s">
        <v>1077</v>
      </c>
      <c r="B26" s="411" t="s">
        <v>1078</v>
      </c>
      <c r="C26" s="112">
        <f>-22157+19802</f>
        <v>-2355</v>
      </c>
      <c r="D26" s="412">
        <v>1</v>
      </c>
      <c r="E26" s="112">
        <f t="shared" si="0"/>
        <v>-2355</v>
      </c>
    </row>
    <row r="27" ht="33" customHeight="1" spans="1:5" s="271" customFormat="1" x14ac:dyDescent="0.25">
      <c r="A27" s="252" t="s">
        <v>665</v>
      </c>
      <c r="B27" s="256" t="s">
        <v>1079</v>
      </c>
      <c r="C27" s="413">
        <f>C10+C11+C12+C13+C14+C15+C16+C17+C18+C19+C20+C21+C22+C23+C24+C25+C26</f>
        <v>-22157</v>
      </c>
      <c r="D27" s="414"/>
      <c r="E27" s="415">
        <f>E10+E11+E12+E13+E14+E15+E16+E17+E18+E19+E20+E21+E22+E23+E24+E25+E26</f>
        <v>-18846.2</v>
      </c>
    </row>
    <row r="28" ht="15.5" customHeight="1" spans="2:2" x14ac:dyDescent="0.25">
      <c r="B28" s="403"/>
    </row>
    <row r="29" ht="15.5" customHeight="1" spans="2:2" x14ac:dyDescent="0.25">
      <c r="B29" s="403"/>
    </row>
    <row r="30" ht="15.5" customHeight="1" spans="2:2" x14ac:dyDescent="0.25">
      <c r="B30" s="403"/>
    </row>
    <row r="31" ht="15.5" customHeight="1" spans="2:2" x14ac:dyDescent="0.25">
      <c r="B31" s="403"/>
    </row>
    <row r="32" ht="15.5" customHeight="1" spans="2:2" x14ac:dyDescent="0.25">
      <c r="B32" s="403"/>
    </row>
    <row r="33" ht="15.5" customHeight="1" spans="2:2" x14ac:dyDescent="0.25">
      <c r="B33" s="403"/>
    </row>
    <row r="34" ht="15.5" customHeight="1" spans="2:2" x14ac:dyDescent="0.25">
      <c r="B34" s="403"/>
    </row>
    <row r="35" ht="15.5" customHeight="1" spans="2:2" x14ac:dyDescent="0.25">
      <c r="B35" s="403"/>
    </row>
    <row r="36" ht="15.5" customHeight="1" spans="2:2" x14ac:dyDescent="0.25">
      <c r="B36" s="403"/>
    </row>
  </sheetData>
  <sheetProtection sheet="1" algorithmName="SHA-512" hashValue="gGSBwWyEYXxbbvI4fuBE0q7QIdUHeLlvNpwhumZhi4+gC8MuHwJMrcMsQhHTIhw4wcG/q8c1oGCnPzgbtb84JA==" saltValue="cDa2bLrs3+wiau2rOAsEYg==" spinCount="100000" objects="1" scenarios="1"/>
  <mergeCells count="2">
    <mergeCell ref="A1:D1"/>
    <mergeCell ref="A9:B9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56" fitToWidth="1" fitToHeight="1" firstPageNumber="1" useFirstPageNumber="1" copies="1"/>
  <headerFooter>
    <oddFooter>&amp;R&amp;P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6"/>
  <sheetViews>
    <sheetView workbookViewId="0" zoomScale="60" zoomScaleNormal="70" view="pageBreakPreview">
      <selection activeCell="A26" sqref="A26"/>
    </sheetView>
  </sheetViews>
  <sheetFormatPr defaultRowHeight="9" outlineLevelRow="0" outlineLevelCol="0" x14ac:dyDescent="0" defaultColWidth="10" customHeight="1"/>
  <cols>
    <col min="1" max="1" width="11.08984375" style="317" customWidth="1"/>
    <col min="2" max="2" width="65.26953125" style="317" customWidth="1"/>
    <col min="3" max="5" width="21.54296875" style="317" customWidth="1"/>
    <col min="6" max="6" width="31.54296875" style="317" customWidth="1"/>
    <col min="7" max="9" width="17.36328125" style="317" customWidth="1"/>
    <col min="10" max="16384" width="10" style="317" customWidth="1"/>
  </cols>
  <sheetData>
    <row r="1" ht="29.25" customHeight="1" spans="1:9" x14ac:dyDescent="0.25">
      <c r="A1" s="319" t="s">
        <v>1080</v>
      </c>
      <c r="B1" s="319"/>
      <c r="C1" s="319"/>
      <c r="D1" s="319"/>
      <c r="E1" s="319"/>
      <c r="F1" s="319"/>
      <c r="G1" s="319"/>
      <c r="H1" s="320" t="s">
        <v>74</v>
      </c>
      <c r="I1" s="325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8" customHeight="1" spans="2:9" x14ac:dyDescent="0.25">
      <c r="B7" s="317"/>
      <c r="C7" s="317"/>
      <c r="D7" s="317"/>
      <c r="E7" s="317"/>
      <c r="F7" s="317"/>
      <c r="G7" s="317"/>
      <c r="H7" s="317"/>
      <c r="I7" s="317"/>
    </row>
    <row r="8" ht="18" customHeight="1" spans="1:9" s="337" customFormat="1" x14ac:dyDescent="0.25">
      <c r="A8" s="337" t="s">
        <v>1081</v>
      </c>
      <c r="B8" s="337"/>
      <c r="C8" s="337"/>
      <c r="D8" s="337"/>
      <c r="E8" s="337"/>
      <c r="F8" s="337"/>
      <c r="G8" s="337"/>
      <c r="H8" s="337"/>
      <c r="I8" s="337"/>
    </row>
    <row r="9" ht="6.75" customHeight="1" spans="2:9" x14ac:dyDescent="0.25">
      <c r="B9" s="317"/>
      <c r="C9" s="317"/>
      <c r="D9" s="317"/>
      <c r="E9" s="317"/>
      <c r="F9" s="317"/>
      <c r="G9" s="317"/>
      <c r="H9" s="317"/>
      <c r="I9" s="317"/>
    </row>
    <row r="10" ht="36" customHeight="1" spans="1:1020" x14ac:dyDescent="0.25">
      <c r="A10" s="134" t="s">
        <v>113</v>
      </c>
      <c r="B10" s="416" t="s">
        <v>145</v>
      </c>
      <c r="C10" s="416"/>
      <c r="D10" s="417" t="s">
        <v>166</v>
      </c>
      <c r="E10" s="342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42"/>
      <c r="AM10" s="342"/>
      <c r="AN10" s="342"/>
      <c r="AO10" s="342"/>
      <c r="AP10" s="342"/>
      <c r="AQ10" s="342"/>
      <c r="AR10" s="342"/>
      <c r="AS10" s="342"/>
      <c r="AT10" s="342"/>
      <c r="AU10" s="342"/>
      <c r="AV10" s="342"/>
      <c r="AW10" s="342"/>
      <c r="AX10" s="342"/>
      <c r="AY10" s="342"/>
      <c r="AZ10" s="342"/>
      <c r="BA10" s="342"/>
      <c r="BB10" s="342"/>
      <c r="BC10" s="342"/>
      <c r="BD10" s="342"/>
      <c r="BE10" s="342"/>
      <c r="BF10" s="342"/>
      <c r="BG10" s="342"/>
      <c r="BH10" s="342"/>
      <c r="BI10" s="342"/>
      <c r="BJ10" s="342"/>
      <c r="BK10" s="342"/>
      <c r="BL10" s="342"/>
      <c r="BM10" s="342"/>
      <c r="BN10" s="342"/>
      <c r="BO10" s="342"/>
      <c r="BP10" s="342"/>
      <c r="BQ10" s="342"/>
      <c r="BR10" s="342"/>
      <c r="BS10" s="342"/>
      <c r="BT10" s="342"/>
      <c r="BU10" s="342"/>
      <c r="BV10" s="342"/>
      <c r="BW10" s="342"/>
      <c r="BX10" s="342"/>
      <c r="BY10" s="342"/>
      <c r="BZ10" s="342"/>
      <c r="CA10" s="342"/>
      <c r="CB10" s="342"/>
      <c r="CC10" s="342"/>
      <c r="CD10" s="342"/>
      <c r="CE10" s="342"/>
      <c r="CF10" s="342"/>
      <c r="CG10" s="342"/>
      <c r="CH10" s="342"/>
      <c r="CI10" s="342"/>
      <c r="CJ10" s="342"/>
      <c r="CK10" s="342"/>
      <c r="CL10" s="342"/>
      <c r="CM10" s="342"/>
      <c r="CN10" s="342"/>
      <c r="CO10" s="342"/>
      <c r="CP10" s="342"/>
      <c r="CQ10" s="342"/>
      <c r="CR10" s="342"/>
      <c r="CS10" s="342"/>
      <c r="CT10" s="342"/>
      <c r="CU10" s="342"/>
      <c r="CV10" s="342"/>
      <c r="CW10" s="342"/>
      <c r="CX10" s="342"/>
      <c r="CY10" s="342"/>
      <c r="CZ10" s="342"/>
      <c r="DA10" s="342"/>
      <c r="DB10" s="342"/>
      <c r="DC10" s="342"/>
      <c r="DD10" s="342"/>
      <c r="DE10" s="342"/>
      <c r="DF10" s="342"/>
      <c r="DG10" s="342"/>
      <c r="DH10" s="342"/>
      <c r="DI10" s="342"/>
      <c r="DJ10" s="342"/>
      <c r="DK10" s="342"/>
      <c r="DL10" s="342"/>
      <c r="DM10" s="342"/>
      <c r="DN10" s="342"/>
      <c r="DO10" s="342"/>
      <c r="DP10" s="342"/>
      <c r="DQ10" s="342"/>
      <c r="DR10" s="342"/>
      <c r="DS10" s="342"/>
      <c r="DT10" s="342"/>
      <c r="DU10" s="342"/>
      <c r="DV10" s="342"/>
      <c r="DW10" s="342"/>
      <c r="DX10" s="342"/>
      <c r="DY10" s="342"/>
      <c r="DZ10" s="342"/>
      <c r="EA10" s="342"/>
      <c r="EB10" s="342"/>
      <c r="EC10" s="342"/>
      <c r="ED10" s="342"/>
      <c r="EE10" s="342"/>
      <c r="EF10" s="342"/>
      <c r="EG10" s="342"/>
      <c r="EH10" s="342"/>
      <c r="EI10" s="342"/>
      <c r="EJ10" s="342"/>
      <c r="EK10" s="342"/>
      <c r="EL10" s="342"/>
      <c r="EM10" s="342"/>
      <c r="EN10" s="342"/>
      <c r="EO10" s="342"/>
      <c r="EP10" s="342"/>
      <c r="EQ10" s="342"/>
      <c r="ER10" s="342"/>
      <c r="ES10" s="342"/>
      <c r="ET10" s="342"/>
      <c r="EU10" s="342"/>
      <c r="EV10" s="342"/>
      <c r="EW10" s="342"/>
      <c r="EX10" s="342"/>
      <c r="EY10" s="342"/>
      <c r="EZ10" s="342"/>
      <c r="FA10" s="342"/>
      <c r="FB10" s="342"/>
      <c r="FC10" s="342"/>
      <c r="FD10" s="342"/>
      <c r="FE10" s="342"/>
      <c r="FF10" s="342"/>
      <c r="FG10" s="342"/>
      <c r="FH10" s="342"/>
      <c r="FI10" s="342"/>
      <c r="FJ10" s="342"/>
      <c r="FK10" s="342"/>
      <c r="FL10" s="342"/>
      <c r="FM10" s="342"/>
      <c r="FN10" s="342"/>
      <c r="FO10" s="342"/>
      <c r="FP10" s="342"/>
      <c r="FQ10" s="342"/>
      <c r="FR10" s="342"/>
      <c r="FS10" s="342"/>
      <c r="FT10" s="342"/>
      <c r="FU10" s="342"/>
      <c r="FV10" s="342"/>
      <c r="FW10" s="342"/>
      <c r="FX10" s="342"/>
      <c r="FY10" s="342"/>
      <c r="FZ10" s="342"/>
      <c r="GA10" s="342"/>
      <c r="GB10" s="342"/>
      <c r="GC10" s="342"/>
      <c r="GD10" s="342"/>
      <c r="GE10" s="342"/>
      <c r="GF10" s="342"/>
      <c r="GG10" s="342"/>
      <c r="GH10" s="342"/>
      <c r="GI10" s="342"/>
      <c r="GJ10" s="342"/>
      <c r="GK10" s="342"/>
      <c r="GL10" s="342"/>
      <c r="GM10" s="342"/>
      <c r="GN10" s="342"/>
      <c r="GO10" s="342"/>
      <c r="GP10" s="342"/>
      <c r="GQ10" s="342"/>
      <c r="GR10" s="342"/>
      <c r="GS10" s="342"/>
      <c r="GT10" s="342"/>
      <c r="GU10" s="342"/>
      <c r="GV10" s="342"/>
      <c r="GW10" s="342"/>
      <c r="GX10" s="342"/>
      <c r="GY10" s="342"/>
      <c r="GZ10" s="342"/>
      <c r="HA10" s="342"/>
      <c r="HB10" s="342"/>
      <c r="HC10" s="342"/>
      <c r="HD10" s="342"/>
      <c r="HE10" s="342"/>
      <c r="HF10" s="342"/>
      <c r="HG10" s="342"/>
      <c r="HH10" s="342"/>
      <c r="HI10" s="342"/>
      <c r="HJ10" s="342"/>
      <c r="HK10" s="342"/>
      <c r="HL10" s="342"/>
      <c r="HM10" s="342"/>
      <c r="HN10" s="342"/>
      <c r="HO10" s="342"/>
      <c r="HP10" s="342"/>
      <c r="HQ10" s="342"/>
      <c r="HR10" s="342"/>
      <c r="HS10" s="342"/>
      <c r="HT10" s="342"/>
      <c r="HU10" s="342"/>
      <c r="HV10" s="342"/>
      <c r="HW10" s="342"/>
      <c r="HX10" s="342"/>
      <c r="HY10" s="342"/>
      <c r="HZ10" s="342"/>
      <c r="IA10" s="342"/>
      <c r="IB10" s="342"/>
      <c r="IC10" s="342"/>
      <c r="ID10" s="342"/>
      <c r="IE10" s="342"/>
      <c r="IF10" s="342"/>
      <c r="IG10" s="342"/>
      <c r="IH10" s="342"/>
      <c r="II10" s="342"/>
      <c r="IJ10" s="342"/>
      <c r="IK10" s="342"/>
      <c r="IL10" s="342"/>
      <c r="IM10" s="342"/>
      <c r="IN10" s="342"/>
      <c r="IO10" s="342"/>
      <c r="IP10" s="342"/>
      <c r="IQ10" s="342"/>
      <c r="IR10" s="342"/>
      <c r="IS10" s="342"/>
      <c r="IT10" s="342"/>
      <c r="IU10" s="342"/>
      <c r="IV10" s="342"/>
      <c r="IW10" s="342"/>
      <c r="IX10" s="342"/>
      <c r="IY10" s="342"/>
      <c r="IZ10" s="342"/>
      <c r="JA10" s="342"/>
      <c r="JB10" s="342"/>
      <c r="JC10" s="342"/>
      <c r="JD10" s="342"/>
      <c r="JE10" s="342"/>
      <c r="JF10" s="342"/>
      <c r="JG10" s="342"/>
      <c r="JH10" s="342"/>
      <c r="JI10" s="342"/>
      <c r="JJ10" s="342"/>
      <c r="JK10" s="342"/>
      <c r="JL10" s="342"/>
      <c r="JM10" s="342"/>
      <c r="JN10" s="342"/>
      <c r="JO10" s="342"/>
      <c r="JP10" s="342"/>
      <c r="JQ10" s="342"/>
      <c r="JR10" s="342"/>
      <c r="JS10" s="342"/>
      <c r="JT10" s="342"/>
      <c r="JU10" s="342"/>
      <c r="JV10" s="342"/>
      <c r="JW10" s="342"/>
      <c r="JX10" s="342"/>
      <c r="JY10" s="342"/>
      <c r="JZ10" s="342"/>
      <c r="KA10" s="342"/>
      <c r="KB10" s="342"/>
      <c r="KC10" s="342"/>
      <c r="KD10" s="342"/>
      <c r="KE10" s="342"/>
      <c r="KF10" s="342"/>
      <c r="KG10" s="342"/>
      <c r="KH10" s="342"/>
      <c r="KI10" s="342"/>
      <c r="KJ10" s="342"/>
      <c r="KK10" s="342"/>
      <c r="KL10" s="342"/>
      <c r="KM10" s="342"/>
      <c r="KN10" s="342"/>
      <c r="KO10" s="342"/>
      <c r="KP10" s="342"/>
      <c r="KQ10" s="342"/>
      <c r="KR10" s="342"/>
      <c r="KS10" s="342"/>
      <c r="KT10" s="342"/>
      <c r="KU10" s="342"/>
      <c r="KV10" s="342"/>
      <c r="KW10" s="342"/>
      <c r="KX10" s="342"/>
      <c r="KY10" s="342"/>
      <c r="KZ10" s="342"/>
      <c r="LA10" s="342"/>
      <c r="LB10" s="342"/>
      <c r="LC10" s="342"/>
      <c r="LD10" s="342"/>
      <c r="LE10" s="342"/>
      <c r="LF10" s="342"/>
      <c r="LG10" s="342"/>
      <c r="LH10" s="342"/>
      <c r="LI10" s="342"/>
      <c r="LJ10" s="342"/>
      <c r="LK10" s="342"/>
      <c r="LL10" s="342"/>
      <c r="LM10" s="342"/>
      <c r="LN10" s="342"/>
      <c r="LO10" s="342"/>
      <c r="LP10" s="342"/>
      <c r="LQ10" s="342"/>
      <c r="LR10" s="342"/>
      <c r="LS10" s="342"/>
      <c r="LT10" s="342"/>
      <c r="LU10" s="342"/>
      <c r="LV10" s="342"/>
      <c r="LW10" s="342"/>
      <c r="LX10" s="342"/>
      <c r="LY10" s="342"/>
      <c r="LZ10" s="342"/>
      <c r="MA10" s="342"/>
      <c r="MB10" s="342"/>
      <c r="MC10" s="342"/>
      <c r="MD10" s="342"/>
      <c r="ME10" s="342"/>
      <c r="MF10" s="342"/>
      <c r="MG10" s="342"/>
      <c r="MH10" s="342"/>
      <c r="MI10" s="342"/>
      <c r="MJ10" s="342"/>
      <c r="MK10" s="342"/>
      <c r="ML10" s="342"/>
      <c r="MM10" s="342"/>
      <c r="MN10" s="342"/>
      <c r="MO10" s="342"/>
      <c r="MP10" s="342"/>
      <c r="MQ10" s="342"/>
      <c r="MR10" s="342"/>
      <c r="MS10" s="342"/>
      <c r="MT10" s="342"/>
      <c r="MU10" s="342"/>
      <c r="MV10" s="342"/>
      <c r="MW10" s="342"/>
      <c r="MX10" s="342"/>
      <c r="MY10" s="342"/>
      <c r="MZ10" s="342"/>
      <c r="NA10" s="342"/>
      <c r="NB10" s="342"/>
      <c r="NC10" s="342"/>
      <c r="ND10" s="342"/>
      <c r="NE10" s="342"/>
      <c r="NF10" s="342"/>
      <c r="NG10" s="342"/>
      <c r="NH10" s="342"/>
      <c r="NI10" s="342"/>
      <c r="NJ10" s="342"/>
      <c r="NK10" s="342"/>
      <c r="NL10" s="342"/>
      <c r="NM10" s="342"/>
      <c r="NN10" s="342"/>
      <c r="NO10" s="342"/>
      <c r="NP10" s="342"/>
      <c r="NQ10" s="342"/>
      <c r="NR10" s="342"/>
      <c r="NS10" s="342"/>
      <c r="NT10" s="342"/>
      <c r="NU10" s="342"/>
      <c r="NV10" s="342"/>
      <c r="NW10" s="342"/>
      <c r="NX10" s="342"/>
      <c r="NY10" s="342"/>
      <c r="NZ10" s="342"/>
      <c r="OA10" s="342"/>
      <c r="OB10" s="342"/>
      <c r="OC10" s="342"/>
      <c r="OD10" s="342"/>
      <c r="OE10" s="342"/>
      <c r="OF10" s="342"/>
      <c r="OG10" s="342"/>
      <c r="OH10" s="342"/>
      <c r="OI10" s="342"/>
      <c r="OJ10" s="342"/>
      <c r="OK10" s="342"/>
      <c r="OL10" s="342"/>
      <c r="OM10" s="342"/>
      <c r="ON10" s="342"/>
      <c r="OO10" s="342"/>
      <c r="OP10" s="342"/>
      <c r="OQ10" s="342"/>
      <c r="OR10" s="342"/>
      <c r="OS10" s="342"/>
      <c r="OT10" s="342"/>
      <c r="OU10" s="342"/>
      <c r="OV10" s="342"/>
      <c r="OW10" s="342"/>
      <c r="OX10" s="342"/>
      <c r="OY10" s="342"/>
      <c r="OZ10" s="342"/>
      <c r="PA10" s="342"/>
      <c r="PB10" s="342"/>
      <c r="PC10" s="342"/>
      <c r="PD10" s="342"/>
      <c r="PE10" s="342"/>
      <c r="PF10" s="342"/>
      <c r="PG10" s="342"/>
      <c r="PH10" s="342"/>
      <c r="PI10" s="342"/>
      <c r="PJ10" s="342"/>
      <c r="PK10" s="342"/>
      <c r="PL10" s="342"/>
      <c r="PM10" s="342"/>
      <c r="PN10" s="342"/>
      <c r="PO10" s="342"/>
      <c r="PP10" s="342"/>
      <c r="PQ10" s="342"/>
      <c r="PR10" s="342"/>
      <c r="PS10" s="342"/>
      <c r="PT10" s="342"/>
      <c r="PU10" s="342"/>
      <c r="PV10" s="342"/>
      <c r="PW10" s="342"/>
      <c r="PX10" s="342"/>
      <c r="PY10" s="342"/>
      <c r="PZ10" s="342"/>
      <c r="QA10" s="342"/>
      <c r="QB10" s="342"/>
      <c r="QC10" s="342"/>
      <c r="QD10" s="342"/>
      <c r="QE10" s="342"/>
      <c r="QF10" s="342"/>
      <c r="QG10" s="342"/>
      <c r="QH10" s="342"/>
      <c r="QI10" s="342"/>
      <c r="QJ10" s="342"/>
      <c r="QK10" s="342"/>
      <c r="QL10" s="342"/>
      <c r="QM10" s="342"/>
      <c r="QN10" s="342"/>
      <c r="QO10" s="342"/>
      <c r="QP10" s="342"/>
      <c r="QQ10" s="342"/>
      <c r="QR10" s="342"/>
      <c r="QS10" s="342"/>
      <c r="QT10" s="342"/>
      <c r="QU10" s="342"/>
      <c r="QV10" s="342"/>
      <c r="QW10" s="342"/>
      <c r="QX10" s="342"/>
      <c r="QY10" s="342"/>
      <c r="QZ10" s="342"/>
      <c r="RA10" s="342"/>
      <c r="RB10" s="342"/>
      <c r="RC10" s="342"/>
      <c r="RD10" s="342"/>
      <c r="RE10" s="342"/>
      <c r="RF10" s="342"/>
      <c r="RG10" s="342"/>
      <c r="RH10" s="342"/>
      <c r="RI10" s="342"/>
      <c r="RJ10" s="342"/>
      <c r="RK10" s="342"/>
      <c r="RL10" s="342"/>
      <c r="RM10" s="342"/>
      <c r="RN10" s="342"/>
      <c r="RO10" s="342"/>
      <c r="RP10" s="342"/>
      <c r="RQ10" s="342"/>
      <c r="RR10" s="342"/>
      <c r="RS10" s="342"/>
      <c r="RT10" s="342"/>
      <c r="RU10" s="342"/>
      <c r="RV10" s="342"/>
      <c r="RW10" s="342"/>
      <c r="RX10" s="342"/>
      <c r="RY10" s="342"/>
      <c r="RZ10" s="342"/>
      <c r="SA10" s="342"/>
      <c r="SB10" s="342"/>
      <c r="SC10" s="342"/>
      <c r="SD10" s="342"/>
      <c r="SE10" s="342"/>
      <c r="SF10" s="342"/>
      <c r="SG10" s="342"/>
      <c r="SH10" s="342"/>
      <c r="SI10" s="342"/>
      <c r="SJ10" s="342"/>
      <c r="SK10" s="342"/>
      <c r="SL10" s="342"/>
      <c r="SM10" s="342"/>
      <c r="SN10" s="342"/>
      <c r="SO10" s="342"/>
      <c r="SP10" s="342"/>
      <c r="SQ10" s="342"/>
      <c r="SR10" s="342"/>
      <c r="SS10" s="342"/>
      <c r="ST10" s="342"/>
      <c r="SU10" s="342"/>
      <c r="SV10" s="342"/>
      <c r="SW10" s="342"/>
      <c r="SX10" s="342"/>
      <c r="SY10" s="342"/>
      <c r="SZ10" s="342"/>
      <c r="TA10" s="342"/>
      <c r="TB10" s="342"/>
      <c r="TC10" s="342"/>
      <c r="TD10" s="342"/>
      <c r="TE10" s="342"/>
      <c r="TF10" s="342"/>
      <c r="TG10" s="342"/>
      <c r="TH10" s="342"/>
      <c r="TI10" s="342"/>
      <c r="TJ10" s="342"/>
      <c r="TK10" s="342"/>
      <c r="TL10" s="342"/>
      <c r="TM10" s="342"/>
      <c r="TN10" s="342"/>
      <c r="TO10" s="342"/>
      <c r="TP10" s="342"/>
      <c r="TQ10" s="342"/>
      <c r="TR10" s="342"/>
      <c r="TS10" s="342"/>
      <c r="TT10" s="342"/>
      <c r="TU10" s="342"/>
      <c r="TV10" s="342"/>
      <c r="TW10" s="342"/>
      <c r="TX10" s="342"/>
      <c r="TY10" s="342"/>
      <c r="TZ10" s="342"/>
      <c r="UA10" s="342"/>
      <c r="UB10" s="342"/>
      <c r="UC10" s="342"/>
      <c r="UD10" s="342"/>
      <c r="UE10" s="342"/>
      <c r="UF10" s="342"/>
      <c r="UG10" s="342"/>
      <c r="UH10" s="342"/>
      <c r="UI10" s="342"/>
      <c r="UJ10" s="342"/>
      <c r="UK10" s="342"/>
      <c r="UL10" s="342"/>
      <c r="UM10" s="342"/>
      <c r="UN10" s="342"/>
      <c r="UO10" s="342"/>
      <c r="UP10" s="342"/>
      <c r="UQ10" s="342"/>
      <c r="UR10" s="342"/>
      <c r="US10" s="342"/>
      <c r="UT10" s="342"/>
      <c r="UU10" s="342"/>
      <c r="UV10" s="342"/>
      <c r="UW10" s="342"/>
      <c r="UX10" s="342"/>
      <c r="UY10" s="342"/>
      <c r="UZ10" s="342"/>
      <c r="VA10" s="342"/>
      <c r="VB10" s="342"/>
      <c r="VC10" s="342"/>
      <c r="VD10" s="342"/>
      <c r="VE10" s="342"/>
      <c r="VF10" s="342"/>
      <c r="VG10" s="342"/>
      <c r="VH10" s="342"/>
      <c r="VI10" s="342"/>
      <c r="VJ10" s="342"/>
      <c r="VK10" s="342"/>
      <c r="VL10" s="342"/>
      <c r="VM10" s="342"/>
      <c r="VN10" s="342"/>
      <c r="VO10" s="342"/>
      <c r="VP10" s="342"/>
      <c r="VQ10" s="342"/>
      <c r="VR10" s="342"/>
      <c r="VS10" s="342"/>
      <c r="VT10" s="342"/>
      <c r="VU10" s="342"/>
      <c r="VV10" s="342"/>
      <c r="VW10" s="342"/>
      <c r="VX10" s="342"/>
      <c r="VY10" s="342"/>
      <c r="VZ10" s="342"/>
      <c r="WA10" s="342"/>
      <c r="WB10" s="342"/>
      <c r="WC10" s="342"/>
      <c r="WD10" s="342"/>
      <c r="WE10" s="342"/>
      <c r="WF10" s="342"/>
      <c r="WG10" s="342"/>
      <c r="WH10" s="342"/>
      <c r="WI10" s="342"/>
      <c r="WJ10" s="342"/>
      <c r="WK10" s="342"/>
      <c r="WL10" s="342"/>
      <c r="WM10" s="342"/>
      <c r="WN10" s="342"/>
      <c r="WO10" s="342"/>
      <c r="WP10" s="342"/>
      <c r="WQ10" s="342"/>
      <c r="WR10" s="342"/>
      <c r="WS10" s="342"/>
      <c r="WT10" s="342"/>
      <c r="WU10" s="342"/>
      <c r="WV10" s="342"/>
      <c r="WW10" s="342"/>
      <c r="WX10" s="342"/>
      <c r="WY10" s="342"/>
      <c r="WZ10" s="342"/>
      <c r="XA10" s="342"/>
      <c r="XB10" s="342"/>
      <c r="XC10" s="342"/>
      <c r="XD10" s="342"/>
      <c r="XE10" s="342"/>
      <c r="XF10" s="342"/>
      <c r="XG10" s="342"/>
      <c r="XH10" s="342"/>
      <c r="XI10" s="342"/>
      <c r="XJ10" s="342"/>
      <c r="XK10" s="342"/>
      <c r="XL10" s="342"/>
      <c r="XM10" s="342"/>
      <c r="XN10" s="342"/>
      <c r="XO10" s="342"/>
      <c r="XP10" s="342"/>
      <c r="XQ10" s="342"/>
      <c r="XR10" s="342"/>
      <c r="XS10" s="342"/>
      <c r="XT10" s="342"/>
      <c r="XU10" s="342"/>
      <c r="XV10" s="342"/>
      <c r="XW10" s="342"/>
      <c r="XX10" s="342"/>
      <c r="XY10" s="342"/>
      <c r="XZ10" s="342"/>
      <c r="YA10" s="342"/>
      <c r="YB10" s="342"/>
      <c r="YC10" s="342"/>
      <c r="YD10" s="342"/>
      <c r="YE10" s="342"/>
      <c r="YF10" s="342"/>
      <c r="YG10" s="342"/>
      <c r="YH10" s="342"/>
      <c r="YI10" s="342"/>
      <c r="YJ10" s="342"/>
      <c r="YK10" s="342"/>
      <c r="YL10" s="342"/>
      <c r="YM10" s="342"/>
      <c r="YN10" s="342"/>
      <c r="YO10" s="342"/>
      <c r="YP10" s="342"/>
      <c r="YQ10" s="342"/>
      <c r="YR10" s="342"/>
      <c r="YS10" s="342"/>
      <c r="YT10" s="342"/>
      <c r="YU10" s="342"/>
      <c r="YV10" s="342"/>
      <c r="YW10" s="342"/>
      <c r="YX10" s="342"/>
      <c r="YY10" s="342"/>
      <c r="YZ10" s="342"/>
      <c r="ZA10" s="342"/>
      <c r="ZB10" s="342"/>
      <c r="ZC10" s="342"/>
      <c r="ZD10" s="342"/>
      <c r="ZE10" s="342"/>
      <c r="ZF10" s="342"/>
      <c r="ZG10" s="342"/>
      <c r="ZH10" s="342"/>
      <c r="ZI10" s="342"/>
      <c r="ZJ10" s="342"/>
      <c r="ZK10" s="342"/>
      <c r="ZL10" s="342"/>
      <c r="ZM10" s="342"/>
      <c r="ZN10" s="342"/>
      <c r="ZO10" s="342"/>
      <c r="ZP10" s="342"/>
      <c r="ZQ10" s="342"/>
      <c r="ZR10" s="342"/>
      <c r="ZS10" s="342"/>
      <c r="ZT10" s="342"/>
      <c r="ZU10" s="342"/>
      <c r="ZV10" s="342"/>
      <c r="ZW10" s="342"/>
      <c r="ZX10" s="342"/>
      <c r="ZY10" s="342"/>
      <c r="ZZ10" s="342"/>
      <c r="AAA10" s="342"/>
      <c r="AAB10" s="342"/>
      <c r="AAC10" s="342"/>
      <c r="AAD10" s="342"/>
      <c r="AAE10" s="342"/>
      <c r="AAF10" s="342"/>
      <c r="AAG10" s="342"/>
      <c r="AAH10" s="342"/>
      <c r="AAI10" s="342"/>
      <c r="AAJ10" s="342"/>
      <c r="AAK10" s="342"/>
      <c r="AAL10" s="342"/>
      <c r="AAM10" s="342"/>
      <c r="AAN10" s="342"/>
      <c r="AAO10" s="342"/>
      <c r="AAP10" s="342"/>
      <c r="AAQ10" s="342"/>
      <c r="AAR10" s="342"/>
      <c r="AAS10" s="342"/>
      <c r="AAT10" s="342"/>
      <c r="AAU10" s="342"/>
      <c r="AAV10" s="342"/>
      <c r="AAW10" s="342"/>
      <c r="AAX10" s="342"/>
      <c r="AAY10" s="342"/>
      <c r="AAZ10" s="342"/>
      <c r="ABA10" s="342"/>
      <c r="ABB10" s="342"/>
      <c r="ABC10" s="342"/>
      <c r="ABD10" s="342"/>
      <c r="ABE10" s="342"/>
      <c r="ABF10" s="342"/>
      <c r="ABG10" s="342"/>
      <c r="ABH10" s="342"/>
      <c r="ABI10" s="342"/>
      <c r="ABJ10" s="342"/>
      <c r="ABK10" s="342"/>
      <c r="ABL10" s="342"/>
      <c r="ABM10" s="342"/>
      <c r="ABN10" s="342"/>
      <c r="ABO10" s="342"/>
      <c r="ABP10" s="342"/>
      <c r="ABQ10" s="342"/>
      <c r="ABR10" s="342"/>
      <c r="ABS10" s="342"/>
      <c r="ABT10" s="342"/>
      <c r="ABU10" s="342"/>
      <c r="ABV10" s="342"/>
      <c r="ABW10" s="342"/>
      <c r="ABX10" s="342"/>
      <c r="ABY10" s="342"/>
      <c r="ABZ10" s="342"/>
      <c r="ACA10" s="342"/>
      <c r="ACB10" s="342"/>
      <c r="ACC10" s="342"/>
      <c r="ACD10" s="342"/>
      <c r="ACE10" s="342"/>
      <c r="ACF10" s="342"/>
      <c r="ACG10" s="342"/>
      <c r="ACH10" s="342"/>
      <c r="ACI10" s="342"/>
      <c r="ACJ10" s="342"/>
      <c r="ACK10" s="342"/>
      <c r="ACL10" s="342"/>
      <c r="ACM10" s="342"/>
      <c r="ACN10" s="342"/>
      <c r="ACO10" s="342"/>
      <c r="ACP10" s="342"/>
      <c r="ACQ10" s="342"/>
      <c r="ACR10" s="342"/>
      <c r="ACS10" s="342"/>
      <c r="ACT10" s="342"/>
      <c r="ACU10" s="342"/>
      <c r="ACV10" s="342"/>
      <c r="ACW10" s="342"/>
      <c r="ACX10" s="342"/>
      <c r="ACY10" s="342"/>
      <c r="ACZ10" s="342"/>
      <c r="ADA10" s="342"/>
      <c r="ADB10" s="342"/>
      <c r="ADC10" s="342"/>
      <c r="ADD10" s="342"/>
      <c r="ADE10" s="342"/>
      <c r="ADF10" s="342"/>
      <c r="ADG10" s="342"/>
      <c r="ADH10" s="342"/>
      <c r="ADI10" s="342"/>
      <c r="ADJ10" s="342"/>
      <c r="ADK10" s="342"/>
      <c r="ADL10" s="342"/>
      <c r="ADM10" s="342"/>
      <c r="ADN10" s="342"/>
      <c r="ADO10" s="342"/>
      <c r="ADP10" s="342"/>
      <c r="ADQ10" s="342"/>
      <c r="ADR10" s="342"/>
      <c r="ADS10" s="342"/>
      <c r="ADT10" s="342"/>
      <c r="ADU10" s="342"/>
      <c r="ADV10" s="342"/>
      <c r="ADW10" s="342"/>
      <c r="ADX10" s="342"/>
      <c r="ADY10" s="342"/>
      <c r="ADZ10" s="342"/>
      <c r="AEA10" s="342"/>
      <c r="AEB10" s="342"/>
      <c r="AEC10" s="342"/>
      <c r="AED10" s="342"/>
      <c r="AEE10" s="342"/>
      <c r="AEF10" s="342"/>
      <c r="AEG10" s="342"/>
      <c r="AEH10" s="342"/>
      <c r="AEI10" s="342"/>
      <c r="AEJ10" s="342"/>
      <c r="AEK10" s="342"/>
      <c r="AEL10" s="342"/>
      <c r="AEM10" s="342"/>
      <c r="AEN10" s="342"/>
      <c r="AEO10" s="342"/>
      <c r="AEP10" s="342"/>
      <c r="AEQ10" s="342"/>
      <c r="AER10" s="342"/>
      <c r="AES10" s="342"/>
      <c r="AET10" s="342"/>
      <c r="AEU10" s="342"/>
      <c r="AEV10" s="342"/>
      <c r="AEW10" s="342"/>
      <c r="AEX10" s="342"/>
      <c r="AEY10" s="342"/>
      <c r="AEZ10" s="342"/>
      <c r="AFA10" s="342"/>
      <c r="AFB10" s="342"/>
      <c r="AFC10" s="342"/>
      <c r="AFD10" s="342"/>
      <c r="AFE10" s="342"/>
      <c r="AFF10" s="342"/>
      <c r="AFG10" s="342"/>
      <c r="AFH10" s="342"/>
      <c r="AFI10" s="342"/>
      <c r="AFJ10" s="342"/>
      <c r="AFK10" s="342"/>
      <c r="AFL10" s="342"/>
      <c r="AFM10" s="342"/>
      <c r="AFN10" s="342"/>
      <c r="AFO10" s="342"/>
      <c r="AFP10" s="342"/>
      <c r="AFQ10" s="342"/>
      <c r="AFR10" s="342"/>
      <c r="AFS10" s="342"/>
      <c r="AFT10" s="342"/>
      <c r="AFU10" s="342"/>
      <c r="AFV10" s="342"/>
      <c r="AFW10" s="342"/>
      <c r="AFX10" s="342"/>
      <c r="AFY10" s="342"/>
      <c r="AFZ10" s="342"/>
      <c r="AGA10" s="342"/>
      <c r="AGB10" s="342"/>
      <c r="AGC10" s="342"/>
      <c r="AGD10" s="342"/>
      <c r="AGE10" s="342"/>
      <c r="AGF10" s="342"/>
      <c r="AGG10" s="342"/>
      <c r="AGH10" s="342"/>
      <c r="AGI10" s="342"/>
      <c r="AGJ10" s="342"/>
      <c r="AGK10" s="342"/>
      <c r="AGL10" s="342"/>
      <c r="AGM10" s="342"/>
      <c r="AGN10" s="342"/>
      <c r="AGO10" s="342"/>
      <c r="AGP10" s="342"/>
      <c r="AGQ10" s="342"/>
      <c r="AGR10" s="342"/>
      <c r="AGS10" s="342"/>
      <c r="AGT10" s="342"/>
      <c r="AGU10" s="342"/>
      <c r="AGV10" s="342"/>
      <c r="AGW10" s="342"/>
      <c r="AGX10" s="342"/>
      <c r="AGY10" s="342"/>
      <c r="AGZ10" s="342"/>
      <c r="AHA10" s="342"/>
      <c r="AHB10" s="342"/>
      <c r="AHC10" s="342"/>
      <c r="AHD10" s="342"/>
      <c r="AHE10" s="342"/>
      <c r="AHF10" s="342"/>
      <c r="AHG10" s="342"/>
      <c r="AHH10" s="342"/>
      <c r="AHI10" s="342"/>
      <c r="AHJ10" s="342"/>
      <c r="AHK10" s="342"/>
      <c r="AHL10" s="342"/>
      <c r="AHM10" s="342"/>
      <c r="AHN10" s="342"/>
      <c r="AHO10" s="342"/>
      <c r="AHP10" s="342"/>
      <c r="AHQ10" s="342"/>
      <c r="AHR10" s="342"/>
      <c r="AHS10" s="342"/>
      <c r="AHT10" s="342"/>
      <c r="AHU10" s="342"/>
      <c r="AHV10" s="342"/>
      <c r="AHW10" s="342"/>
      <c r="AHX10" s="342"/>
      <c r="AHY10" s="342"/>
      <c r="AHZ10" s="342"/>
      <c r="AIA10" s="342"/>
      <c r="AIB10" s="342"/>
      <c r="AIC10" s="342"/>
      <c r="AID10" s="342"/>
      <c r="AIE10" s="342"/>
      <c r="AIF10" s="342"/>
      <c r="AIG10" s="342"/>
      <c r="AIH10" s="342"/>
      <c r="AII10" s="342"/>
      <c r="AIJ10" s="342"/>
      <c r="AIK10" s="342"/>
      <c r="AIL10" s="342"/>
      <c r="AIM10" s="342"/>
      <c r="AIN10" s="342"/>
      <c r="AIO10" s="342"/>
      <c r="AIP10" s="342"/>
      <c r="AIQ10" s="342"/>
      <c r="AIR10" s="342"/>
      <c r="AIS10" s="342"/>
      <c r="AIT10" s="342"/>
      <c r="AIU10" s="342"/>
      <c r="AIV10" s="342"/>
      <c r="AIW10" s="342"/>
      <c r="AIX10" s="342"/>
      <c r="AIY10" s="342"/>
      <c r="AIZ10" s="342"/>
      <c r="AJA10" s="342"/>
      <c r="AJB10" s="342"/>
      <c r="AJC10" s="342"/>
      <c r="AJD10" s="342"/>
      <c r="AJE10" s="342"/>
      <c r="AJF10" s="342"/>
      <c r="AJG10" s="342"/>
      <c r="AJH10" s="342"/>
      <c r="AJI10" s="342"/>
      <c r="AJJ10" s="342"/>
      <c r="AJK10" s="342"/>
      <c r="AJL10" s="342"/>
      <c r="AJM10" s="342"/>
      <c r="AJN10" s="342"/>
      <c r="AJO10" s="342"/>
      <c r="AJP10" s="342"/>
      <c r="AJQ10" s="342"/>
      <c r="AJR10" s="342"/>
      <c r="AJS10" s="342"/>
      <c r="AJT10" s="342"/>
      <c r="AJU10" s="342"/>
      <c r="AJV10" s="342"/>
      <c r="AJW10" s="342"/>
      <c r="AJX10" s="342"/>
      <c r="AJY10" s="342"/>
      <c r="AJZ10" s="342"/>
      <c r="AKA10" s="342"/>
      <c r="AKB10" s="342"/>
      <c r="AKC10" s="342"/>
      <c r="AKD10" s="342"/>
      <c r="AKE10" s="342"/>
      <c r="AKF10" s="342"/>
      <c r="AKG10" s="342"/>
      <c r="AKH10" s="342"/>
      <c r="AKI10" s="342"/>
      <c r="AKJ10" s="342"/>
      <c r="AKK10" s="342"/>
      <c r="AKL10" s="342"/>
      <c r="AKM10" s="342"/>
      <c r="AKN10" s="342"/>
      <c r="AKO10" s="342"/>
      <c r="AKP10" s="342"/>
      <c r="AKQ10" s="342"/>
      <c r="AKR10" s="342"/>
      <c r="AKS10" s="342"/>
      <c r="AKT10" s="342"/>
      <c r="AKU10" s="342"/>
      <c r="AKV10" s="342"/>
      <c r="AKW10" s="342"/>
      <c r="AKX10" s="342"/>
      <c r="AKY10" s="342"/>
      <c r="AKZ10" s="342"/>
      <c r="ALA10" s="342"/>
      <c r="ALB10" s="342"/>
      <c r="ALC10" s="342"/>
      <c r="ALD10" s="342"/>
      <c r="ALE10" s="342"/>
      <c r="ALF10" s="342"/>
      <c r="ALG10" s="342"/>
      <c r="ALH10" s="342"/>
      <c r="ALI10" s="342"/>
      <c r="ALJ10" s="342"/>
      <c r="ALK10" s="342"/>
      <c r="ALL10" s="342"/>
      <c r="ALM10" s="342"/>
      <c r="ALN10" s="342"/>
      <c r="ALO10" s="342"/>
      <c r="ALP10" s="342"/>
      <c r="ALQ10" s="342"/>
      <c r="ALR10" s="342"/>
      <c r="ALS10" s="342"/>
      <c r="ALT10" s="342"/>
      <c r="ALU10" s="342"/>
      <c r="ALV10" s="342"/>
      <c r="ALW10" s="342"/>
      <c r="ALX10" s="342"/>
      <c r="ALY10" s="342"/>
      <c r="ALZ10" s="342"/>
      <c r="AMA10" s="342"/>
      <c r="AMB10" s="342"/>
      <c r="AMC10" s="342"/>
      <c r="AMD10" s="342"/>
      <c r="AME10" s="321"/>
      <c r="AMF10" s="321"/>
    </row>
    <row r="11" ht="38.25" customHeight="1" spans="1:4" s="418" customFormat="1" x14ac:dyDescent="0.25">
      <c r="A11" s="176" t="s">
        <v>1082</v>
      </c>
      <c r="B11" s="419" t="s">
        <v>1083</v>
      </c>
      <c r="C11" s="419"/>
      <c r="D11" s="420">
        <v>49350</v>
      </c>
    </row>
    <row r="12" ht="38.25" customHeight="1" spans="1:4" s="418" customFormat="1" x14ac:dyDescent="0.25">
      <c r="A12" s="176" t="s">
        <v>1084</v>
      </c>
      <c r="B12" s="421" t="s">
        <v>1085</v>
      </c>
      <c r="C12" s="421"/>
      <c r="D12" s="420"/>
    </row>
    <row r="13" ht="38.25" customHeight="1" spans="1:4" s="418" customFormat="1" x14ac:dyDescent="0.25">
      <c r="A13" s="176" t="s">
        <v>1086</v>
      </c>
      <c r="B13" s="419" t="s">
        <v>1087</v>
      </c>
      <c r="C13" s="419"/>
      <c r="D13" s="420">
        <v>-12761</v>
      </c>
    </row>
    <row r="14" ht="38.25" customHeight="1" spans="1:4" s="418" customFormat="1" x14ac:dyDescent="0.25">
      <c r="A14" s="176" t="s">
        <v>1088</v>
      </c>
      <c r="B14" s="419" t="s">
        <v>1089</v>
      </c>
      <c r="C14" s="419"/>
      <c r="D14" s="420"/>
    </row>
    <row r="15" ht="38.25" customHeight="1" spans="1:4" s="418" customFormat="1" x14ac:dyDescent="0.25">
      <c r="A15" s="176" t="s">
        <v>1090</v>
      </c>
      <c r="B15" s="419" t="s">
        <v>1091</v>
      </c>
      <c r="C15" s="419"/>
      <c r="D15" s="420"/>
    </row>
    <row r="16" ht="38.25" customHeight="1" spans="1:4" s="418" customFormat="1" x14ac:dyDescent="0.25">
      <c r="A16" s="176" t="s">
        <v>1092</v>
      </c>
      <c r="B16" s="419" t="s">
        <v>1093</v>
      </c>
      <c r="C16" s="419"/>
      <c r="D16" s="420"/>
    </row>
    <row r="17" ht="47.25" customHeight="1" spans="1:4" s="418" customFormat="1" x14ac:dyDescent="0.25">
      <c r="A17" s="176" t="s">
        <v>1094</v>
      </c>
      <c r="B17" s="419" t="s">
        <v>1095</v>
      </c>
      <c r="C17" s="419"/>
      <c r="D17" s="420"/>
    </row>
    <row r="18" ht="18" customHeight="1" spans="1:4" s="337" customFormat="1" x14ac:dyDescent="0.25">
      <c r="A18" s="176" t="s">
        <v>1096</v>
      </c>
      <c r="B18" s="422" t="s">
        <v>520</v>
      </c>
      <c r="C18" s="422"/>
      <c r="D18" s="420">
        <v>36589</v>
      </c>
    </row>
    <row r="19" ht="9" customHeight="1" spans="1:1" x14ac:dyDescent="0.25">
      <c r="A19" s="50"/>
    </row>
    <row r="20" ht="9" customHeight="1" spans="1:1" x14ac:dyDescent="0.25">
      <c r="A20" s="50"/>
    </row>
    <row r="21" ht="27.75" customHeight="1" spans="1:1" x14ac:dyDescent="0.25">
      <c r="A21" s="53" t="s">
        <v>1097</v>
      </c>
    </row>
    <row r="22" ht="9" customHeight="1" spans="1:1" x14ac:dyDescent="0.25">
      <c r="A22" s="50"/>
    </row>
    <row r="23" ht="42" customHeight="1" spans="1:9" x14ac:dyDescent="0.25">
      <c r="A23" s="423" t="s">
        <v>113</v>
      </c>
      <c r="B23" s="424" t="s">
        <v>29</v>
      </c>
      <c r="C23" s="425" t="s">
        <v>1098</v>
      </c>
      <c r="D23" s="425"/>
      <c r="E23" s="425"/>
      <c r="F23" s="425" t="s">
        <v>1099</v>
      </c>
      <c r="G23" s="425" t="s">
        <v>1100</v>
      </c>
      <c r="H23" s="425" t="s">
        <v>1101</v>
      </c>
      <c r="I23" s="425" t="s">
        <v>825</v>
      </c>
    </row>
    <row r="24" ht="33" customHeight="1" spans="1:9" x14ac:dyDescent="0.25">
      <c r="A24" s="354"/>
      <c r="B24" s="426"/>
      <c r="C24" s="427" t="s">
        <v>1102</v>
      </c>
      <c r="D24" s="425" t="s">
        <v>1103</v>
      </c>
      <c r="E24" s="425" t="s">
        <v>1104</v>
      </c>
      <c r="F24" s="425"/>
      <c r="G24" s="425"/>
      <c r="H24" s="425"/>
      <c r="I24" s="425"/>
    </row>
    <row r="25" ht="33" customHeight="1" spans="1:9" x14ac:dyDescent="0.25">
      <c r="A25" s="354"/>
      <c r="B25" s="426"/>
      <c r="C25" s="428" t="s">
        <v>154</v>
      </c>
      <c r="D25" s="429" t="s">
        <v>157</v>
      </c>
      <c r="E25" s="416" t="s">
        <v>160</v>
      </c>
      <c r="F25" s="416" t="s">
        <v>1105</v>
      </c>
      <c r="G25" s="416" t="s">
        <v>321</v>
      </c>
      <c r="H25" s="416" t="s">
        <v>1106</v>
      </c>
      <c r="I25" s="416" t="s">
        <v>1107</v>
      </c>
    </row>
    <row r="26" ht="29.25" customHeight="1" spans="1:9" x14ac:dyDescent="0.25">
      <c r="A26" s="176" t="s">
        <v>682</v>
      </c>
      <c r="B26" s="430" t="s">
        <v>1108</v>
      </c>
      <c r="C26" s="420">
        <v>18949</v>
      </c>
      <c r="D26" s="420">
        <v>25060</v>
      </c>
      <c r="E26" s="420">
        <v>36589</v>
      </c>
      <c r="F26" s="420">
        <f>(C26+D26+E26)/3</f>
        <v>26866</v>
      </c>
      <c r="G26" s="431">
        <v>0.15</v>
      </c>
      <c r="H26" s="420">
        <f>F26*G26</f>
        <v>4029.8999999999996</v>
      </c>
      <c r="I26" s="420">
        <f>H26*12.5</f>
        <v>50373.74999999999</v>
      </c>
    </row>
  </sheetData>
  <sheetProtection sheet="1" algorithmName="SHA-512" hashValue="NVDc/ER8yrd+FWFFnI3ovqcOMx7fvXUphU17Wf36w5mPmaS2FJGCFxUWsWWha1bE0mbaeNFy48kDdwYKYEE3RQ==" saltValue="BJcHGmtso0mCB9e6ma0Irg==" spinCount="100000" objects="1" scenarios="1"/>
  <mergeCells count="17">
    <mergeCell ref="A1:G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C23:E23"/>
    <mergeCell ref="F23:F24"/>
    <mergeCell ref="G23:G24"/>
    <mergeCell ref="H23:H24"/>
    <mergeCell ref="I23:I24"/>
    <mergeCell ref="A24:A25"/>
    <mergeCell ref="B24:B25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50" fitToWidth="1" fitToHeight="1" firstPageNumber="1" useFirstPageNumber="1" copies="1"/>
  <headerFooter>
    <oddFooter>&amp;R&amp;P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8"/>
  <sheetViews>
    <sheetView workbookViewId="0" zoomScale="68" zoomScaleNormal="70" view="pageBreakPreview">
      <selection activeCell="B14" sqref="B14"/>
    </sheetView>
  </sheetViews>
  <sheetFormatPr defaultRowHeight="17.25" outlineLevelRow="0" outlineLevelCol="0" x14ac:dyDescent="0" defaultColWidth="10" customHeight="1"/>
  <cols>
    <col min="1" max="1" width="9.90625" style="317" customWidth="1"/>
    <col min="2" max="2" width="72" style="317" customWidth="1"/>
    <col min="3" max="3" width="20.90625" style="341" customWidth="1"/>
    <col min="4" max="8" width="20.90625" style="317" customWidth="1"/>
    <col min="9" max="16384" width="10" style="317" customWidth="1"/>
  </cols>
  <sheetData>
    <row r="1" ht="29.25" customHeight="1" spans="1:9" x14ac:dyDescent="0.25">
      <c r="A1" s="319" t="s">
        <v>1109</v>
      </c>
      <c r="B1" s="319"/>
      <c r="C1" s="319"/>
      <c r="D1" s="319"/>
      <c r="E1" s="319"/>
      <c r="F1" s="319"/>
      <c r="G1" s="319"/>
      <c r="H1" s="320" t="s">
        <v>76</v>
      </c>
      <c r="I1" s="325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8" customHeight="1" spans="2:8" x14ac:dyDescent="0.25">
      <c r="B7" s="317"/>
      <c r="C7" s="317"/>
      <c r="D7" s="317"/>
      <c r="E7" s="317"/>
      <c r="F7" s="317"/>
      <c r="G7" s="317"/>
      <c r="H7" s="317"/>
    </row>
    <row r="8" ht="39" customHeight="1" spans="1:8" s="318" customFormat="1" x14ac:dyDescent="0.25">
      <c r="A8" s="423" t="s">
        <v>113</v>
      </c>
      <c r="B8" s="432"/>
      <c r="C8" s="425" t="s">
        <v>1110</v>
      </c>
      <c r="D8" s="425"/>
      <c r="E8" s="425"/>
      <c r="F8" s="425"/>
      <c r="G8" s="425" t="s">
        <v>1111</v>
      </c>
      <c r="H8" s="425"/>
    </row>
    <row r="9" ht="59.25" customHeight="1" spans="1:8" s="433" customFormat="1" x14ac:dyDescent="0.25">
      <c r="A9" s="423"/>
      <c r="B9" s="434" t="s">
        <v>1112</v>
      </c>
      <c r="C9" s="416" t="s">
        <v>1113</v>
      </c>
      <c r="D9" s="416" t="s">
        <v>1114</v>
      </c>
      <c r="E9" s="416" t="s">
        <v>1115</v>
      </c>
      <c r="F9" s="416" t="s">
        <v>1116</v>
      </c>
      <c r="G9" s="425" t="s">
        <v>1117</v>
      </c>
      <c r="H9" s="425" t="s">
        <v>1118</v>
      </c>
    </row>
    <row r="10" ht="42" customHeight="1" spans="1:8" x14ac:dyDescent="0.25">
      <c r="A10" s="176" t="s">
        <v>1119</v>
      </c>
      <c r="B10" s="435" t="s">
        <v>1120</v>
      </c>
      <c r="C10" s="420"/>
      <c r="D10" s="420"/>
      <c r="E10" s="420"/>
      <c r="F10" s="420"/>
      <c r="G10" s="420">
        <v>1</v>
      </c>
      <c r="H10" s="420"/>
    </row>
    <row r="11" ht="42" customHeight="1" spans="1:8" x14ac:dyDescent="0.25">
      <c r="A11" s="176" t="s">
        <v>1121</v>
      </c>
      <c r="B11" s="435" t="s">
        <v>1122</v>
      </c>
      <c r="C11" s="420"/>
      <c r="D11" s="420"/>
      <c r="E11" s="420"/>
      <c r="F11" s="420"/>
      <c r="G11" s="420">
        <v>1</v>
      </c>
      <c r="H11" s="420"/>
    </row>
    <row r="12" ht="42" customHeight="1" spans="1:8" x14ac:dyDescent="0.25">
      <c r="A12" s="176" t="s">
        <v>1123</v>
      </c>
      <c r="B12" s="435" t="s">
        <v>1124</v>
      </c>
      <c r="C12" s="420"/>
      <c r="D12" s="420"/>
      <c r="E12" s="420"/>
      <c r="F12" s="420"/>
      <c r="G12" s="420">
        <v>1</v>
      </c>
      <c r="H12" s="420"/>
    </row>
    <row r="13" ht="35" customHeight="1" spans="1:8" x14ac:dyDescent="0.25">
      <c r="A13" s="176" t="s">
        <v>1125</v>
      </c>
      <c r="B13" s="435" t="s">
        <v>1126</v>
      </c>
      <c r="C13" s="420"/>
      <c r="D13" s="420"/>
      <c r="E13" s="420"/>
      <c r="F13" s="420"/>
      <c r="G13" s="420">
        <v>1</v>
      </c>
      <c r="H13" s="420"/>
    </row>
    <row r="14" ht="42" customHeight="1" spans="1:8" x14ac:dyDescent="0.25">
      <c r="A14" s="176" t="s">
        <v>1127</v>
      </c>
      <c r="B14" s="435" t="s">
        <v>1128</v>
      </c>
      <c r="C14" s="420"/>
      <c r="D14" s="420"/>
      <c r="E14" s="420"/>
      <c r="F14" s="420"/>
      <c r="G14" s="420">
        <v>1</v>
      </c>
      <c r="H14" s="420"/>
    </row>
    <row r="15" ht="40.5" customHeight="1" spans="1:8" x14ac:dyDescent="0.25">
      <c r="A15" s="176" t="s">
        <v>1129</v>
      </c>
      <c r="B15" s="435" t="s">
        <v>1130</v>
      </c>
      <c r="C15" s="420"/>
      <c r="D15" s="420"/>
      <c r="E15" s="420"/>
      <c r="F15" s="420"/>
      <c r="G15" s="420">
        <v>1</v>
      </c>
      <c r="H15" s="420"/>
    </row>
    <row r="16" ht="51.75" customHeight="1" spans="1:8" x14ac:dyDescent="0.25">
      <c r="A16" s="176" t="s">
        <v>1131</v>
      </c>
      <c r="B16" s="435" t="s">
        <v>1132</v>
      </c>
      <c r="C16" s="420"/>
      <c r="D16" s="420"/>
      <c r="E16" s="420"/>
      <c r="F16" s="420"/>
      <c r="G16" s="420">
        <v>1</v>
      </c>
      <c r="H16" s="420"/>
    </row>
    <row r="17" ht="18" customHeight="1" spans="1:8" s="337" customFormat="1" x14ac:dyDescent="0.25">
      <c r="A17" s="436" t="s">
        <v>1133</v>
      </c>
      <c r="B17" s="437" t="s">
        <v>818</v>
      </c>
      <c r="C17" s="438">
        <v>0</v>
      </c>
      <c r="D17" s="438">
        <v>0</v>
      </c>
      <c r="E17" s="438">
        <v>0</v>
      </c>
      <c r="F17" s="438">
        <v>0</v>
      </c>
      <c r="G17" s="438">
        <v>7</v>
      </c>
      <c r="H17" s="438">
        <v>0</v>
      </c>
    </row>
    <row r="18" ht="17.5" customHeight="1" spans="3:3" x14ac:dyDescent="0.25">
      <c r="C18" s="317"/>
    </row>
  </sheetData>
  <sheetProtection sheet="1" algorithmName="SHA-512" hashValue="wYRxw6Bc2ubMScgfZeDy8u5QHBQCK+AbHPxB9rYa4g2gm5z9dBHvkRa8EXO+SB67AR3tekbk19x6xP7CaPLCqA==" saltValue="QDqJPNUN5l5THRTEaMrBNA==" spinCount="100000" objects="1" scenarios="1"/>
  <mergeCells count="4">
    <mergeCell ref="A1:G1"/>
    <mergeCell ref="C8:F8"/>
    <mergeCell ref="G8:H8"/>
    <mergeCell ref="A8:A9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55" fitToWidth="1" fitToHeight="1" firstPageNumber="1" useFirstPageNumber="1" copies="1"/>
  <headerFooter>
    <oddFooter>&amp;R&amp;P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8"/>
  <sheetViews>
    <sheetView workbookViewId="0" zoomScale="50" zoomScaleNormal="60" view="pageBreakPreview">
      <selection activeCell="B17" sqref="B17"/>
    </sheetView>
  </sheetViews>
  <sheetFormatPr defaultRowHeight="9" outlineLevelRow="0" outlineLevelCol="0" x14ac:dyDescent="0" defaultColWidth="10" customHeight="1"/>
  <cols>
    <col min="1" max="1" width="12.81640625" style="439" customWidth="1"/>
    <col min="2" max="2" width="80.90625" style="439" customWidth="1"/>
    <col min="3" max="11" width="21.36328125" style="439" customWidth="1"/>
    <col min="12" max="12" width="18.81640625" style="439" customWidth="1"/>
    <col min="13" max="16384" width="10" style="439" customWidth="1"/>
  </cols>
  <sheetData>
    <row r="1" ht="35.25" customHeight="1" spans="1:11" x14ac:dyDescent="0.25">
      <c r="A1" s="440" t="s">
        <v>1134</v>
      </c>
      <c r="B1" s="440"/>
      <c r="C1" s="440"/>
      <c r="D1" s="440"/>
      <c r="E1" s="440"/>
      <c r="F1" s="440"/>
      <c r="G1" s="440"/>
      <c r="H1" s="440"/>
      <c r="I1" s="440"/>
      <c r="J1" s="440"/>
      <c r="K1" s="441" t="s">
        <v>78</v>
      </c>
    </row>
    <row r="2" ht="31.5" customHeight="1" spans="2:1025" s="442" customFormat="1" x14ac:dyDescent="0.25">
      <c r="B2" s="443"/>
      <c r="C2" s="444"/>
      <c r="D2" s="445"/>
      <c r="E2" s="445"/>
      <c r="F2" s="445"/>
      <c r="G2" s="445"/>
      <c r="H2" s="445"/>
      <c r="I2" s="445"/>
      <c r="J2" s="446"/>
      <c r="K2" s="445"/>
      <c r="L2" s="445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39"/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39"/>
      <c r="BA2" s="439"/>
      <c r="BB2" s="439"/>
      <c r="BC2" s="439"/>
      <c r="BD2" s="439"/>
      <c r="BE2" s="439"/>
      <c r="BF2" s="439"/>
      <c r="BG2" s="439"/>
      <c r="BH2" s="439"/>
      <c r="BI2" s="439"/>
      <c r="BJ2" s="439"/>
      <c r="BK2" s="439"/>
      <c r="BL2" s="439"/>
      <c r="BM2" s="439"/>
      <c r="BN2" s="439"/>
      <c r="BO2" s="439"/>
      <c r="BP2" s="439"/>
      <c r="BQ2" s="439"/>
      <c r="BR2" s="439"/>
      <c r="BS2" s="439"/>
      <c r="BT2" s="439"/>
      <c r="BU2" s="439"/>
      <c r="BV2" s="439"/>
      <c r="BW2" s="439"/>
      <c r="BX2" s="439"/>
      <c r="BY2" s="439"/>
      <c r="BZ2" s="439"/>
      <c r="CA2" s="439"/>
      <c r="CB2" s="439"/>
      <c r="CC2" s="439"/>
      <c r="CD2" s="439"/>
      <c r="CE2" s="439"/>
      <c r="CF2" s="439"/>
      <c r="CG2" s="439"/>
      <c r="CH2" s="439"/>
      <c r="CI2" s="439"/>
      <c r="CJ2" s="439"/>
      <c r="CK2" s="439"/>
      <c r="CL2" s="439"/>
      <c r="CM2" s="439"/>
      <c r="CN2" s="439"/>
      <c r="CO2" s="439"/>
      <c r="CP2" s="439"/>
      <c r="CQ2" s="439"/>
      <c r="CR2" s="439"/>
      <c r="CS2" s="439"/>
      <c r="CT2" s="439"/>
      <c r="CU2" s="439"/>
      <c r="CV2" s="439"/>
      <c r="CW2" s="439"/>
      <c r="CX2" s="439"/>
      <c r="CY2" s="439"/>
      <c r="CZ2" s="439"/>
      <c r="DA2" s="439"/>
      <c r="DB2" s="439"/>
      <c r="DC2" s="439"/>
      <c r="DD2" s="439"/>
      <c r="DE2" s="439"/>
      <c r="DF2" s="439"/>
      <c r="DG2" s="439"/>
      <c r="DH2" s="439"/>
      <c r="DI2" s="439"/>
      <c r="DJ2" s="439"/>
      <c r="DK2" s="439"/>
      <c r="DL2" s="439"/>
      <c r="DM2" s="439"/>
      <c r="DN2" s="439"/>
      <c r="DO2" s="439"/>
      <c r="DP2" s="439"/>
      <c r="DQ2" s="439"/>
      <c r="DR2" s="439"/>
      <c r="DS2" s="439"/>
      <c r="DT2" s="439"/>
      <c r="DU2" s="439"/>
      <c r="DV2" s="439"/>
      <c r="DW2" s="439"/>
      <c r="DX2" s="439"/>
      <c r="DY2" s="439"/>
      <c r="DZ2" s="439"/>
      <c r="EA2" s="439"/>
      <c r="EB2" s="439"/>
      <c r="EC2" s="439"/>
      <c r="ED2" s="439"/>
      <c r="EE2" s="439"/>
      <c r="EF2" s="439"/>
      <c r="EG2" s="439"/>
      <c r="EH2" s="439"/>
      <c r="EI2" s="439"/>
      <c r="EJ2" s="439"/>
      <c r="EK2" s="439"/>
      <c r="EL2" s="439"/>
      <c r="EM2" s="439"/>
      <c r="EN2" s="439"/>
      <c r="EO2" s="439"/>
      <c r="EP2" s="439"/>
      <c r="EQ2" s="439"/>
      <c r="ER2" s="439"/>
      <c r="ES2" s="439"/>
      <c r="ET2" s="439"/>
      <c r="EU2" s="439"/>
      <c r="EV2" s="439"/>
      <c r="EW2" s="439"/>
      <c r="EX2" s="439"/>
      <c r="EY2" s="439"/>
      <c r="EZ2" s="439"/>
      <c r="FA2" s="439"/>
      <c r="FB2" s="439"/>
      <c r="FC2" s="439"/>
      <c r="FD2" s="439"/>
      <c r="FE2" s="439"/>
      <c r="FF2" s="439"/>
      <c r="FG2" s="439"/>
      <c r="FH2" s="439"/>
      <c r="FI2" s="439"/>
      <c r="FJ2" s="439"/>
      <c r="FK2" s="439"/>
      <c r="FL2" s="439"/>
      <c r="FM2" s="439"/>
      <c r="FN2" s="439"/>
      <c r="FO2" s="439"/>
      <c r="FP2" s="439"/>
      <c r="FQ2" s="439"/>
      <c r="FR2" s="439"/>
      <c r="FS2" s="439"/>
      <c r="FT2" s="439"/>
      <c r="FU2" s="439"/>
      <c r="FV2" s="439"/>
      <c r="FW2" s="439"/>
      <c r="FX2" s="439"/>
      <c r="FY2" s="439"/>
      <c r="FZ2" s="439"/>
      <c r="GA2" s="439"/>
      <c r="GB2" s="439"/>
      <c r="GC2" s="439"/>
      <c r="GD2" s="439"/>
      <c r="GE2" s="439"/>
      <c r="GF2" s="439"/>
      <c r="GG2" s="439"/>
      <c r="GH2" s="439"/>
      <c r="GI2" s="439"/>
      <c r="GJ2" s="439"/>
      <c r="GK2" s="439"/>
      <c r="GL2" s="439"/>
      <c r="GM2" s="439"/>
      <c r="GN2" s="439"/>
      <c r="GO2" s="439"/>
      <c r="GP2" s="439"/>
      <c r="GQ2" s="439"/>
      <c r="GR2" s="439"/>
      <c r="GS2" s="439"/>
      <c r="GT2" s="439"/>
      <c r="GU2" s="439"/>
      <c r="GV2" s="439"/>
      <c r="GW2" s="439"/>
      <c r="GX2" s="439"/>
      <c r="GY2" s="439"/>
      <c r="GZ2" s="439"/>
      <c r="HA2" s="439"/>
      <c r="HB2" s="439"/>
      <c r="HC2" s="439"/>
      <c r="HD2" s="439"/>
      <c r="HE2" s="439"/>
      <c r="HF2" s="439"/>
      <c r="HG2" s="439"/>
      <c r="HH2" s="439"/>
      <c r="HI2" s="439"/>
      <c r="HJ2" s="439"/>
      <c r="HK2" s="439"/>
      <c r="HL2" s="439"/>
      <c r="HM2" s="439"/>
      <c r="HN2" s="439"/>
      <c r="HO2" s="439"/>
      <c r="HP2" s="439"/>
      <c r="HQ2" s="439"/>
      <c r="HR2" s="439"/>
      <c r="HS2" s="439"/>
      <c r="HT2" s="439"/>
      <c r="HU2" s="439"/>
      <c r="HV2" s="439"/>
      <c r="HW2" s="439"/>
      <c r="HX2" s="439"/>
      <c r="HY2" s="439"/>
      <c r="HZ2" s="439"/>
      <c r="IA2" s="439"/>
      <c r="IB2" s="439"/>
      <c r="IC2" s="439"/>
      <c r="ID2" s="439"/>
      <c r="IE2" s="439"/>
      <c r="IF2" s="439"/>
      <c r="IG2" s="439"/>
      <c r="IH2" s="439"/>
      <c r="II2" s="439"/>
      <c r="IJ2" s="439"/>
      <c r="IK2" s="439"/>
      <c r="IL2" s="439"/>
      <c r="IM2" s="439"/>
      <c r="IN2" s="439"/>
      <c r="IO2" s="439"/>
      <c r="IP2" s="439"/>
      <c r="IQ2" s="439"/>
      <c r="IR2" s="439"/>
      <c r="IS2" s="439"/>
      <c r="IT2" s="439"/>
      <c r="IU2" s="439"/>
      <c r="IV2" s="439"/>
      <c r="IW2" s="439"/>
      <c r="IX2" s="439"/>
      <c r="IY2" s="439"/>
      <c r="IZ2" s="439"/>
      <c r="JA2" s="439"/>
      <c r="JB2" s="439"/>
      <c r="JC2" s="439"/>
      <c r="JD2" s="439"/>
      <c r="JE2" s="439"/>
      <c r="JF2" s="439"/>
      <c r="JG2" s="439"/>
      <c r="JH2" s="439"/>
      <c r="JI2" s="439"/>
      <c r="JJ2" s="439"/>
      <c r="JK2" s="439"/>
      <c r="JL2" s="439"/>
      <c r="JM2" s="439"/>
      <c r="JN2" s="439"/>
      <c r="JO2" s="439"/>
      <c r="JP2" s="439"/>
      <c r="JQ2" s="439"/>
      <c r="JR2" s="439"/>
      <c r="JS2" s="439"/>
      <c r="JT2" s="439"/>
      <c r="JU2" s="439"/>
      <c r="JV2" s="439"/>
      <c r="JW2" s="439"/>
      <c r="JX2" s="439"/>
      <c r="JY2" s="439"/>
      <c r="JZ2" s="439"/>
      <c r="KA2" s="439"/>
      <c r="KB2" s="439"/>
      <c r="KC2" s="439"/>
      <c r="KD2" s="439"/>
      <c r="KE2" s="439"/>
      <c r="KF2" s="439"/>
      <c r="KG2" s="439"/>
      <c r="KH2" s="439"/>
      <c r="KI2" s="439"/>
      <c r="KJ2" s="439"/>
      <c r="KK2" s="439"/>
      <c r="KL2" s="439"/>
      <c r="KM2" s="439"/>
      <c r="KN2" s="439"/>
      <c r="KO2" s="439"/>
      <c r="KP2" s="439"/>
      <c r="KQ2" s="439"/>
      <c r="KR2" s="439"/>
      <c r="KS2" s="439"/>
      <c r="KT2" s="439"/>
      <c r="KU2" s="439"/>
      <c r="KV2" s="439"/>
      <c r="KW2" s="439"/>
      <c r="KX2" s="439"/>
      <c r="KY2" s="439"/>
      <c r="KZ2" s="439"/>
      <c r="LA2" s="439"/>
      <c r="LB2" s="439"/>
      <c r="LC2" s="439"/>
      <c r="LD2" s="439"/>
      <c r="LE2" s="439"/>
      <c r="LF2" s="439"/>
      <c r="LG2" s="439"/>
      <c r="LH2" s="439"/>
      <c r="LI2" s="439"/>
      <c r="LJ2" s="439"/>
      <c r="LK2" s="439"/>
      <c r="LL2" s="439"/>
      <c r="LM2" s="439"/>
      <c r="LN2" s="439"/>
      <c r="LO2" s="439"/>
      <c r="LP2" s="439"/>
      <c r="LQ2" s="439"/>
      <c r="LR2" s="439"/>
      <c r="LS2" s="439"/>
      <c r="LT2" s="439"/>
      <c r="LU2" s="439"/>
      <c r="LV2" s="439"/>
      <c r="LW2" s="439"/>
      <c r="LX2" s="439"/>
      <c r="LY2" s="439"/>
      <c r="LZ2" s="439"/>
      <c r="MA2" s="439"/>
      <c r="MB2" s="439"/>
      <c r="MC2" s="439"/>
      <c r="MD2" s="439"/>
      <c r="ME2" s="439"/>
      <c r="MF2" s="439"/>
      <c r="MG2" s="439"/>
      <c r="MH2" s="439"/>
      <c r="MI2" s="439"/>
      <c r="MJ2" s="439"/>
      <c r="MK2" s="439"/>
      <c r="ML2" s="439"/>
      <c r="MM2" s="439"/>
      <c r="MN2" s="439"/>
      <c r="MO2" s="439"/>
      <c r="MP2" s="439"/>
      <c r="MQ2" s="439"/>
      <c r="MR2" s="439"/>
      <c r="MS2" s="439"/>
      <c r="MT2" s="439"/>
      <c r="MU2" s="439"/>
      <c r="MV2" s="439"/>
      <c r="MW2" s="439"/>
      <c r="MX2" s="439"/>
      <c r="MY2" s="439"/>
      <c r="MZ2" s="439"/>
      <c r="NA2" s="439"/>
      <c r="NB2" s="439"/>
      <c r="NC2" s="439"/>
      <c r="ND2" s="439"/>
      <c r="NE2" s="439"/>
      <c r="NF2" s="439"/>
      <c r="NG2" s="439"/>
      <c r="NH2" s="439"/>
      <c r="NI2" s="439"/>
      <c r="NJ2" s="439"/>
      <c r="NK2" s="439"/>
      <c r="NL2" s="439"/>
      <c r="NM2" s="439"/>
      <c r="NN2" s="439"/>
      <c r="NO2" s="439"/>
      <c r="NP2" s="439"/>
      <c r="NQ2" s="439"/>
      <c r="NR2" s="439"/>
      <c r="NS2" s="439"/>
      <c r="NT2" s="439"/>
      <c r="NU2" s="439"/>
      <c r="NV2" s="439"/>
      <c r="NW2" s="439"/>
      <c r="NX2" s="439"/>
      <c r="NY2" s="439"/>
      <c r="NZ2" s="439"/>
      <c r="OA2" s="439"/>
      <c r="OB2" s="439"/>
      <c r="OC2" s="439"/>
      <c r="OD2" s="439"/>
      <c r="OE2" s="439"/>
      <c r="OF2" s="439"/>
      <c r="OG2" s="439"/>
      <c r="OH2" s="439"/>
      <c r="OI2" s="439"/>
      <c r="OJ2" s="439"/>
      <c r="OK2" s="439"/>
      <c r="OL2" s="439"/>
      <c r="OM2" s="439"/>
      <c r="ON2" s="439"/>
      <c r="OO2" s="439"/>
      <c r="OP2" s="439"/>
      <c r="OQ2" s="439"/>
      <c r="OR2" s="439"/>
      <c r="OS2" s="439"/>
      <c r="OT2" s="439"/>
      <c r="OU2" s="439"/>
      <c r="OV2" s="439"/>
      <c r="OW2" s="439"/>
      <c r="OX2" s="439"/>
      <c r="OY2" s="439"/>
      <c r="OZ2" s="439"/>
      <c r="PA2" s="439"/>
      <c r="PB2" s="439"/>
      <c r="PC2" s="439"/>
      <c r="PD2" s="439"/>
      <c r="PE2" s="439"/>
      <c r="PF2" s="439"/>
      <c r="PG2" s="439"/>
      <c r="PH2" s="439"/>
      <c r="PI2" s="439"/>
      <c r="PJ2" s="439"/>
      <c r="PK2" s="439"/>
      <c r="PL2" s="439"/>
      <c r="PM2" s="439"/>
      <c r="PN2" s="439"/>
      <c r="PO2" s="439"/>
      <c r="PP2" s="439"/>
      <c r="PQ2" s="439"/>
      <c r="PR2" s="439"/>
      <c r="PS2" s="439"/>
      <c r="PT2" s="439"/>
      <c r="PU2" s="439"/>
      <c r="PV2" s="439"/>
      <c r="PW2" s="439"/>
      <c r="PX2" s="439"/>
      <c r="PY2" s="439"/>
      <c r="PZ2" s="439"/>
      <c r="QA2" s="439"/>
      <c r="QB2" s="439"/>
      <c r="QC2" s="439"/>
      <c r="QD2" s="439"/>
      <c r="QE2" s="439"/>
      <c r="QF2" s="439"/>
      <c r="QG2" s="439"/>
      <c r="QH2" s="439"/>
      <c r="QI2" s="439"/>
      <c r="QJ2" s="439"/>
      <c r="QK2" s="439"/>
      <c r="QL2" s="439"/>
      <c r="QM2" s="439"/>
      <c r="QN2" s="439"/>
      <c r="QO2" s="439"/>
      <c r="QP2" s="439"/>
      <c r="QQ2" s="439"/>
      <c r="QR2" s="439"/>
      <c r="QS2" s="439"/>
      <c r="QT2" s="439"/>
      <c r="QU2" s="439"/>
      <c r="QV2" s="439"/>
      <c r="QW2" s="439"/>
      <c r="QX2" s="439"/>
      <c r="QY2" s="439"/>
      <c r="QZ2" s="439"/>
      <c r="RA2" s="439"/>
      <c r="RB2" s="439"/>
      <c r="RC2" s="439"/>
      <c r="RD2" s="439"/>
      <c r="RE2" s="439"/>
      <c r="RF2" s="439"/>
      <c r="RG2" s="439"/>
      <c r="RH2" s="439"/>
      <c r="RI2" s="439"/>
      <c r="RJ2" s="439"/>
      <c r="RK2" s="439"/>
      <c r="RL2" s="439"/>
      <c r="RM2" s="439"/>
      <c r="RN2" s="439"/>
      <c r="RO2" s="439"/>
      <c r="RP2" s="439"/>
      <c r="RQ2" s="439"/>
      <c r="RR2" s="439"/>
      <c r="RS2" s="439"/>
      <c r="RT2" s="439"/>
      <c r="RU2" s="439"/>
      <c r="RV2" s="439"/>
      <c r="RW2" s="439"/>
      <c r="RX2" s="439"/>
      <c r="RY2" s="439"/>
      <c r="RZ2" s="439"/>
      <c r="SA2" s="439"/>
      <c r="SB2" s="439"/>
      <c r="SC2" s="439"/>
      <c r="SD2" s="439"/>
      <c r="SE2" s="439"/>
      <c r="SF2" s="439"/>
      <c r="SG2" s="439"/>
      <c r="SH2" s="439"/>
      <c r="SI2" s="439"/>
      <c r="SJ2" s="439"/>
      <c r="SK2" s="439"/>
      <c r="SL2" s="439"/>
      <c r="SM2" s="439"/>
      <c r="SN2" s="439"/>
      <c r="SO2" s="439"/>
      <c r="SP2" s="439"/>
      <c r="SQ2" s="439"/>
      <c r="SR2" s="439"/>
      <c r="SS2" s="439"/>
      <c r="ST2" s="439"/>
      <c r="SU2" s="439"/>
      <c r="SV2" s="439"/>
      <c r="SW2" s="439"/>
      <c r="SX2" s="439"/>
      <c r="SY2" s="439"/>
      <c r="SZ2" s="439"/>
      <c r="TA2" s="439"/>
      <c r="TB2" s="439"/>
      <c r="TC2" s="439"/>
      <c r="TD2" s="439"/>
      <c r="TE2" s="439"/>
      <c r="TF2" s="439"/>
      <c r="TG2" s="439"/>
      <c r="TH2" s="439"/>
      <c r="TI2" s="439"/>
      <c r="TJ2" s="439"/>
      <c r="TK2" s="439"/>
      <c r="TL2" s="439"/>
      <c r="TM2" s="439"/>
      <c r="TN2" s="439"/>
      <c r="TO2" s="439"/>
      <c r="TP2" s="439"/>
      <c r="TQ2" s="439"/>
      <c r="TR2" s="439"/>
      <c r="TS2" s="439"/>
      <c r="TT2" s="439"/>
      <c r="TU2" s="439"/>
      <c r="TV2" s="439"/>
      <c r="TW2" s="439"/>
      <c r="TX2" s="439"/>
      <c r="TY2" s="439"/>
      <c r="TZ2" s="439"/>
      <c r="UA2" s="439"/>
      <c r="UB2" s="439"/>
      <c r="UC2" s="439"/>
      <c r="UD2" s="439"/>
      <c r="UE2" s="439"/>
      <c r="UF2" s="439"/>
      <c r="UG2" s="439"/>
      <c r="UH2" s="439"/>
      <c r="UI2" s="439"/>
      <c r="UJ2" s="439"/>
      <c r="UK2" s="439"/>
      <c r="UL2" s="439"/>
      <c r="UM2" s="439"/>
      <c r="UN2" s="439"/>
      <c r="UO2" s="439"/>
      <c r="UP2" s="439"/>
      <c r="UQ2" s="439"/>
      <c r="UR2" s="439"/>
      <c r="US2" s="439"/>
      <c r="UT2" s="439"/>
      <c r="UU2" s="439"/>
      <c r="UV2" s="439"/>
      <c r="UW2" s="439"/>
      <c r="UX2" s="439"/>
      <c r="UY2" s="439"/>
      <c r="UZ2" s="439"/>
      <c r="VA2" s="439"/>
      <c r="VB2" s="439"/>
      <c r="VC2" s="439"/>
      <c r="VD2" s="439"/>
      <c r="VE2" s="439"/>
      <c r="VF2" s="439"/>
      <c r="VG2" s="439"/>
      <c r="VH2" s="439"/>
      <c r="VI2" s="439"/>
      <c r="VJ2" s="439"/>
      <c r="VK2" s="439"/>
      <c r="VL2" s="439"/>
      <c r="VM2" s="439"/>
      <c r="VN2" s="439"/>
      <c r="VO2" s="439"/>
      <c r="VP2" s="439"/>
      <c r="VQ2" s="439"/>
      <c r="VR2" s="439"/>
      <c r="VS2" s="439"/>
      <c r="VT2" s="439"/>
      <c r="VU2" s="439"/>
      <c r="VV2" s="439"/>
      <c r="VW2" s="439"/>
      <c r="VX2" s="439"/>
      <c r="VY2" s="439"/>
      <c r="VZ2" s="439"/>
      <c r="WA2" s="439"/>
      <c r="WB2" s="439"/>
      <c r="WC2" s="439"/>
      <c r="WD2" s="439"/>
      <c r="WE2" s="439"/>
      <c r="WF2" s="439"/>
      <c r="WG2" s="439"/>
      <c r="WH2" s="439"/>
      <c r="WI2" s="439"/>
      <c r="WJ2" s="439"/>
      <c r="WK2" s="439"/>
      <c r="WL2" s="439"/>
      <c r="WM2" s="439"/>
      <c r="WN2" s="439"/>
      <c r="WO2" s="439"/>
      <c r="WP2" s="439"/>
      <c r="WQ2" s="439"/>
      <c r="WR2" s="439"/>
      <c r="WS2" s="439"/>
      <c r="WT2" s="439"/>
      <c r="WU2" s="439"/>
      <c r="WV2" s="439"/>
      <c r="WW2" s="439"/>
      <c r="WX2" s="439"/>
      <c r="WY2" s="439"/>
      <c r="WZ2" s="439"/>
      <c r="XA2" s="439"/>
      <c r="XB2" s="439"/>
      <c r="XC2" s="439"/>
      <c r="XD2" s="439"/>
      <c r="XE2" s="439"/>
      <c r="XF2" s="439"/>
      <c r="XG2" s="439"/>
      <c r="XH2" s="439"/>
      <c r="XI2" s="439"/>
      <c r="XJ2" s="439"/>
      <c r="XK2" s="439"/>
      <c r="XL2" s="439"/>
      <c r="XM2" s="439"/>
      <c r="XN2" s="439"/>
      <c r="XO2" s="439"/>
      <c r="XP2" s="439"/>
      <c r="XQ2" s="439"/>
      <c r="XR2" s="439"/>
      <c r="XS2" s="439"/>
      <c r="XT2" s="439"/>
      <c r="XU2" s="439"/>
      <c r="XV2" s="439"/>
      <c r="XW2" s="439"/>
      <c r="XX2" s="439"/>
      <c r="XY2" s="439"/>
      <c r="XZ2" s="439"/>
      <c r="YA2" s="439"/>
      <c r="YB2" s="439"/>
      <c r="YC2" s="439"/>
      <c r="YD2" s="439"/>
      <c r="YE2" s="439"/>
      <c r="YF2" s="439"/>
      <c r="YG2" s="439"/>
      <c r="YH2" s="439"/>
      <c r="YI2" s="439"/>
      <c r="YJ2" s="439"/>
      <c r="YK2" s="439"/>
      <c r="YL2" s="439"/>
      <c r="YM2" s="439"/>
      <c r="YN2" s="439"/>
      <c r="YO2" s="439"/>
      <c r="YP2" s="439"/>
      <c r="YQ2" s="439"/>
      <c r="YR2" s="439"/>
      <c r="YS2" s="439"/>
      <c r="YT2" s="439"/>
      <c r="YU2" s="439"/>
      <c r="YV2" s="439"/>
      <c r="YW2" s="439"/>
      <c r="YX2" s="439"/>
      <c r="YY2" s="439"/>
      <c r="YZ2" s="439"/>
      <c r="ZA2" s="439"/>
      <c r="ZB2" s="439"/>
      <c r="ZC2" s="439"/>
      <c r="ZD2" s="439"/>
      <c r="ZE2" s="439"/>
      <c r="ZF2" s="439"/>
      <c r="ZG2" s="439"/>
      <c r="ZH2" s="439"/>
      <c r="ZI2" s="439"/>
      <c r="ZJ2" s="439"/>
      <c r="ZK2" s="439"/>
      <c r="ZL2" s="439"/>
      <c r="ZM2" s="439"/>
      <c r="ZN2" s="439"/>
      <c r="ZO2" s="439"/>
      <c r="ZP2" s="439"/>
      <c r="ZQ2" s="439"/>
      <c r="ZR2" s="439"/>
      <c r="ZS2" s="439"/>
      <c r="ZT2" s="439"/>
      <c r="ZU2" s="439"/>
      <c r="ZV2" s="439"/>
      <c r="ZW2" s="439"/>
      <c r="ZX2" s="439"/>
      <c r="ZY2" s="439"/>
      <c r="ZZ2" s="439"/>
      <c r="AAA2" s="439"/>
      <c r="AAB2" s="439"/>
      <c r="AAC2" s="439"/>
      <c r="AAD2" s="439"/>
      <c r="AAE2" s="439"/>
      <c r="AAF2" s="439"/>
      <c r="AAG2" s="439"/>
      <c r="AAH2" s="439"/>
      <c r="AAI2" s="439"/>
      <c r="AAJ2" s="439"/>
      <c r="AAK2" s="439"/>
      <c r="AAL2" s="439"/>
      <c r="AAM2" s="439"/>
      <c r="AAN2" s="439"/>
      <c r="AAO2" s="439"/>
      <c r="AAP2" s="439"/>
      <c r="AAQ2" s="439"/>
      <c r="AAR2" s="439"/>
      <c r="AAS2" s="439"/>
      <c r="AAT2" s="439"/>
      <c r="AAU2" s="439"/>
      <c r="AAV2" s="439"/>
      <c r="AAW2" s="439"/>
      <c r="AAX2" s="439"/>
      <c r="AAY2" s="439"/>
      <c r="AAZ2" s="439"/>
      <c r="ABA2" s="439"/>
      <c r="ABB2" s="439"/>
      <c r="ABC2" s="439"/>
      <c r="ABD2" s="439"/>
      <c r="ABE2" s="439"/>
      <c r="ABF2" s="439"/>
      <c r="ABG2" s="439"/>
      <c r="ABH2" s="439"/>
      <c r="ABI2" s="439"/>
      <c r="ABJ2" s="439"/>
      <c r="ABK2" s="439"/>
      <c r="ABL2" s="439"/>
      <c r="ABM2" s="439"/>
      <c r="ABN2" s="439"/>
      <c r="ABO2" s="439"/>
      <c r="ABP2" s="439"/>
      <c r="ABQ2" s="439"/>
      <c r="ABR2" s="439"/>
      <c r="ABS2" s="439"/>
      <c r="ABT2" s="439"/>
      <c r="ABU2" s="439"/>
      <c r="ABV2" s="439"/>
      <c r="ABW2" s="439"/>
      <c r="ABX2" s="439"/>
      <c r="ABY2" s="439"/>
      <c r="ABZ2" s="439"/>
      <c r="ACA2" s="439"/>
      <c r="ACB2" s="439"/>
      <c r="ACC2" s="439"/>
      <c r="ACD2" s="439"/>
      <c r="ACE2" s="439"/>
      <c r="ACF2" s="439"/>
      <c r="ACG2" s="439"/>
      <c r="ACH2" s="439"/>
      <c r="ACI2" s="439"/>
      <c r="ACJ2" s="439"/>
      <c r="ACK2" s="439"/>
      <c r="ACL2" s="439"/>
      <c r="ACM2" s="439"/>
      <c r="ACN2" s="439"/>
      <c r="ACO2" s="439"/>
      <c r="ACP2" s="439"/>
      <c r="ACQ2" s="439"/>
      <c r="ACR2" s="439"/>
      <c r="ACS2" s="439"/>
      <c r="ACT2" s="439"/>
      <c r="ACU2" s="439"/>
      <c r="ACV2" s="439"/>
      <c r="ACW2" s="439"/>
      <c r="ACX2" s="439"/>
      <c r="ACY2" s="439"/>
      <c r="ACZ2" s="439"/>
      <c r="ADA2" s="439"/>
      <c r="ADB2" s="439"/>
      <c r="ADC2" s="439"/>
      <c r="ADD2" s="439"/>
      <c r="ADE2" s="439"/>
      <c r="ADF2" s="439"/>
      <c r="ADG2" s="439"/>
      <c r="ADH2" s="439"/>
      <c r="ADI2" s="439"/>
      <c r="ADJ2" s="439"/>
      <c r="ADK2" s="439"/>
      <c r="ADL2" s="439"/>
      <c r="ADM2" s="439"/>
      <c r="ADN2" s="439"/>
      <c r="ADO2" s="439"/>
      <c r="ADP2" s="439"/>
      <c r="ADQ2" s="439"/>
      <c r="ADR2" s="439"/>
      <c r="ADS2" s="439"/>
      <c r="ADT2" s="439"/>
      <c r="ADU2" s="439"/>
      <c r="ADV2" s="439"/>
      <c r="ADW2" s="439"/>
      <c r="ADX2" s="439"/>
      <c r="ADY2" s="439"/>
      <c r="ADZ2" s="439"/>
      <c r="AEA2" s="439"/>
      <c r="AEB2" s="439"/>
      <c r="AEC2" s="439"/>
      <c r="AED2" s="439"/>
      <c r="AEE2" s="439"/>
      <c r="AEF2" s="439"/>
      <c r="AEG2" s="439"/>
      <c r="AEH2" s="439"/>
      <c r="AEI2" s="439"/>
      <c r="AEJ2" s="439"/>
      <c r="AEK2" s="439"/>
      <c r="AEL2" s="439"/>
      <c r="AEM2" s="439"/>
      <c r="AEN2" s="439"/>
      <c r="AEO2" s="439"/>
      <c r="AEP2" s="439"/>
      <c r="AEQ2" s="439"/>
      <c r="AER2" s="439"/>
      <c r="AES2" s="439"/>
      <c r="AET2" s="439"/>
      <c r="AEU2" s="439"/>
      <c r="AEV2" s="439"/>
      <c r="AEW2" s="439"/>
      <c r="AEX2" s="439"/>
      <c r="AEY2" s="439"/>
      <c r="AEZ2" s="439"/>
      <c r="AFA2" s="439"/>
      <c r="AFB2" s="439"/>
      <c r="AFC2" s="439"/>
      <c r="AFD2" s="439"/>
      <c r="AFE2" s="439"/>
      <c r="AFF2" s="439"/>
      <c r="AFG2" s="439"/>
      <c r="AFH2" s="439"/>
      <c r="AFI2" s="439"/>
      <c r="AFJ2" s="439"/>
      <c r="AFK2" s="439"/>
      <c r="AFL2" s="439"/>
      <c r="AFM2" s="439"/>
      <c r="AFN2" s="439"/>
      <c r="AFO2" s="439"/>
      <c r="AFP2" s="439"/>
      <c r="AFQ2" s="439"/>
      <c r="AFR2" s="439"/>
      <c r="AFS2" s="439"/>
      <c r="AFT2" s="439"/>
      <c r="AFU2" s="439"/>
      <c r="AFV2" s="439"/>
      <c r="AFW2" s="439"/>
      <c r="AFX2" s="439"/>
      <c r="AFY2" s="439"/>
      <c r="AFZ2" s="439"/>
      <c r="AGA2" s="439"/>
      <c r="AGB2" s="439"/>
      <c r="AGC2" s="439"/>
      <c r="AGD2" s="439"/>
      <c r="AGE2" s="439"/>
      <c r="AGF2" s="439"/>
      <c r="AGG2" s="439"/>
      <c r="AGH2" s="439"/>
      <c r="AGI2" s="439"/>
      <c r="AGJ2" s="439"/>
      <c r="AGK2" s="439"/>
      <c r="AGL2" s="439"/>
      <c r="AGM2" s="439"/>
      <c r="AGN2" s="439"/>
      <c r="AGO2" s="439"/>
      <c r="AGP2" s="439"/>
      <c r="AGQ2" s="439"/>
      <c r="AGR2" s="439"/>
      <c r="AGS2" s="439"/>
      <c r="AGT2" s="439"/>
      <c r="AGU2" s="439"/>
      <c r="AGV2" s="439"/>
      <c r="AGW2" s="439"/>
      <c r="AGX2" s="439"/>
      <c r="AGY2" s="439"/>
      <c r="AGZ2" s="439"/>
      <c r="AHA2" s="439"/>
      <c r="AHB2" s="439"/>
      <c r="AHC2" s="439"/>
      <c r="AHD2" s="439"/>
      <c r="AHE2" s="439"/>
      <c r="AHF2" s="439"/>
      <c r="AHG2" s="439"/>
      <c r="AHH2" s="439"/>
      <c r="AHI2" s="439"/>
      <c r="AHJ2" s="439"/>
      <c r="AHK2" s="439"/>
      <c r="AHL2" s="439"/>
      <c r="AHM2" s="439"/>
      <c r="AHN2" s="439"/>
      <c r="AHO2" s="439"/>
      <c r="AHP2" s="439"/>
      <c r="AHQ2" s="439"/>
      <c r="AHR2" s="439"/>
      <c r="AHS2" s="439"/>
      <c r="AHT2" s="439"/>
      <c r="AHU2" s="439"/>
      <c r="AHV2" s="439"/>
      <c r="AHW2" s="439"/>
      <c r="AHX2" s="439"/>
      <c r="AHY2" s="439"/>
      <c r="AHZ2" s="439"/>
      <c r="AIA2" s="439"/>
      <c r="AIB2" s="439"/>
      <c r="AIC2" s="439"/>
      <c r="AID2" s="439"/>
      <c r="AIE2" s="439"/>
      <c r="AIF2" s="439"/>
      <c r="AIG2" s="439"/>
      <c r="AIH2" s="439"/>
      <c r="AII2" s="439"/>
      <c r="AIJ2" s="439"/>
      <c r="AIK2" s="439"/>
      <c r="AIL2" s="439"/>
      <c r="AIM2" s="439"/>
      <c r="AIN2" s="439"/>
      <c r="AIO2" s="439"/>
      <c r="AIP2" s="439"/>
      <c r="AIQ2" s="439"/>
      <c r="AIR2" s="439"/>
      <c r="AIS2" s="439"/>
      <c r="AIT2" s="439"/>
      <c r="AIU2" s="439"/>
      <c r="AIV2" s="439"/>
      <c r="AIW2" s="439"/>
      <c r="AIX2" s="439"/>
      <c r="AIY2" s="439"/>
      <c r="AIZ2" s="439"/>
      <c r="AJA2" s="439"/>
      <c r="AJB2" s="439"/>
      <c r="AJC2" s="439"/>
      <c r="AJD2" s="439"/>
      <c r="AJE2" s="439"/>
      <c r="AJF2" s="439"/>
      <c r="AJG2" s="439"/>
      <c r="AJH2" s="439"/>
      <c r="AJI2" s="439"/>
      <c r="AJJ2" s="439"/>
      <c r="AJK2" s="439"/>
      <c r="AJL2" s="439"/>
      <c r="AJM2" s="439"/>
      <c r="AJN2" s="439"/>
      <c r="AJO2" s="439"/>
      <c r="AJP2" s="439"/>
      <c r="AJQ2" s="439"/>
      <c r="AJR2" s="439"/>
      <c r="AJS2" s="439"/>
      <c r="AJT2" s="439"/>
      <c r="AJU2" s="439"/>
      <c r="AJV2" s="439"/>
      <c r="AJW2" s="439"/>
      <c r="AJX2" s="439"/>
      <c r="AJY2" s="439"/>
      <c r="AJZ2" s="439"/>
      <c r="AKA2" s="439"/>
      <c r="AKB2" s="439"/>
      <c r="AKC2" s="439"/>
      <c r="AKD2" s="439"/>
      <c r="AKE2" s="439"/>
      <c r="AKF2" s="439"/>
      <c r="AKG2" s="439"/>
      <c r="AKH2" s="439"/>
      <c r="AKI2" s="439"/>
      <c r="AKJ2" s="439"/>
      <c r="AKK2" s="439"/>
      <c r="AKL2" s="439"/>
      <c r="AKM2" s="439"/>
      <c r="AKN2" s="439"/>
      <c r="AKO2" s="439"/>
      <c r="AKP2" s="439"/>
      <c r="AKQ2" s="439"/>
      <c r="AKR2" s="439"/>
      <c r="AKS2" s="439"/>
      <c r="AKT2" s="439"/>
      <c r="AKU2" s="439"/>
      <c r="AKV2" s="439"/>
      <c r="AKW2" s="439"/>
      <c r="AKX2" s="439"/>
      <c r="AKY2" s="439"/>
      <c r="AKZ2" s="439"/>
      <c r="ALA2" s="439"/>
      <c r="ALB2" s="439"/>
      <c r="ALC2" s="439"/>
      <c r="ALD2" s="439"/>
      <c r="ALE2" s="439"/>
      <c r="ALF2" s="439"/>
      <c r="ALG2" s="439"/>
      <c r="ALH2" s="439"/>
      <c r="ALI2" s="439"/>
      <c r="ALJ2" s="439"/>
      <c r="ALK2" s="439"/>
      <c r="ALL2" s="439"/>
      <c r="ALM2" s="439"/>
      <c r="ALN2" s="439"/>
      <c r="ALO2" s="439"/>
      <c r="ALP2" s="439"/>
      <c r="ALQ2" s="439"/>
      <c r="ALR2" s="439"/>
      <c r="ALS2" s="439"/>
      <c r="ALT2" s="439"/>
      <c r="ALU2" s="439"/>
      <c r="ALV2" s="439"/>
      <c r="ALW2" s="439"/>
      <c r="ALX2" s="439"/>
      <c r="ALY2" s="439"/>
      <c r="ALZ2" s="439"/>
      <c r="AMA2" s="439"/>
      <c r="AMB2" s="439"/>
      <c r="AMC2" s="439"/>
      <c r="AMD2" s="439"/>
      <c r="AME2" s="439"/>
      <c r="AMF2" s="439"/>
      <c r="AMG2" s="439"/>
      <c r="AMH2" s="439"/>
      <c r="AMI2" s="439"/>
      <c r="AMJ2" s="439"/>
      <c r="AMK2" s="439"/>
    </row>
    <row r="3" ht="20" customHeight="1" spans="2:12" s="447" customFormat="1" x14ac:dyDescent="0.25">
      <c r="B3" s="448"/>
      <c r="E3" s="449"/>
      <c r="F3" s="449"/>
      <c r="G3" s="449"/>
      <c r="H3" s="449"/>
      <c r="I3" s="449"/>
      <c r="J3" s="449"/>
      <c r="K3" s="449"/>
      <c r="L3" s="449"/>
    </row>
    <row r="4" ht="9.75" customHeight="1" spans="1:12" s="447" customFormat="1" x14ac:dyDescent="0.25">
      <c r="A4" s="448"/>
      <c r="C4" s="449"/>
      <c r="E4" s="449"/>
      <c r="F4" s="449"/>
      <c r="G4" s="449"/>
      <c r="H4" s="449"/>
      <c r="I4" s="449"/>
      <c r="J4" s="449"/>
      <c r="K4" s="449"/>
      <c r="L4" s="449"/>
    </row>
    <row r="5" ht="20" customHeight="1" spans="1:12" s="447" customFormat="1" x14ac:dyDescent="0.25">
      <c r="A5" s="448"/>
      <c r="C5" s="449"/>
      <c r="E5" s="449"/>
      <c r="F5" s="449"/>
      <c r="G5" s="449"/>
      <c r="H5" s="449"/>
      <c r="I5" s="449"/>
      <c r="J5" s="449"/>
      <c r="K5" s="449"/>
      <c r="L5" s="449"/>
    </row>
    <row r="6" ht="20" customHeight="1" spans="3:12" s="447" customFormat="1" x14ac:dyDescent="0.25">
      <c r="C6" s="449"/>
      <c r="E6" s="449"/>
      <c r="F6" s="449"/>
      <c r="G6" s="449"/>
      <c r="H6" s="449"/>
      <c r="I6" s="449"/>
      <c r="J6" s="449"/>
      <c r="K6" s="449"/>
      <c r="L6" s="449"/>
    </row>
    <row r="7" ht="18" customHeight="1" spans="2:8" x14ac:dyDescent="0.25">
      <c r="B7" s="439"/>
      <c r="C7" s="439"/>
      <c r="D7" s="439"/>
      <c r="E7" s="439"/>
      <c r="F7" s="439"/>
      <c r="G7" s="439"/>
      <c r="H7" s="439"/>
    </row>
    <row r="8" ht="20" customHeight="1" spans="1:8" s="450" customFormat="1" x14ac:dyDescent="0.25">
      <c r="A8" s="450" t="s">
        <v>1081</v>
      </c>
      <c r="B8" s="450"/>
      <c r="C8" s="450"/>
      <c r="D8" s="450"/>
      <c r="E8" s="450"/>
      <c r="F8" s="450"/>
      <c r="G8" s="450"/>
      <c r="H8" s="450"/>
    </row>
    <row r="9" ht="6.75" customHeight="1" spans="2:8" x14ac:dyDescent="0.25">
      <c r="B9" s="439"/>
      <c r="C9" s="439"/>
      <c r="D9" s="439"/>
      <c r="E9" s="439"/>
      <c r="F9" s="439"/>
      <c r="G9" s="439"/>
      <c r="H9" s="439"/>
    </row>
    <row r="10" ht="26.25" customHeight="1" spans="1:1021" x14ac:dyDescent="0.25">
      <c r="A10" s="451" t="s">
        <v>113</v>
      </c>
      <c r="B10" s="452" t="s">
        <v>145</v>
      </c>
      <c r="C10" s="453" t="s">
        <v>1135</v>
      </c>
      <c r="D10" s="453"/>
      <c r="E10" s="453"/>
      <c r="F10" s="453"/>
      <c r="G10" s="453"/>
      <c r="H10" s="453"/>
      <c r="I10" s="453"/>
      <c r="J10" s="453"/>
      <c r="K10" s="453" t="s">
        <v>520</v>
      </c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3"/>
      <c r="Z10" s="443"/>
      <c r="AA10" s="443"/>
      <c r="AB10" s="443"/>
      <c r="AC10" s="443"/>
      <c r="AD10" s="443"/>
      <c r="AE10" s="443"/>
      <c r="AF10" s="443"/>
      <c r="AG10" s="443"/>
      <c r="AH10" s="443"/>
      <c r="AI10" s="443"/>
      <c r="AJ10" s="443"/>
      <c r="AK10" s="443"/>
      <c r="AL10" s="443"/>
      <c r="AM10" s="443"/>
      <c r="AN10" s="443"/>
      <c r="AO10" s="443"/>
      <c r="AP10" s="443"/>
      <c r="AQ10" s="443"/>
      <c r="AR10" s="443"/>
      <c r="AS10" s="443"/>
      <c r="AT10" s="443"/>
      <c r="AU10" s="443"/>
      <c r="AV10" s="443"/>
      <c r="AW10" s="443"/>
      <c r="AX10" s="443"/>
      <c r="AY10" s="443"/>
      <c r="AZ10" s="443"/>
      <c r="BA10" s="443"/>
      <c r="BB10" s="443"/>
      <c r="BC10" s="443"/>
      <c r="BD10" s="443"/>
      <c r="BE10" s="443"/>
      <c r="BF10" s="443"/>
      <c r="BG10" s="443"/>
      <c r="BH10" s="443"/>
      <c r="BI10" s="443"/>
      <c r="BJ10" s="443"/>
      <c r="BK10" s="443"/>
      <c r="BL10" s="443"/>
      <c r="BM10" s="443"/>
      <c r="BN10" s="443"/>
      <c r="BO10" s="443"/>
      <c r="BP10" s="443"/>
      <c r="BQ10" s="443"/>
      <c r="BR10" s="443"/>
      <c r="BS10" s="443"/>
      <c r="BT10" s="443"/>
      <c r="BU10" s="443"/>
      <c r="BV10" s="443"/>
      <c r="BW10" s="443"/>
      <c r="BX10" s="443"/>
      <c r="BY10" s="443"/>
      <c r="BZ10" s="443"/>
      <c r="CA10" s="443"/>
      <c r="CB10" s="443"/>
      <c r="CC10" s="443"/>
      <c r="CD10" s="443"/>
      <c r="CE10" s="443"/>
      <c r="CF10" s="443"/>
      <c r="CG10" s="443"/>
      <c r="CH10" s="443"/>
      <c r="CI10" s="443"/>
      <c r="CJ10" s="443"/>
      <c r="CK10" s="443"/>
      <c r="CL10" s="443"/>
      <c r="CM10" s="443"/>
      <c r="CN10" s="443"/>
      <c r="CO10" s="443"/>
      <c r="CP10" s="443"/>
      <c r="CQ10" s="443"/>
      <c r="CR10" s="443"/>
      <c r="CS10" s="443"/>
      <c r="CT10" s="443"/>
      <c r="CU10" s="443"/>
      <c r="CV10" s="443"/>
      <c r="CW10" s="443"/>
      <c r="CX10" s="443"/>
      <c r="CY10" s="443"/>
      <c r="CZ10" s="443"/>
      <c r="DA10" s="443"/>
      <c r="DB10" s="443"/>
      <c r="DC10" s="443"/>
      <c r="DD10" s="443"/>
      <c r="DE10" s="443"/>
      <c r="DF10" s="443"/>
      <c r="DG10" s="443"/>
      <c r="DH10" s="443"/>
      <c r="DI10" s="443"/>
      <c r="DJ10" s="443"/>
      <c r="DK10" s="443"/>
      <c r="DL10" s="443"/>
      <c r="DM10" s="443"/>
      <c r="DN10" s="443"/>
      <c r="DO10" s="443"/>
      <c r="DP10" s="443"/>
      <c r="DQ10" s="443"/>
      <c r="DR10" s="443"/>
      <c r="DS10" s="443"/>
      <c r="DT10" s="443"/>
      <c r="DU10" s="443"/>
      <c r="DV10" s="443"/>
      <c r="DW10" s="443"/>
      <c r="DX10" s="443"/>
      <c r="DY10" s="443"/>
      <c r="DZ10" s="443"/>
      <c r="EA10" s="443"/>
      <c r="EB10" s="443"/>
      <c r="EC10" s="443"/>
      <c r="ED10" s="443"/>
      <c r="EE10" s="443"/>
      <c r="EF10" s="443"/>
      <c r="EG10" s="443"/>
      <c r="EH10" s="443"/>
      <c r="EI10" s="443"/>
      <c r="EJ10" s="443"/>
      <c r="EK10" s="443"/>
      <c r="EL10" s="443"/>
      <c r="EM10" s="443"/>
      <c r="EN10" s="443"/>
      <c r="EO10" s="443"/>
      <c r="EP10" s="443"/>
      <c r="EQ10" s="443"/>
      <c r="ER10" s="443"/>
      <c r="ES10" s="443"/>
      <c r="ET10" s="443"/>
      <c r="EU10" s="443"/>
      <c r="EV10" s="443"/>
      <c r="EW10" s="443"/>
      <c r="EX10" s="443"/>
      <c r="EY10" s="443"/>
      <c r="EZ10" s="443"/>
      <c r="FA10" s="443"/>
      <c r="FB10" s="443"/>
      <c r="FC10" s="443"/>
      <c r="FD10" s="443"/>
      <c r="FE10" s="443"/>
      <c r="FF10" s="443"/>
      <c r="FG10" s="443"/>
      <c r="FH10" s="443"/>
      <c r="FI10" s="443"/>
      <c r="FJ10" s="443"/>
      <c r="FK10" s="443"/>
      <c r="FL10" s="443"/>
      <c r="FM10" s="443"/>
      <c r="FN10" s="443"/>
      <c r="FO10" s="443"/>
      <c r="FP10" s="443"/>
      <c r="FQ10" s="443"/>
      <c r="FR10" s="443"/>
      <c r="FS10" s="443"/>
      <c r="FT10" s="443"/>
      <c r="FU10" s="443"/>
      <c r="FV10" s="443"/>
      <c r="FW10" s="443"/>
      <c r="FX10" s="443"/>
      <c r="FY10" s="443"/>
      <c r="FZ10" s="443"/>
      <c r="GA10" s="443"/>
      <c r="GB10" s="443"/>
      <c r="GC10" s="443"/>
      <c r="GD10" s="443"/>
      <c r="GE10" s="443"/>
      <c r="GF10" s="443"/>
      <c r="GG10" s="443"/>
      <c r="GH10" s="443"/>
      <c r="GI10" s="443"/>
      <c r="GJ10" s="443"/>
      <c r="GK10" s="443"/>
      <c r="GL10" s="443"/>
      <c r="GM10" s="443"/>
      <c r="GN10" s="443"/>
      <c r="GO10" s="443"/>
      <c r="GP10" s="443"/>
      <c r="GQ10" s="443"/>
      <c r="GR10" s="443"/>
      <c r="GS10" s="443"/>
      <c r="GT10" s="443"/>
      <c r="GU10" s="443"/>
      <c r="GV10" s="443"/>
      <c r="GW10" s="443"/>
      <c r="GX10" s="443"/>
      <c r="GY10" s="443"/>
      <c r="GZ10" s="443"/>
      <c r="HA10" s="443"/>
      <c r="HB10" s="443"/>
      <c r="HC10" s="443"/>
      <c r="HD10" s="443"/>
      <c r="HE10" s="443"/>
      <c r="HF10" s="443"/>
      <c r="HG10" s="443"/>
      <c r="HH10" s="443"/>
      <c r="HI10" s="443"/>
      <c r="HJ10" s="443"/>
      <c r="HK10" s="443"/>
      <c r="HL10" s="443"/>
      <c r="HM10" s="443"/>
      <c r="HN10" s="443"/>
      <c r="HO10" s="443"/>
      <c r="HP10" s="443"/>
      <c r="HQ10" s="443"/>
      <c r="HR10" s="443"/>
      <c r="HS10" s="443"/>
      <c r="HT10" s="443"/>
      <c r="HU10" s="443"/>
      <c r="HV10" s="443"/>
      <c r="HW10" s="443"/>
      <c r="HX10" s="443"/>
      <c r="HY10" s="443"/>
      <c r="HZ10" s="443"/>
      <c r="IA10" s="443"/>
      <c r="IB10" s="443"/>
      <c r="IC10" s="443"/>
      <c r="ID10" s="443"/>
      <c r="IE10" s="443"/>
      <c r="IF10" s="443"/>
      <c r="IG10" s="443"/>
      <c r="IH10" s="443"/>
      <c r="II10" s="443"/>
      <c r="IJ10" s="443"/>
      <c r="IK10" s="443"/>
      <c r="IL10" s="443"/>
      <c r="IM10" s="443"/>
      <c r="IN10" s="443"/>
      <c r="IO10" s="443"/>
      <c r="IP10" s="443"/>
      <c r="IQ10" s="443"/>
      <c r="IR10" s="443"/>
      <c r="IS10" s="443"/>
      <c r="IT10" s="443"/>
      <c r="IU10" s="443"/>
      <c r="IV10" s="443"/>
      <c r="IW10" s="443"/>
      <c r="IX10" s="443"/>
      <c r="IY10" s="443"/>
      <c r="IZ10" s="443"/>
      <c r="JA10" s="443"/>
      <c r="JB10" s="443"/>
      <c r="JC10" s="443"/>
      <c r="JD10" s="443"/>
      <c r="JE10" s="443"/>
      <c r="JF10" s="443"/>
      <c r="JG10" s="443"/>
      <c r="JH10" s="443"/>
      <c r="JI10" s="443"/>
      <c r="JJ10" s="443"/>
      <c r="JK10" s="443"/>
      <c r="JL10" s="443"/>
      <c r="JM10" s="443"/>
      <c r="JN10" s="443"/>
      <c r="JO10" s="443"/>
      <c r="JP10" s="443"/>
      <c r="JQ10" s="443"/>
      <c r="JR10" s="443"/>
      <c r="JS10" s="443"/>
      <c r="JT10" s="443"/>
      <c r="JU10" s="443"/>
      <c r="JV10" s="443"/>
      <c r="JW10" s="443"/>
      <c r="JX10" s="443"/>
      <c r="JY10" s="443"/>
      <c r="JZ10" s="443"/>
      <c r="KA10" s="443"/>
      <c r="KB10" s="443"/>
      <c r="KC10" s="443"/>
      <c r="KD10" s="443"/>
      <c r="KE10" s="443"/>
      <c r="KF10" s="443"/>
      <c r="KG10" s="443"/>
      <c r="KH10" s="443"/>
      <c r="KI10" s="443"/>
      <c r="KJ10" s="443"/>
      <c r="KK10" s="443"/>
      <c r="KL10" s="443"/>
      <c r="KM10" s="443"/>
      <c r="KN10" s="443"/>
      <c r="KO10" s="443"/>
      <c r="KP10" s="443"/>
      <c r="KQ10" s="443"/>
      <c r="KR10" s="443"/>
      <c r="KS10" s="443"/>
      <c r="KT10" s="443"/>
      <c r="KU10" s="443"/>
      <c r="KV10" s="443"/>
      <c r="KW10" s="443"/>
      <c r="KX10" s="443"/>
      <c r="KY10" s="443"/>
      <c r="KZ10" s="443"/>
      <c r="LA10" s="443"/>
      <c r="LB10" s="443"/>
      <c r="LC10" s="443"/>
      <c r="LD10" s="443"/>
      <c r="LE10" s="443"/>
      <c r="LF10" s="443"/>
      <c r="LG10" s="443"/>
      <c r="LH10" s="443"/>
      <c r="LI10" s="443"/>
      <c r="LJ10" s="443"/>
      <c r="LK10" s="443"/>
      <c r="LL10" s="443"/>
      <c r="LM10" s="443"/>
      <c r="LN10" s="443"/>
      <c r="LO10" s="443"/>
      <c r="LP10" s="443"/>
      <c r="LQ10" s="443"/>
      <c r="LR10" s="443"/>
      <c r="LS10" s="443"/>
      <c r="LT10" s="443"/>
      <c r="LU10" s="443"/>
      <c r="LV10" s="443"/>
      <c r="LW10" s="443"/>
      <c r="LX10" s="443"/>
      <c r="LY10" s="443"/>
      <c r="LZ10" s="443"/>
      <c r="MA10" s="443"/>
      <c r="MB10" s="443"/>
      <c r="MC10" s="443"/>
      <c r="MD10" s="443"/>
      <c r="ME10" s="443"/>
      <c r="MF10" s="443"/>
      <c r="MG10" s="443"/>
      <c r="MH10" s="443"/>
      <c r="MI10" s="443"/>
      <c r="MJ10" s="443"/>
      <c r="MK10" s="443"/>
      <c r="ML10" s="443"/>
      <c r="MM10" s="443"/>
      <c r="MN10" s="443"/>
      <c r="MO10" s="443"/>
      <c r="MP10" s="443"/>
      <c r="MQ10" s="443"/>
      <c r="MR10" s="443"/>
      <c r="MS10" s="443"/>
      <c r="MT10" s="443"/>
      <c r="MU10" s="443"/>
      <c r="MV10" s="443"/>
      <c r="MW10" s="443"/>
      <c r="MX10" s="443"/>
      <c r="MY10" s="443"/>
      <c r="MZ10" s="443"/>
      <c r="NA10" s="443"/>
      <c r="NB10" s="443"/>
      <c r="NC10" s="443"/>
      <c r="ND10" s="443"/>
      <c r="NE10" s="443"/>
      <c r="NF10" s="443"/>
      <c r="NG10" s="443"/>
      <c r="NH10" s="443"/>
      <c r="NI10" s="443"/>
      <c r="NJ10" s="443"/>
      <c r="NK10" s="443"/>
      <c r="NL10" s="443"/>
      <c r="NM10" s="443"/>
      <c r="NN10" s="443"/>
      <c r="NO10" s="443"/>
      <c r="NP10" s="443"/>
      <c r="NQ10" s="443"/>
      <c r="NR10" s="443"/>
      <c r="NS10" s="443"/>
      <c r="NT10" s="443"/>
      <c r="NU10" s="443"/>
      <c r="NV10" s="443"/>
      <c r="NW10" s="443"/>
      <c r="NX10" s="443"/>
      <c r="NY10" s="443"/>
      <c r="NZ10" s="443"/>
      <c r="OA10" s="443"/>
      <c r="OB10" s="443"/>
      <c r="OC10" s="443"/>
      <c r="OD10" s="443"/>
      <c r="OE10" s="443"/>
      <c r="OF10" s="443"/>
      <c r="OG10" s="443"/>
      <c r="OH10" s="443"/>
      <c r="OI10" s="443"/>
      <c r="OJ10" s="443"/>
      <c r="OK10" s="443"/>
      <c r="OL10" s="443"/>
      <c r="OM10" s="443"/>
      <c r="ON10" s="443"/>
      <c r="OO10" s="443"/>
      <c r="OP10" s="443"/>
      <c r="OQ10" s="443"/>
      <c r="OR10" s="443"/>
      <c r="OS10" s="443"/>
      <c r="OT10" s="443"/>
      <c r="OU10" s="443"/>
      <c r="OV10" s="443"/>
      <c r="OW10" s="443"/>
      <c r="OX10" s="443"/>
      <c r="OY10" s="443"/>
      <c r="OZ10" s="443"/>
      <c r="PA10" s="443"/>
      <c r="PB10" s="443"/>
      <c r="PC10" s="443"/>
      <c r="PD10" s="443"/>
      <c r="PE10" s="443"/>
      <c r="PF10" s="443"/>
      <c r="PG10" s="443"/>
      <c r="PH10" s="443"/>
      <c r="PI10" s="443"/>
      <c r="PJ10" s="443"/>
      <c r="PK10" s="443"/>
      <c r="PL10" s="443"/>
      <c r="PM10" s="443"/>
      <c r="PN10" s="443"/>
      <c r="PO10" s="443"/>
      <c r="PP10" s="443"/>
      <c r="PQ10" s="443"/>
      <c r="PR10" s="443"/>
      <c r="PS10" s="443"/>
      <c r="PT10" s="443"/>
      <c r="PU10" s="443"/>
      <c r="PV10" s="443"/>
      <c r="PW10" s="443"/>
      <c r="PX10" s="443"/>
      <c r="PY10" s="443"/>
      <c r="PZ10" s="443"/>
      <c r="QA10" s="443"/>
      <c r="QB10" s="443"/>
      <c r="QC10" s="443"/>
      <c r="QD10" s="443"/>
      <c r="QE10" s="443"/>
      <c r="QF10" s="443"/>
      <c r="QG10" s="443"/>
      <c r="QH10" s="443"/>
      <c r="QI10" s="443"/>
      <c r="QJ10" s="443"/>
      <c r="QK10" s="443"/>
      <c r="QL10" s="443"/>
      <c r="QM10" s="443"/>
      <c r="QN10" s="443"/>
      <c r="QO10" s="443"/>
      <c r="QP10" s="443"/>
      <c r="QQ10" s="443"/>
      <c r="QR10" s="443"/>
      <c r="QS10" s="443"/>
      <c r="QT10" s="443"/>
      <c r="QU10" s="443"/>
      <c r="QV10" s="443"/>
      <c r="QW10" s="443"/>
      <c r="QX10" s="443"/>
      <c r="QY10" s="443"/>
      <c r="QZ10" s="443"/>
      <c r="RA10" s="443"/>
      <c r="RB10" s="443"/>
      <c r="RC10" s="443"/>
      <c r="RD10" s="443"/>
      <c r="RE10" s="443"/>
      <c r="RF10" s="443"/>
      <c r="RG10" s="443"/>
      <c r="RH10" s="443"/>
      <c r="RI10" s="443"/>
      <c r="RJ10" s="443"/>
      <c r="RK10" s="443"/>
      <c r="RL10" s="443"/>
      <c r="RM10" s="443"/>
      <c r="RN10" s="443"/>
      <c r="RO10" s="443"/>
      <c r="RP10" s="443"/>
      <c r="RQ10" s="443"/>
      <c r="RR10" s="443"/>
      <c r="RS10" s="443"/>
      <c r="RT10" s="443"/>
      <c r="RU10" s="443"/>
      <c r="RV10" s="443"/>
      <c r="RW10" s="443"/>
      <c r="RX10" s="443"/>
      <c r="RY10" s="443"/>
      <c r="RZ10" s="443"/>
      <c r="SA10" s="443"/>
      <c r="SB10" s="443"/>
      <c r="SC10" s="443"/>
      <c r="SD10" s="443"/>
      <c r="SE10" s="443"/>
      <c r="SF10" s="443"/>
      <c r="SG10" s="443"/>
      <c r="SH10" s="443"/>
      <c r="SI10" s="443"/>
      <c r="SJ10" s="443"/>
      <c r="SK10" s="443"/>
      <c r="SL10" s="443"/>
      <c r="SM10" s="443"/>
      <c r="SN10" s="443"/>
      <c r="SO10" s="443"/>
      <c r="SP10" s="443"/>
      <c r="SQ10" s="443"/>
      <c r="SR10" s="443"/>
      <c r="SS10" s="443"/>
      <c r="ST10" s="443"/>
      <c r="SU10" s="443"/>
      <c r="SV10" s="443"/>
      <c r="SW10" s="443"/>
      <c r="SX10" s="443"/>
      <c r="SY10" s="443"/>
      <c r="SZ10" s="443"/>
      <c r="TA10" s="443"/>
      <c r="TB10" s="443"/>
      <c r="TC10" s="443"/>
      <c r="TD10" s="443"/>
      <c r="TE10" s="443"/>
      <c r="TF10" s="443"/>
      <c r="TG10" s="443"/>
      <c r="TH10" s="443"/>
      <c r="TI10" s="443"/>
      <c r="TJ10" s="443"/>
      <c r="TK10" s="443"/>
      <c r="TL10" s="443"/>
      <c r="TM10" s="443"/>
      <c r="TN10" s="443"/>
      <c r="TO10" s="443"/>
      <c r="TP10" s="443"/>
      <c r="TQ10" s="443"/>
      <c r="TR10" s="443"/>
      <c r="TS10" s="443"/>
      <c r="TT10" s="443"/>
      <c r="TU10" s="443"/>
      <c r="TV10" s="443"/>
      <c r="TW10" s="443"/>
      <c r="TX10" s="443"/>
      <c r="TY10" s="443"/>
      <c r="TZ10" s="443"/>
      <c r="UA10" s="443"/>
      <c r="UB10" s="443"/>
      <c r="UC10" s="443"/>
      <c r="UD10" s="443"/>
      <c r="UE10" s="443"/>
      <c r="UF10" s="443"/>
      <c r="UG10" s="443"/>
      <c r="UH10" s="443"/>
      <c r="UI10" s="443"/>
      <c r="UJ10" s="443"/>
      <c r="UK10" s="443"/>
      <c r="UL10" s="443"/>
      <c r="UM10" s="443"/>
      <c r="UN10" s="443"/>
      <c r="UO10" s="443"/>
      <c r="UP10" s="443"/>
      <c r="UQ10" s="443"/>
      <c r="UR10" s="443"/>
      <c r="US10" s="443"/>
      <c r="UT10" s="443"/>
      <c r="UU10" s="443"/>
      <c r="UV10" s="443"/>
      <c r="UW10" s="443"/>
      <c r="UX10" s="443"/>
      <c r="UY10" s="443"/>
      <c r="UZ10" s="443"/>
      <c r="VA10" s="443"/>
      <c r="VB10" s="443"/>
      <c r="VC10" s="443"/>
      <c r="VD10" s="443"/>
      <c r="VE10" s="443"/>
      <c r="VF10" s="443"/>
      <c r="VG10" s="443"/>
      <c r="VH10" s="443"/>
      <c r="VI10" s="443"/>
      <c r="VJ10" s="443"/>
      <c r="VK10" s="443"/>
      <c r="VL10" s="443"/>
      <c r="VM10" s="443"/>
      <c r="VN10" s="443"/>
      <c r="VO10" s="443"/>
      <c r="VP10" s="443"/>
      <c r="VQ10" s="443"/>
      <c r="VR10" s="443"/>
      <c r="VS10" s="443"/>
      <c r="VT10" s="443"/>
      <c r="VU10" s="443"/>
      <c r="VV10" s="443"/>
      <c r="VW10" s="443"/>
      <c r="VX10" s="443"/>
      <c r="VY10" s="443"/>
      <c r="VZ10" s="443"/>
      <c r="WA10" s="443"/>
      <c r="WB10" s="443"/>
      <c r="WC10" s="443"/>
      <c r="WD10" s="443"/>
      <c r="WE10" s="443"/>
      <c r="WF10" s="443"/>
      <c r="WG10" s="443"/>
      <c r="WH10" s="443"/>
      <c r="WI10" s="443"/>
      <c r="WJ10" s="443"/>
      <c r="WK10" s="443"/>
      <c r="WL10" s="443"/>
      <c r="WM10" s="443"/>
      <c r="WN10" s="443"/>
      <c r="WO10" s="443"/>
      <c r="WP10" s="443"/>
      <c r="WQ10" s="443"/>
      <c r="WR10" s="443"/>
      <c r="WS10" s="443"/>
      <c r="WT10" s="443"/>
      <c r="WU10" s="443"/>
      <c r="WV10" s="443"/>
      <c r="WW10" s="443"/>
      <c r="WX10" s="443"/>
      <c r="WY10" s="443"/>
      <c r="WZ10" s="443"/>
      <c r="XA10" s="443"/>
      <c r="XB10" s="443"/>
      <c r="XC10" s="443"/>
      <c r="XD10" s="443"/>
      <c r="XE10" s="443"/>
      <c r="XF10" s="443"/>
      <c r="XG10" s="443"/>
      <c r="XH10" s="443"/>
      <c r="XI10" s="443"/>
      <c r="XJ10" s="443"/>
      <c r="XK10" s="443"/>
      <c r="XL10" s="443"/>
      <c r="XM10" s="443"/>
      <c r="XN10" s="443"/>
      <c r="XO10" s="443"/>
      <c r="XP10" s="443"/>
      <c r="XQ10" s="443"/>
      <c r="XR10" s="443"/>
      <c r="XS10" s="443"/>
      <c r="XT10" s="443"/>
      <c r="XU10" s="443"/>
      <c r="XV10" s="443"/>
      <c r="XW10" s="443"/>
      <c r="XX10" s="443"/>
      <c r="XY10" s="443"/>
      <c r="XZ10" s="443"/>
      <c r="YA10" s="443"/>
      <c r="YB10" s="443"/>
      <c r="YC10" s="443"/>
      <c r="YD10" s="443"/>
      <c r="YE10" s="443"/>
      <c r="YF10" s="443"/>
      <c r="YG10" s="443"/>
      <c r="YH10" s="443"/>
      <c r="YI10" s="443"/>
      <c r="YJ10" s="443"/>
      <c r="YK10" s="443"/>
      <c r="YL10" s="443"/>
      <c r="YM10" s="443"/>
      <c r="YN10" s="443"/>
      <c r="YO10" s="443"/>
      <c r="YP10" s="443"/>
      <c r="YQ10" s="443"/>
      <c r="YR10" s="443"/>
      <c r="YS10" s="443"/>
      <c r="YT10" s="443"/>
      <c r="YU10" s="443"/>
      <c r="YV10" s="443"/>
      <c r="YW10" s="443"/>
      <c r="YX10" s="443"/>
      <c r="YY10" s="443"/>
      <c r="YZ10" s="443"/>
      <c r="ZA10" s="443"/>
      <c r="ZB10" s="443"/>
      <c r="ZC10" s="443"/>
      <c r="ZD10" s="443"/>
      <c r="ZE10" s="443"/>
      <c r="ZF10" s="443"/>
      <c r="ZG10" s="443"/>
      <c r="ZH10" s="443"/>
      <c r="ZI10" s="443"/>
      <c r="ZJ10" s="443"/>
      <c r="ZK10" s="443"/>
      <c r="ZL10" s="443"/>
      <c r="ZM10" s="443"/>
      <c r="ZN10" s="443"/>
      <c r="ZO10" s="443"/>
      <c r="ZP10" s="443"/>
      <c r="ZQ10" s="443"/>
      <c r="ZR10" s="443"/>
      <c r="ZS10" s="443"/>
      <c r="ZT10" s="443"/>
      <c r="ZU10" s="443"/>
      <c r="ZV10" s="443"/>
      <c r="ZW10" s="443"/>
      <c r="ZX10" s="443"/>
      <c r="ZY10" s="443"/>
      <c r="ZZ10" s="443"/>
      <c r="AAA10" s="443"/>
      <c r="AAB10" s="443"/>
      <c r="AAC10" s="443"/>
      <c r="AAD10" s="443"/>
      <c r="AAE10" s="443"/>
      <c r="AAF10" s="443"/>
      <c r="AAG10" s="443"/>
      <c r="AAH10" s="443"/>
      <c r="AAI10" s="443"/>
      <c r="AAJ10" s="443"/>
      <c r="AAK10" s="443"/>
      <c r="AAL10" s="443"/>
      <c r="AAM10" s="443"/>
      <c r="AAN10" s="443"/>
      <c r="AAO10" s="443"/>
      <c r="AAP10" s="443"/>
      <c r="AAQ10" s="443"/>
      <c r="AAR10" s="443"/>
      <c r="AAS10" s="443"/>
      <c r="AAT10" s="443"/>
      <c r="AAU10" s="443"/>
      <c r="AAV10" s="443"/>
      <c r="AAW10" s="443"/>
      <c r="AAX10" s="443"/>
      <c r="AAY10" s="443"/>
      <c r="AAZ10" s="443"/>
      <c r="ABA10" s="443"/>
      <c r="ABB10" s="443"/>
      <c r="ABC10" s="443"/>
      <c r="ABD10" s="443"/>
      <c r="ABE10" s="443"/>
      <c r="ABF10" s="443"/>
      <c r="ABG10" s="443"/>
      <c r="ABH10" s="443"/>
      <c r="ABI10" s="443"/>
      <c r="ABJ10" s="443"/>
      <c r="ABK10" s="443"/>
      <c r="ABL10" s="443"/>
      <c r="ABM10" s="443"/>
      <c r="ABN10" s="443"/>
      <c r="ABO10" s="443"/>
      <c r="ABP10" s="443"/>
      <c r="ABQ10" s="443"/>
      <c r="ABR10" s="443"/>
      <c r="ABS10" s="443"/>
      <c r="ABT10" s="443"/>
      <c r="ABU10" s="443"/>
      <c r="ABV10" s="443"/>
      <c r="ABW10" s="443"/>
      <c r="ABX10" s="443"/>
      <c r="ABY10" s="443"/>
      <c r="ABZ10" s="443"/>
      <c r="ACA10" s="443"/>
      <c r="ACB10" s="443"/>
      <c r="ACC10" s="443"/>
      <c r="ACD10" s="443"/>
      <c r="ACE10" s="443"/>
      <c r="ACF10" s="443"/>
      <c r="ACG10" s="443"/>
      <c r="ACH10" s="443"/>
      <c r="ACI10" s="443"/>
      <c r="ACJ10" s="443"/>
      <c r="ACK10" s="443"/>
      <c r="ACL10" s="443"/>
      <c r="ACM10" s="443"/>
      <c r="ACN10" s="443"/>
      <c r="ACO10" s="443"/>
      <c r="ACP10" s="443"/>
      <c r="ACQ10" s="443"/>
      <c r="ACR10" s="443"/>
      <c r="ACS10" s="443"/>
      <c r="ACT10" s="443"/>
      <c r="ACU10" s="443"/>
      <c r="ACV10" s="443"/>
      <c r="ACW10" s="443"/>
      <c r="ACX10" s="443"/>
      <c r="ACY10" s="443"/>
      <c r="ACZ10" s="443"/>
      <c r="ADA10" s="443"/>
      <c r="ADB10" s="443"/>
      <c r="ADC10" s="443"/>
      <c r="ADD10" s="443"/>
      <c r="ADE10" s="443"/>
      <c r="ADF10" s="443"/>
      <c r="ADG10" s="443"/>
      <c r="ADH10" s="443"/>
      <c r="ADI10" s="443"/>
      <c r="ADJ10" s="443"/>
      <c r="ADK10" s="443"/>
      <c r="ADL10" s="443"/>
      <c r="ADM10" s="443"/>
      <c r="ADN10" s="443"/>
      <c r="ADO10" s="443"/>
      <c r="ADP10" s="443"/>
      <c r="ADQ10" s="443"/>
      <c r="ADR10" s="443"/>
      <c r="ADS10" s="443"/>
      <c r="ADT10" s="443"/>
      <c r="ADU10" s="443"/>
      <c r="ADV10" s="443"/>
      <c r="ADW10" s="443"/>
      <c r="ADX10" s="443"/>
      <c r="ADY10" s="443"/>
      <c r="ADZ10" s="443"/>
      <c r="AEA10" s="443"/>
      <c r="AEB10" s="443"/>
      <c r="AEC10" s="443"/>
      <c r="AED10" s="443"/>
      <c r="AEE10" s="443"/>
      <c r="AEF10" s="443"/>
      <c r="AEG10" s="443"/>
      <c r="AEH10" s="443"/>
      <c r="AEI10" s="443"/>
      <c r="AEJ10" s="443"/>
      <c r="AEK10" s="443"/>
      <c r="AEL10" s="443"/>
      <c r="AEM10" s="443"/>
      <c r="AEN10" s="443"/>
      <c r="AEO10" s="443"/>
      <c r="AEP10" s="443"/>
      <c r="AEQ10" s="443"/>
      <c r="AER10" s="443"/>
      <c r="AES10" s="443"/>
      <c r="AET10" s="443"/>
      <c r="AEU10" s="443"/>
      <c r="AEV10" s="443"/>
      <c r="AEW10" s="443"/>
      <c r="AEX10" s="443"/>
      <c r="AEY10" s="443"/>
      <c r="AEZ10" s="443"/>
      <c r="AFA10" s="443"/>
      <c r="AFB10" s="443"/>
      <c r="AFC10" s="443"/>
      <c r="AFD10" s="443"/>
      <c r="AFE10" s="443"/>
      <c r="AFF10" s="443"/>
      <c r="AFG10" s="443"/>
      <c r="AFH10" s="443"/>
      <c r="AFI10" s="443"/>
      <c r="AFJ10" s="443"/>
      <c r="AFK10" s="443"/>
      <c r="AFL10" s="443"/>
      <c r="AFM10" s="443"/>
      <c r="AFN10" s="443"/>
      <c r="AFO10" s="443"/>
      <c r="AFP10" s="443"/>
      <c r="AFQ10" s="443"/>
      <c r="AFR10" s="443"/>
      <c r="AFS10" s="443"/>
      <c r="AFT10" s="443"/>
      <c r="AFU10" s="443"/>
      <c r="AFV10" s="443"/>
      <c r="AFW10" s="443"/>
      <c r="AFX10" s="443"/>
      <c r="AFY10" s="443"/>
      <c r="AFZ10" s="443"/>
      <c r="AGA10" s="443"/>
      <c r="AGB10" s="443"/>
      <c r="AGC10" s="443"/>
      <c r="AGD10" s="443"/>
      <c r="AGE10" s="443"/>
      <c r="AGF10" s="443"/>
      <c r="AGG10" s="443"/>
      <c r="AGH10" s="443"/>
      <c r="AGI10" s="443"/>
      <c r="AGJ10" s="443"/>
      <c r="AGK10" s="443"/>
      <c r="AGL10" s="443"/>
      <c r="AGM10" s="443"/>
      <c r="AGN10" s="443"/>
      <c r="AGO10" s="443"/>
      <c r="AGP10" s="443"/>
      <c r="AGQ10" s="443"/>
      <c r="AGR10" s="443"/>
      <c r="AGS10" s="443"/>
      <c r="AGT10" s="443"/>
      <c r="AGU10" s="443"/>
      <c r="AGV10" s="443"/>
      <c r="AGW10" s="443"/>
      <c r="AGX10" s="443"/>
      <c r="AGY10" s="443"/>
      <c r="AGZ10" s="443"/>
      <c r="AHA10" s="443"/>
      <c r="AHB10" s="443"/>
      <c r="AHC10" s="443"/>
      <c r="AHD10" s="443"/>
      <c r="AHE10" s="443"/>
      <c r="AHF10" s="443"/>
      <c r="AHG10" s="443"/>
      <c r="AHH10" s="443"/>
      <c r="AHI10" s="443"/>
      <c r="AHJ10" s="443"/>
      <c r="AHK10" s="443"/>
      <c r="AHL10" s="443"/>
      <c r="AHM10" s="443"/>
      <c r="AHN10" s="443"/>
      <c r="AHO10" s="443"/>
      <c r="AHP10" s="443"/>
      <c r="AHQ10" s="443"/>
      <c r="AHR10" s="443"/>
      <c r="AHS10" s="443"/>
      <c r="AHT10" s="443"/>
      <c r="AHU10" s="443"/>
      <c r="AHV10" s="443"/>
      <c r="AHW10" s="443"/>
      <c r="AHX10" s="443"/>
      <c r="AHY10" s="443"/>
      <c r="AHZ10" s="443"/>
      <c r="AIA10" s="443"/>
      <c r="AIB10" s="443"/>
      <c r="AIC10" s="443"/>
      <c r="AID10" s="443"/>
      <c r="AIE10" s="443"/>
      <c r="AIF10" s="443"/>
      <c r="AIG10" s="443"/>
      <c r="AIH10" s="443"/>
      <c r="AII10" s="443"/>
      <c r="AIJ10" s="443"/>
      <c r="AIK10" s="443"/>
      <c r="AIL10" s="443"/>
      <c r="AIM10" s="443"/>
      <c r="AIN10" s="443"/>
      <c r="AIO10" s="443"/>
      <c r="AIP10" s="443"/>
      <c r="AIQ10" s="443"/>
      <c r="AIR10" s="443"/>
      <c r="AIS10" s="443"/>
      <c r="AIT10" s="443"/>
      <c r="AIU10" s="443"/>
      <c r="AIV10" s="443"/>
      <c r="AIW10" s="443"/>
      <c r="AIX10" s="443"/>
      <c r="AIY10" s="443"/>
      <c r="AIZ10" s="443"/>
      <c r="AJA10" s="443"/>
      <c r="AJB10" s="443"/>
      <c r="AJC10" s="443"/>
      <c r="AJD10" s="443"/>
      <c r="AJE10" s="443"/>
      <c r="AJF10" s="443"/>
      <c r="AJG10" s="443"/>
      <c r="AJH10" s="443"/>
      <c r="AJI10" s="443"/>
      <c r="AJJ10" s="443"/>
      <c r="AJK10" s="443"/>
      <c r="AJL10" s="443"/>
      <c r="AJM10" s="443"/>
      <c r="AJN10" s="443"/>
      <c r="AJO10" s="443"/>
      <c r="AJP10" s="443"/>
      <c r="AJQ10" s="443"/>
      <c r="AJR10" s="443"/>
      <c r="AJS10" s="443"/>
      <c r="AJT10" s="443"/>
      <c r="AJU10" s="443"/>
      <c r="AJV10" s="443"/>
      <c r="AJW10" s="443"/>
      <c r="AJX10" s="443"/>
      <c r="AJY10" s="443"/>
      <c r="AJZ10" s="443"/>
      <c r="AKA10" s="443"/>
      <c r="AKB10" s="443"/>
      <c r="AKC10" s="443"/>
      <c r="AKD10" s="443"/>
      <c r="AKE10" s="443"/>
      <c r="AKF10" s="443"/>
      <c r="AKG10" s="443"/>
      <c r="AKH10" s="443"/>
      <c r="AKI10" s="443"/>
      <c r="AKJ10" s="443"/>
      <c r="AKK10" s="443"/>
      <c r="AKL10" s="443"/>
      <c r="AKM10" s="443"/>
      <c r="AKN10" s="443"/>
      <c r="AKO10" s="443"/>
      <c r="AKP10" s="443"/>
      <c r="AKQ10" s="443"/>
      <c r="AKR10" s="443"/>
      <c r="AKS10" s="443"/>
      <c r="AKT10" s="443"/>
      <c r="AKU10" s="443"/>
      <c r="AKV10" s="443"/>
      <c r="AKW10" s="443"/>
      <c r="AKX10" s="443"/>
      <c r="AKY10" s="443"/>
      <c r="AKZ10" s="443"/>
      <c r="ALA10" s="443"/>
      <c r="ALB10" s="443"/>
      <c r="ALC10" s="443"/>
      <c r="ALD10" s="443"/>
      <c r="ALE10" s="443"/>
      <c r="ALF10" s="443"/>
      <c r="ALG10" s="443"/>
      <c r="ALH10" s="443"/>
      <c r="ALI10" s="443"/>
      <c r="ALJ10" s="443"/>
      <c r="ALK10" s="443"/>
      <c r="ALL10" s="443"/>
      <c r="ALM10" s="443"/>
      <c r="ALN10" s="443"/>
      <c r="ALO10" s="443"/>
      <c r="ALP10" s="443"/>
      <c r="ALQ10" s="443"/>
      <c r="ALR10" s="443"/>
      <c r="ALS10" s="443"/>
      <c r="ALT10" s="443"/>
      <c r="ALU10" s="443"/>
      <c r="ALV10" s="443"/>
      <c r="ALW10" s="443"/>
      <c r="ALX10" s="443"/>
      <c r="ALY10" s="443"/>
      <c r="ALZ10" s="443"/>
      <c r="AMA10" s="443"/>
      <c r="AMB10" s="443"/>
      <c r="AMC10" s="443"/>
      <c r="AMD10" s="443"/>
      <c r="AME10" s="443"/>
      <c r="AMF10" s="454"/>
      <c r="AMG10" s="454"/>
    </row>
    <row r="11" ht="56.25" customHeight="1" spans="1:1021" s="455" customFormat="1" x14ac:dyDescent="0.25">
      <c r="A11" s="451"/>
      <c r="B11" s="452"/>
      <c r="C11" s="456" t="s">
        <v>1136</v>
      </c>
      <c r="D11" s="456" t="s">
        <v>1137</v>
      </c>
      <c r="E11" s="456" t="s">
        <v>1138</v>
      </c>
      <c r="F11" s="456" t="s">
        <v>1139</v>
      </c>
      <c r="G11" s="456" t="s">
        <v>1140</v>
      </c>
      <c r="H11" s="456" t="s">
        <v>1141</v>
      </c>
      <c r="I11" s="456" t="s">
        <v>1142</v>
      </c>
      <c r="J11" s="457" t="s">
        <v>1143</v>
      </c>
      <c r="K11" s="453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8"/>
      <c r="AB11" s="458"/>
      <c r="AC11" s="458"/>
      <c r="AD11" s="458"/>
      <c r="AE11" s="458"/>
      <c r="AF11" s="458"/>
      <c r="AG11" s="458"/>
      <c r="AH11" s="458"/>
      <c r="AI11" s="458"/>
      <c r="AJ11" s="458"/>
      <c r="AK11" s="458"/>
      <c r="AL11" s="458"/>
      <c r="AM11" s="458"/>
      <c r="AN11" s="458"/>
      <c r="AO11" s="458"/>
      <c r="AP11" s="458"/>
      <c r="AQ11" s="458"/>
      <c r="AR11" s="458"/>
      <c r="AS11" s="458"/>
      <c r="AT11" s="458"/>
      <c r="AU11" s="458"/>
      <c r="AV11" s="458"/>
      <c r="AW11" s="458"/>
      <c r="AX11" s="458"/>
      <c r="AY11" s="458"/>
      <c r="AZ11" s="458"/>
      <c r="BA11" s="458"/>
      <c r="BB11" s="458"/>
      <c r="BC11" s="458"/>
      <c r="BD11" s="458"/>
      <c r="BE11" s="458"/>
      <c r="BF11" s="458"/>
      <c r="BG11" s="458"/>
      <c r="BH11" s="458"/>
      <c r="BI11" s="458"/>
      <c r="BJ11" s="458"/>
      <c r="BK11" s="458"/>
      <c r="BL11" s="458"/>
      <c r="BM11" s="458"/>
      <c r="BN11" s="458"/>
      <c r="BO11" s="458"/>
      <c r="BP11" s="458"/>
      <c r="BQ11" s="458"/>
      <c r="BR11" s="458"/>
      <c r="BS11" s="458"/>
      <c r="BT11" s="458"/>
      <c r="BU11" s="458"/>
      <c r="BV11" s="458"/>
      <c r="BW11" s="458"/>
      <c r="BX11" s="458"/>
      <c r="BY11" s="458"/>
      <c r="BZ11" s="458"/>
      <c r="CA11" s="458"/>
      <c r="CB11" s="458"/>
      <c r="CC11" s="458"/>
      <c r="CD11" s="458"/>
      <c r="CE11" s="458"/>
      <c r="CF11" s="458"/>
      <c r="CG11" s="458"/>
      <c r="CH11" s="458"/>
      <c r="CI11" s="458"/>
      <c r="CJ11" s="458"/>
      <c r="CK11" s="458"/>
      <c r="CL11" s="458"/>
      <c r="CM11" s="458"/>
      <c r="CN11" s="458"/>
      <c r="CO11" s="458"/>
      <c r="CP11" s="458"/>
      <c r="CQ11" s="458"/>
      <c r="CR11" s="458"/>
      <c r="CS11" s="458"/>
      <c r="CT11" s="458"/>
      <c r="CU11" s="458"/>
      <c r="CV11" s="458"/>
      <c r="CW11" s="458"/>
      <c r="CX11" s="458"/>
      <c r="CY11" s="458"/>
      <c r="CZ11" s="458"/>
      <c r="DA11" s="458"/>
      <c r="DB11" s="458"/>
      <c r="DC11" s="458"/>
      <c r="DD11" s="458"/>
      <c r="DE11" s="458"/>
      <c r="DF11" s="458"/>
      <c r="DG11" s="458"/>
      <c r="DH11" s="458"/>
      <c r="DI11" s="458"/>
      <c r="DJ11" s="458"/>
      <c r="DK11" s="458"/>
      <c r="DL11" s="458"/>
      <c r="DM11" s="458"/>
      <c r="DN11" s="458"/>
      <c r="DO11" s="458"/>
      <c r="DP11" s="458"/>
      <c r="DQ11" s="458"/>
      <c r="DR11" s="458"/>
      <c r="DS11" s="458"/>
      <c r="DT11" s="458"/>
      <c r="DU11" s="458"/>
      <c r="DV11" s="458"/>
      <c r="DW11" s="458"/>
      <c r="DX11" s="458"/>
      <c r="DY11" s="458"/>
      <c r="DZ11" s="458"/>
      <c r="EA11" s="458"/>
      <c r="EB11" s="458"/>
      <c r="EC11" s="458"/>
      <c r="ED11" s="458"/>
      <c r="EE11" s="458"/>
      <c r="EF11" s="458"/>
      <c r="EG11" s="458"/>
      <c r="EH11" s="458"/>
      <c r="EI11" s="458"/>
      <c r="EJ11" s="458"/>
      <c r="EK11" s="458"/>
      <c r="EL11" s="458"/>
      <c r="EM11" s="458"/>
      <c r="EN11" s="458"/>
      <c r="EO11" s="458"/>
      <c r="EP11" s="458"/>
      <c r="EQ11" s="458"/>
      <c r="ER11" s="458"/>
      <c r="ES11" s="458"/>
      <c r="ET11" s="458"/>
      <c r="EU11" s="458"/>
      <c r="EV11" s="458"/>
      <c r="EW11" s="458"/>
      <c r="EX11" s="458"/>
      <c r="EY11" s="458"/>
      <c r="EZ11" s="458"/>
      <c r="FA11" s="458"/>
      <c r="FB11" s="458"/>
      <c r="FC11" s="458"/>
      <c r="FD11" s="458"/>
      <c r="FE11" s="458"/>
      <c r="FF11" s="458"/>
      <c r="FG11" s="458"/>
      <c r="FH11" s="458"/>
      <c r="FI11" s="458"/>
      <c r="FJ11" s="458"/>
      <c r="FK11" s="458"/>
      <c r="FL11" s="458"/>
      <c r="FM11" s="458"/>
      <c r="FN11" s="458"/>
      <c r="FO11" s="458"/>
      <c r="FP11" s="458"/>
      <c r="FQ11" s="458"/>
      <c r="FR11" s="458"/>
      <c r="FS11" s="458"/>
      <c r="FT11" s="458"/>
      <c r="FU11" s="458"/>
      <c r="FV11" s="458"/>
      <c r="FW11" s="458"/>
      <c r="FX11" s="458"/>
      <c r="FY11" s="458"/>
      <c r="FZ11" s="458"/>
      <c r="GA11" s="458"/>
      <c r="GB11" s="458"/>
      <c r="GC11" s="458"/>
      <c r="GD11" s="458"/>
      <c r="GE11" s="458"/>
      <c r="GF11" s="458"/>
      <c r="GG11" s="458"/>
      <c r="GH11" s="458"/>
      <c r="GI11" s="458"/>
      <c r="GJ11" s="458"/>
      <c r="GK11" s="458"/>
      <c r="GL11" s="458"/>
      <c r="GM11" s="458"/>
      <c r="GN11" s="458"/>
      <c r="GO11" s="458"/>
      <c r="GP11" s="458"/>
      <c r="GQ11" s="458"/>
      <c r="GR11" s="458"/>
      <c r="GS11" s="458"/>
      <c r="GT11" s="458"/>
      <c r="GU11" s="458"/>
      <c r="GV11" s="458"/>
      <c r="GW11" s="458"/>
      <c r="GX11" s="458"/>
      <c r="GY11" s="458"/>
      <c r="GZ11" s="458"/>
      <c r="HA11" s="458"/>
      <c r="HB11" s="458"/>
      <c r="HC11" s="458"/>
      <c r="HD11" s="458"/>
      <c r="HE11" s="458"/>
      <c r="HF11" s="458"/>
      <c r="HG11" s="458"/>
      <c r="HH11" s="458"/>
      <c r="HI11" s="458"/>
      <c r="HJ11" s="458"/>
      <c r="HK11" s="458"/>
      <c r="HL11" s="458"/>
      <c r="HM11" s="458"/>
      <c r="HN11" s="458"/>
      <c r="HO11" s="458"/>
      <c r="HP11" s="458"/>
      <c r="HQ11" s="458"/>
      <c r="HR11" s="458"/>
      <c r="HS11" s="458"/>
      <c r="HT11" s="458"/>
      <c r="HU11" s="458"/>
      <c r="HV11" s="458"/>
      <c r="HW11" s="458"/>
      <c r="HX11" s="458"/>
      <c r="HY11" s="458"/>
      <c r="HZ11" s="458"/>
      <c r="IA11" s="458"/>
      <c r="IB11" s="458"/>
      <c r="IC11" s="458"/>
      <c r="ID11" s="458"/>
      <c r="IE11" s="458"/>
      <c r="IF11" s="458"/>
      <c r="IG11" s="458"/>
      <c r="IH11" s="458"/>
      <c r="II11" s="458"/>
      <c r="IJ11" s="458"/>
      <c r="IK11" s="458"/>
      <c r="IL11" s="458"/>
      <c r="IM11" s="458"/>
      <c r="IN11" s="458"/>
      <c r="IO11" s="458"/>
      <c r="IP11" s="458"/>
      <c r="IQ11" s="458"/>
      <c r="IR11" s="458"/>
      <c r="IS11" s="458"/>
      <c r="IT11" s="458"/>
      <c r="IU11" s="458"/>
      <c r="IV11" s="458"/>
      <c r="IW11" s="458"/>
      <c r="IX11" s="458"/>
      <c r="IY11" s="458"/>
      <c r="IZ11" s="458"/>
      <c r="JA11" s="458"/>
      <c r="JB11" s="458"/>
      <c r="JC11" s="458"/>
      <c r="JD11" s="458"/>
      <c r="JE11" s="458"/>
      <c r="JF11" s="458"/>
      <c r="JG11" s="458"/>
      <c r="JH11" s="458"/>
      <c r="JI11" s="458"/>
      <c r="JJ11" s="458"/>
      <c r="JK11" s="458"/>
      <c r="JL11" s="458"/>
      <c r="JM11" s="458"/>
      <c r="JN11" s="458"/>
      <c r="JO11" s="458"/>
      <c r="JP11" s="458"/>
      <c r="JQ11" s="458"/>
      <c r="JR11" s="458"/>
      <c r="JS11" s="458"/>
      <c r="JT11" s="458"/>
      <c r="JU11" s="458"/>
      <c r="JV11" s="458"/>
      <c r="JW11" s="458"/>
      <c r="JX11" s="458"/>
      <c r="JY11" s="458"/>
      <c r="JZ11" s="458"/>
      <c r="KA11" s="458"/>
      <c r="KB11" s="458"/>
      <c r="KC11" s="458"/>
      <c r="KD11" s="458"/>
      <c r="KE11" s="458"/>
      <c r="KF11" s="458"/>
      <c r="KG11" s="458"/>
      <c r="KH11" s="458"/>
      <c r="KI11" s="458"/>
      <c r="KJ11" s="458"/>
      <c r="KK11" s="458"/>
      <c r="KL11" s="458"/>
      <c r="KM11" s="458"/>
      <c r="KN11" s="458"/>
      <c r="KO11" s="458"/>
      <c r="KP11" s="458"/>
      <c r="KQ11" s="458"/>
      <c r="KR11" s="458"/>
      <c r="KS11" s="458"/>
      <c r="KT11" s="458"/>
      <c r="KU11" s="458"/>
      <c r="KV11" s="458"/>
      <c r="KW11" s="458"/>
      <c r="KX11" s="458"/>
      <c r="KY11" s="458"/>
      <c r="KZ11" s="458"/>
      <c r="LA11" s="458"/>
      <c r="LB11" s="458"/>
      <c r="LC11" s="458"/>
      <c r="LD11" s="458"/>
      <c r="LE11" s="458"/>
      <c r="LF11" s="458"/>
      <c r="LG11" s="458"/>
      <c r="LH11" s="458"/>
      <c r="LI11" s="458"/>
      <c r="LJ11" s="458"/>
      <c r="LK11" s="458"/>
      <c r="LL11" s="458"/>
      <c r="LM11" s="458"/>
      <c r="LN11" s="458"/>
      <c r="LO11" s="458"/>
      <c r="LP11" s="458"/>
      <c r="LQ11" s="458"/>
      <c r="LR11" s="458"/>
      <c r="LS11" s="458"/>
      <c r="LT11" s="458"/>
      <c r="LU11" s="458"/>
      <c r="LV11" s="458"/>
      <c r="LW11" s="458"/>
      <c r="LX11" s="458"/>
      <c r="LY11" s="458"/>
      <c r="LZ11" s="458"/>
      <c r="MA11" s="458"/>
      <c r="MB11" s="458"/>
      <c r="MC11" s="458"/>
      <c r="MD11" s="458"/>
      <c r="ME11" s="458"/>
      <c r="MF11" s="458"/>
      <c r="MG11" s="458"/>
      <c r="MH11" s="458"/>
      <c r="MI11" s="458"/>
      <c r="MJ11" s="458"/>
      <c r="MK11" s="458"/>
      <c r="ML11" s="458"/>
      <c r="MM11" s="458"/>
      <c r="MN11" s="458"/>
      <c r="MO11" s="458"/>
      <c r="MP11" s="458"/>
      <c r="MQ11" s="458"/>
      <c r="MR11" s="458"/>
      <c r="MS11" s="458"/>
      <c r="MT11" s="458"/>
      <c r="MU11" s="458"/>
      <c r="MV11" s="458"/>
      <c r="MW11" s="458"/>
      <c r="MX11" s="458"/>
      <c r="MY11" s="458"/>
      <c r="MZ11" s="458"/>
      <c r="NA11" s="458"/>
      <c r="NB11" s="458"/>
      <c r="NC11" s="458"/>
      <c r="ND11" s="458"/>
      <c r="NE11" s="458"/>
      <c r="NF11" s="458"/>
      <c r="NG11" s="458"/>
      <c r="NH11" s="458"/>
      <c r="NI11" s="458"/>
      <c r="NJ11" s="458"/>
      <c r="NK11" s="458"/>
      <c r="NL11" s="458"/>
      <c r="NM11" s="458"/>
      <c r="NN11" s="458"/>
      <c r="NO11" s="458"/>
      <c r="NP11" s="458"/>
      <c r="NQ11" s="458"/>
      <c r="NR11" s="458"/>
      <c r="NS11" s="458"/>
      <c r="NT11" s="458"/>
      <c r="NU11" s="458"/>
      <c r="NV11" s="458"/>
      <c r="NW11" s="458"/>
      <c r="NX11" s="458"/>
      <c r="NY11" s="458"/>
      <c r="NZ11" s="458"/>
      <c r="OA11" s="458"/>
      <c r="OB11" s="458"/>
      <c r="OC11" s="458"/>
      <c r="OD11" s="458"/>
      <c r="OE11" s="458"/>
      <c r="OF11" s="458"/>
      <c r="OG11" s="458"/>
      <c r="OH11" s="458"/>
      <c r="OI11" s="458"/>
      <c r="OJ11" s="458"/>
      <c r="OK11" s="458"/>
      <c r="OL11" s="458"/>
      <c r="OM11" s="458"/>
      <c r="ON11" s="458"/>
      <c r="OO11" s="458"/>
      <c r="OP11" s="458"/>
      <c r="OQ11" s="458"/>
      <c r="OR11" s="458"/>
      <c r="OS11" s="458"/>
      <c r="OT11" s="458"/>
      <c r="OU11" s="458"/>
      <c r="OV11" s="458"/>
      <c r="OW11" s="458"/>
      <c r="OX11" s="458"/>
      <c r="OY11" s="458"/>
      <c r="OZ11" s="458"/>
      <c r="PA11" s="458"/>
      <c r="PB11" s="458"/>
      <c r="PC11" s="458"/>
      <c r="PD11" s="458"/>
      <c r="PE11" s="458"/>
      <c r="PF11" s="458"/>
      <c r="PG11" s="458"/>
      <c r="PH11" s="458"/>
      <c r="PI11" s="458"/>
      <c r="PJ11" s="458"/>
      <c r="PK11" s="458"/>
      <c r="PL11" s="458"/>
      <c r="PM11" s="458"/>
      <c r="PN11" s="458"/>
      <c r="PO11" s="458"/>
      <c r="PP11" s="458"/>
      <c r="PQ11" s="458"/>
      <c r="PR11" s="458"/>
      <c r="PS11" s="458"/>
      <c r="PT11" s="458"/>
      <c r="PU11" s="458"/>
      <c r="PV11" s="458"/>
      <c r="PW11" s="458"/>
      <c r="PX11" s="458"/>
      <c r="PY11" s="458"/>
      <c r="PZ11" s="458"/>
      <c r="QA11" s="458"/>
      <c r="QB11" s="458"/>
      <c r="QC11" s="458"/>
      <c r="QD11" s="458"/>
      <c r="QE11" s="458"/>
      <c r="QF11" s="458"/>
      <c r="QG11" s="458"/>
      <c r="QH11" s="458"/>
      <c r="QI11" s="458"/>
      <c r="QJ11" s="458"/>
      <c r="QK11" s="458"/>
      <c r="QL11" s="458"/>
      <c r="QM11" s="458"/>
      <c r="QN11" s="458"/>
      <c r="QO11" s="458"/>
      <c r="QP11" s="458"/>
      <c r="QQ11" s="458"/>
      <c r="QR11" s="458"/>
      <c r="QS11" s="458"/>
      <c r="QT11" s="458"/>
      <c r="QU11" s="458"/>
      <c r="QV11" s="458"/>
      <c r="QW11" s="458"/>
      <c r="QX11" s="458"/>
      <c r="QY11" s="458"/>
      <c r="QZ11" s="458"/>
      <c r="RA11" s="458"/>
      <c r="RB11" s="458"/>
      <c r="RC11" s="458"/>
      <c r="RD11" s="458"/>
      <c r="RE11" s="458"/>
      <c r="RF11" s="458"/>
      <c r="RG11" s="458"/>
      <c r="RH11" s="458"/>
      <c r="RI11" s="458"/>
      <c r="RJ11" s="458"/>
      <c r="RK11" s="458"/>
      <c r="RL11" s="458"/>
      <c r="RM11" s="458"/>
      <c r="RN11" s="458"/>
      <c r="RO11" s="458"/>
      <c r="RP11" s="458"/>
      <c r="RQ11" s="458"/>
      <c r="RR11" s="458"/>
      <c r="RS11" s="458"/>
      <c r="RT11" s="458"/>
      <c r="RU11" s="458"/>
      <c r="RV11" s="458"/>
      <c r="RW11" s="458"/>
      <c r="RX11" s="458"/>
      <c r="RY11" s="458"/>
      <c r="RZ11" s="458"/>
      <c r="SA11" s="458"/>
      <c r="SB11" s="458"/>
      <c r="SC11" s="458"/>
      <c r="SD11" s="458"/>
      <c r="SE11" s="458"/>
      <c r="SF11" s="458"/>
      <c r="SG11" s="458"/>
      <c r="SH11" s="458"/>
      <c r="SI11" s="458"/>
      <c r="SJ11" s="458"/>
      <c r="SK11" s="458"/>
      <c r="SL11" s="458"/>
      <c r="SM11" s="458"/>
      <c r="SN11" s="458"/>
      <c r="SO11" s="458"/>
      <c r="SP11" s="458"/>
      <c r="SQ11" s="458"/>
      <c r="SR11" s="458"/>
      <c r="SS11" s="458"/>
      <c r="ST11" s="458"/>
      <c r="SU11" s="458"/>
      <c r="SV11" s="458"/>
      <c r="SW11" s="458"/>
      <c r="SX11" s="458"/>
      <c r="SY11" s="458"/>
      <c r="SZ11" s="458"/>
      <c r="TA11" s="458"/>
      <c r="TB11" s="458"/>
      <c r="TC11" s="458"/>
      <c r="TD11" s="458"/>
      <c r="TE11" s="458"/>
      <c r="TF11" s="458"/>
      <c r="TG11" s="458"/>
      <c r="TH11" s="458"/>
      <c r="TI11" s="458"/>
      <c r="TJ11" s="458"/>
      <c r="TK11" s="458"/>
      <c r="TL11" s="458"/>
      <c r="TM11" s="458"/>
      <c r="TN11" s="458"/>
      <c r="TO11" s="458"/>
      <c r="TP11" s="458"/>
      <c r="TQ11" s="458"/>
      <c r="TR11" s="458"/>
      <c r="TS11" s="458"/>
      <c r="TT11" s="458"/>
      <c r="TU11" s="458"/>
      <c r="TV11" s="458"/>
      <c r="TW11" s="458"/>
      <c r="TX11" s="458"/>
      <c r="TY11" s="458"/>
      <c r="TZ11" s="458"/>
      <c r="UA11" s="458"/>
      <c r="UB11" s="458"/>
      <c r="UC11" s="458"/>
      <c r="UD11" s="458"/>
      <c r="UE11" s="458"/>
      <c r="UF11" s="458"/>
      <c r="UG11" s="458"/>
      <c r="UH11" s="458"/>
      <c r="UI11" s="458"/>
      <c r="UJ11" s="458"/>
      <c r="UK11" s="458"/>
      <c r="UL11" s="458"/>
      <c r="UM11" s="458"/>
      <c r="UN11" s="458"/>
      <c r="UO11" s="458"/>
      <c r="UP11" s="458"/>
      <c r="UQ11" s="458"/>
      <c r="UR11" s="458"/>
      <c r="US11" s="458"/>
      <c r="UT11" s="458"/>
      <c r="UU11" s="458"/>
      <c r="UV11" s="458"/>
      <c r="UW11" s="458"/>
      <c r="UX11" s="458"/>
      <c r="UY11" s="458"/>
      <c r="UZ11" s="458"/>
      <c r="VA11" s="458"/>
      <c r="VB11" s="458"/>
      <c r="VC11" s="458"/>
      <c r="VD11" s="458"/>
      <c r="VE11" s="458"/>
      <c r="VF11" s="458"/>
      <c r="VG11" s="458"/>
      <c r="VH11" s="458"/>
      <c r="VI11" s="458"/>
      <c r="VJ11" s="458"/>
      <c r="VK11" s="458"/>
      <c r="VL11" s="458"/>
      <c r="VM11" s="458"/>
      <c r="VN11" s="458"/>
      <c r="VO11" s="458"/>
      <c r="VP11" s="458"/>
      <c r="VQ11" s="458"/>
      <c r="VR11" s="458"/>
      <c r="VS11" s="458"/>
      <c r="VT11" s="458"/>
      <c r="VU11" s="458"/>
      <c r="VV11" s="458"/>
      <c r="VW11" s="458"/>
      <c r="VX11" s="458"/>
      <c r="VY11" s="458"/>
      <c r="VZ11" s="458"/>
      <c r="WA11" s="458"/>
      <c r="WB11" s="458"/>
      <c r="WC11" s="458"/>
      <c r="WD11" s="458"/>
      <c r="WE11" s="458"/>
      <c r="WF11" s="458"/>
      <c r="WG11" s="458"/>
      <c r="WH11" s="458"/>
      <c r="WI11" s="458"/>
      <c r="WJ11" s="458"/>
      <c r="WK11" s="458"/>
      <c r="WL11" s="458"/>
      <c r="WM11" s="458"/>
      <c r="WN11" s="458"/>
      <c r="WO11" s="458"/>
      <c r="WP11" s="458"/>
      <c r="WQ11" s="458"/>
      <c r="WR11" s="458"/>
      <c r="WS11" s="458"/>
      <c r="WT11" s="458"/>
      <c r="WU11" s="458"/>
      <c r="WV11" s="458"/>
      <c r="WW11" s="458"/>
      <c r="WX11" s="458"/>
      <c r="WY11" s="458"/>
      <c r="WZ11" s="458"/>
      <c r="XA11" s="458"/>
      <c r="XB11" s="458"/>
      <c r="XC11" s="458"/>
      <c r="XD11" s="458"/>
      <c r="XE11" s="458"/>
      <c r="XF11" s="458"/>
      <c r="XG11" s="458"/>
      <c r="XH11" s="458"/>
      <c r="XI11" s="458"/>
      <c r="XJ11" s="458"/>
      <c r="XK11" s="458"/>
      <c r="XL11" s="458"/>
      <c r="XM11" s="458"/>
      <c r="XN11" s="458"/>
      <c r="XO11" s="458"/>
      <c r="XP11" s="458"/>
      <c r="XQ11" s="458"/>
      <c r="XR11" s="458"/>
      <c r="XS11" s="458"/>
      <c r="XT11" s="458"/>
      <c r="XU11" s="458"/>
      <c r="XV11" s="458"/>
      <c r="XW11" s="458"/>
      <c r="XX11" s="458"/>
      <c r="XY11" s="458"/>
      <c r="XZ11" s="458"/>
      <c r="YA11" s="458"/>
      <c r="YB11" s="458"/>
      <c r="YC11" s="458"/>
      <c r="YD11" s="458"/>
      <c r="YE11" s="458"/>
      <c r="YF11" s="458"/>
      <c r="YG11" s="458"/>
      <c r="YH11" s="458"/>
      <c r="YI11" s="458"/>
      <c r="YJ11" s="458"/>
      <c r="YK11" s="458"/>
      <c r="YL11" s="458"/>
      <c r="YM11" s="458"/>
      <c r="YN11" s="458"/>
      <c r="YO11" s="458"/>
      <c r="YP11" s="458"/>
      <c r="YQ11" s="458"/>
      <c r="YR11" s="458"/>
      <c r="YS11" s="458"/>
      <c r="YT11" s="458"/>
      <c r="YU11" s="458"/>
      <c r="YV11" s="458"/>
      <c r="YW11" s="458"/>
      <c r="YX11" s="458"/>
      <c r="YY11" s="458"/>
      <c r="YZ11" s="458"/>
      <c r="ZA11" s="458"/>
      <c r="ZB11" s="458"/>
      <c r="ZC11" s="458"/>
      <c r="ZD11" s="458"/>
      <c r="ZE11" s="458"/>
      <c r="ZF11" s="458"/>
      <c r="ZG11" s="458"/>
      <c r="ZH11" s="458"/>
      <c r="ZI11" s="458"/>
      <c r="ZJ11" s="458"/>
      <c r="ZK11" s="458"/>
      <c r="ZL11" s="458"/>
      <c r="ZM11" s="458"/>
      <c r="ZN11" s="458"/>
      <c r="ZO11" s="458"/>
      <c r="ZP11" s="458"/>
      <c r="ZQ11" s="458"/>
      <c r="ZR11" s="458"/>
      <c r="ZS11" s="458"/>
      <c r="ZT11" s="458"/>
      <c r="ZU11" s="458"/>
      <c r="ZV11" s="458"/>
      <c r="ZW11" s="458"/>
      <c r="ZX11" s="458"/>
      <c r="ZY11" s="458"/>
      <c r="ZZ11" s="458"/>
      <c r="AAA11" s="458"/>
      <c r="AAB11" s="458"/>
      <c r="AAC11" s="458"/>
      <c r="AAD11" s="458"/>
      <c r="AAE11" s="458"/>
      <c r="AAF11" s="458"/>
      <c r="AAG11" s="458"/>
      <c r="AAH11" s="458"/>
      <c r="AAI11" s="458"/>
      <c r="AAJ11" s="458"/>
      <c r="AAK11" s="458"/>
      <c r="AAL11" s="458"/>
      <c r="AAM11" s="458"/>
      <c r="AAN11" s="458"/>
      <c r="AAO11" s="458"/>
      <c r="AAP11" s="458"/>
      <c r="AAQ11" s="458"/>
      <c r="AAR11" s="458"/>
      <c r="AAS11" s="458"/>
      <c r="AAT11" s="458"/>
      <c r="AAU11" s="458"/>
      <c r="AAV11" s="458"/>
      <c r="AAW11" s="458"/>
      <c r="AAX11" s="458"/>
      <c r="AAY11" s="458"/>
      <c r="AAZ11" s="458"/>
      <c r="ABA11" s="458"/>
      <c r="ABB11" s="458"/>
      <c r="ABC11" s="458"/>
      <c r="ABD11" s="458"/>
      <c r="ABE11" s="458"/>
      <c r="ABF11" s="458"/>
      <c r="ABG11" s="458"/>
      <c r="ABH11" s="458"/>
      <c r="ABI11" s="458"/>
      <c r="ABJ11" s="458"/>
      <c r="ABK11" s="458"/>
      <c r="ABL11" s="458"/>
      <c r="ABM11" s="458"/>
      <c r="ABN11" s="458"/>
      <c r="ABO11" s="458"/>
      <c r="ABP11" s="458"/>
      <c r="ABQ11" s="458"/>
      <c r="ABR11" s="458"/>
      <c r="ABS11" s="458"/>
      <c r="ABT11" s="458"/>
      <c r="ABU11" s="458"/>
      <c r="ABV11" s="458"/>
      <c r="ABW11" s="458"/>
      <c r="ABX11" s="458"/>
      <c r="ABY11" s="458"/>
      <c r="ABZ11" s="458"/>
      <c r="ACA11" s="458"/>
      <c r="ACB11" s="458"/>
      <c r="ACC11" s="458"/>
      <c r="ACD11" s="458"/>
      <c r="ACE11" s="458"/>
      <c r="ACF11" s="458"/>
      <c r="ACG11" s="458"/>
      <c r="ACH11" s="458"/>
      <c r="ACI11" s="458"/>
      <c r="ACJ11" s="458"/>
      <c r="ACK11" s="458"/>
      <c r="ACL11" s="458"/>
      <c r="ACM11" s="458"/>
      <c r="ACN11" s="458"/>
      <c r="ACO11" s="458"/>
      <c r="ACP11" s="458"/>
      <c r="ACQ11" s="458"/>
      <c r="ACR11" s="458"/>
      <c r="ACS11" s="458"/>
      <c r="ACT11" s="458"/>
      <c r="ACU11" s="458"/>
      <c r="ACV11" s="458"/>
      <c r="ACW11" s="458"/>
      <c r="ACX11" s="458"/>
      <c r="ACY11" s="458"/>
      <c r="ACZ11" s="458"/>
      <c r="ADA11" s="458"/>
      <c r="ADB11" s="458"/>
      <c r="ADC11" s="458"/>
      <c r="ADD11" s="458"/>
      <c r="ADE11" s="458"/>
      <c r="ADF11" s="458"/>
      <c r="ADG11" s="458"/>
      <c r="ADH11" s="458"/>
      <c r="ADI11" s="458"/>
      <c r="ADJ11" s="458"/>
      <c r="ADK11" s="458"/>
      <c r="ADL11" s="458"/>
      <c r="ADM11" s="458"/>
      <c r="ADN11" s="458"/>
      <c r="ADO11" s="458"/>
      <c r="ADP11" s="458"/>
      <c r="ADQ11" s="458"/>
      <c r="ADR11" s="458"/>
      <c r="ADS11" s="458"/>
      <c r="ADT11" s="458"/>
      <c r="ADU11" s="458"/>
      <c r="ADV11" s="458"/>
      <c r="ADW11" s="458"/>
      <c r="ADX11" s="458"/>
      <c r="ADY11" s="458"/>
      <c r="ADZ11" s="458"/>
      <c r="AEA11" s="458"/>
      <c r="AEB11" s="458"/>
      <c r="AEC11" s="458"/>
      <c r="AED11" s="458"/>
      <c r="AEE11" s="458"/>
      <c r="AEF11" s="458"/>
      <c r="AEG11" s="458"/>
      <c r="AEH11" s="458"/>
      <c r="AEI11" s="458"/>
      <c r="AEJ11" s="458"/>
      <c r="AEK11" s="458"/>
      <c r="AEL11" s="458"/>
      <c r="AEM11" s="458"/>
      <c r="AEN11" s="458"/>
      <c r="AEO11" s="458"/>
      <c r="AEP11" s="458"/>
      <c r="AEQ11" s="458"/>
      <c r="AER11" s="458"/>
      <c r="AES11" s="458"/>
      <c r="AET11" s="458"/>
      <c r="AEU11" s="458"/>
      <c r="AEV11" s="458"/>
      <c r="AEW11" s="458"/>
      <c r="AEX11" s="458"/>
      <c r="AEY11" s="458"/>
      <c r="AEZ11" s="458"/>
      <c r="AFA11" s="458"/>
      <c r="AFB11" s="458"/>
      <c r="AFC11" s="458"/>
      <c r="AFD11" s="458"/>
      <c r="AFE11" s="458"/>
      <c r="AFF11" s="458"/>
      <c r="AFG11" s="458"/>
      <c r="AFH11" s="458"/>
      <c r="AFI11" s="458"/>
      <c r="AFJ11" s="458"/>
      <c r="AFK11" s="458"/>
      <c r="AFL11" s="458"/>
      <c r="AFM11" s="458"/>
      <c r="AFN11" s="458"/>
      <c r="AFO11" s="458"/>
      <c r="AFP11" s="458"/>
      <c r="AFQ11" s="458"/>
      <c r="AFR11" s="458"/>
      <c r="AFS11" s="458"/>
      <c r="AFT11" s="458"/>
      <c r="AFU11" s="458"/>
      <c r="AFV11" s="458"/>
      <c r="AFW11" s="458"/>
      <c r="AFX11" s="458"/>
      <c r="AFY11" s="458"/>
      <c r="AFZ11" s="458"/>
      <c r="AGA11" s="458"/>
      <c r="AGB11" s="458"/>
      <c r="AGC11" s="458"/>
      <c r="AGD11" s="458"/>
      <c r="AGE11" s="458"/>
      <c r="AGF11" s="458"/>
      <c r="AGG11" s="458"/>
      <c r="AGH11" s="458"/>
      <c r="AGI11" s="458"/>
      <c r="AGJ11" s="458"/>
      <c r="AGK11" s="458"/>
      <c r="AGL11" s="458"/>
      <c r="AGM11" s="458"/>
      <c r="AGN11" s="458"/>
      <c r="AGO11" s="458"/>
      <c r="AGP11" s="458"/>
      <c r="AGQ11" s="458"/>
      <c r="AGR11" s="458"/>
      <c r="AGS11" s="458"/>
      <c r="AGT11" s="458"/>
      <c r="AGU11" s="458"/>
      <c r="AGV11" s="458"/>
      <c r="AGW11" s="458"/>
      <c r="AGX11" s="458"/>
      <c r="AGY11" s="458"/>
      <c r="AGZ11" s="458"/>
      <c r="AHA11" s="458"/>
      <c r="AHB11" s="458"/>
      <c r="AHC11" s="458"/>
      <c r="AHD11" s="458"/>
      <c r="AHE11" s="458"/>
      <c r="AHF11" s="458"/>
      <c r="AHG11" s="458"/>
      <c r="AHH11" s="458"/>
      <c r="AHI11" s="458"/>
      <c r="AHJ11" s="458"/>
      <c r="AHK11" s="458"/>
      <c r="AHL11" s="458"/>
      <c r="AHM11" s="458"/>
      <c r="AHN11" s="458"/>
      <c r="AHO11" s="458"/>
      <c r="AHP11" s="458"/>
      <c r="AHQ11" s="458"/>
      <c r="AHR11" s="458"/>
      <c r="AHS11" s="458"/>
      <c r="AHT11" s="458"/>
      <c r="AHU11" s="458"/>
      <c r="AHV11" s="458"/>
      <c r="AHW11" s="458"/>
      <c r="AHX11" s="458"/>
      <c r="AHY11" s="458"/>
      <c r="AHZ11" s="458"/>
      <c r="AIA11" s="458"/>
      <c r="AIB11" s="458"/>
      <c r="AIC11" s="458"/>
      <c r="AID11" s="458"/>
      <c r="AIE11" s="458"/>
      <c r="AIF11" s="458"/>
      <c r="AIG11" s="458"/>
      <c r="AIH11" s="458"/>
      <c r="AII11" s="458"/>
      <c r="AIJ11" s="458"/>
      <c r="AIK11" s="458"/>
      <c r="AIL11" s="458"/>
      <c r="AIM11" s="458"/>
      <c r="AIN11" s="458"/>
      <c r="AIO11" s="458"/>
      <c r="AIP11" s="458"/>
      <c r="AIQ11" s="458"/>
      <c r="AIR11" s="458"/>
      <c r="AIS11" s="458"/>
      <c r="AIT11" s="458"/>
      <c r="AIU11" s="458"/>
      <c r="AIV11" s="458"/>
      <c r="AIW11" s="458"/>
      <c r="AIX11" s="458"/>
      <c r="AIY11" s="458"/>
      <c r="AIZ11" s="458"/>
      <c r="AJA11" s="458"/>
      <c r="AJB11" s="458"/>
      <c r="AJC11" s="458"/>
      <c r="AJD11" s="458"/>
      <c r="AJE11" s="458"/>
      <c r="AJF11" s="458"/>
      <c r="AJG11" s="458"/>
      <c r="AJH11" s="458"/>
      <c r="AJI11" s="458"/>
      <c r="AJJ11" s="458"/>
      <c r="AJK11" s="458"/>
      <c r="AJL11" s="458"/>
      <c r="AJM11" s="458"/>
      <c r="AJN11" s="458"/>
      <c r="AJO11" s="458"/>
      <c r="AJP11" s="458"/>
      <c r="AJQ11" s="458"/>
      <c r="AJR11" s="458"/>
      <c r="AJS11" s="458"/>
      <c r="AJT11" s="458"/>
      <c r="AJU11" s="458"/>
      <c r="AJV11" s="458"/>
      <c r="AJW11" s="458"/>
      <c r="AJX11" s="458"/>
      <c r="AJY11" s="458"/>
      <c r="AJZ11" s="458"/>
      <c r="AKA11" s="458"/>
      <c r="AKB11" s="458"/>
      <c r="AKC11" s="458"/>
      <c r="AKD11" s="458"/>
      <c r="AKE11" s="458"/>
      <c r="AKF11" s="458"/>
      <c r="AKG11" s="458"/>
      <c r="AKH11" s="458"/>
      <c r="AKI11" s="458"/>
      <c r="AKJ11" s="458"/>
      <c r="AKK11" s="458"/>
      <c r="AKL11" s="458"/>
      <c r="AKM11" s="458"/>
      <c r="AKN11" s="458"/>
      <c r="AKO11" s="458"/>
      <c r="AKP11" s="458"/>
      <c r="AKQ11" s="458"/>
      <c r="AKR11" s="458"/>
      <c r="AKS11" s="458"/>
      <c r="AKT11" s="458"/>
      <c r="AKU11" s="458"/>
      <c r="AKV11" s="458"/>
      <c r="AKW11" s="458"/>
      <c r="AKX11" s="458"/>
      <c r="AKY11" s="458"/>
      <c r="AKZ11" s="458"/>
      <c r="ALA11" s="458"/>
      <c r="ALB11" s="458"/>
      <c r="ALC11" s="458"/>
      <c r="ALD11" s="458"/>
      <c r="ALE11" s="458"/>
      <c r="ALF11" s="458"/>
      <c r="ALG11" s="458"/>
      <c r="ALH11" s="458"/>
      <c r="ALI11" s="458"/>
      <c r="ALJ11" s="458"/>
      <c r="ALK11" s="458"/>
      <c r="ALL11" s="458"/>
      <c r="ALM11" s="458"/>
      <c r="ALN11" s="458"/>
      <c r="ALO11" s="458"/>
      <c r="ALP11" s="458"/>
      <c r="ALQ11" s="458"/>
      <c r="ALR11" s="458"/>
      <c r="ALS11" s="458"/>
      <c r="ALT11" s="458"/>
      <c r="ALU11" s="458"/>
      <c r="ALV11" s="458"/>
      <c r="ALW11" s="458"/>
      <c r="ALX11" s="458"/>
      <c r="ALY11" s="458"/>
      <c r="ALZ11" s="458"/>
      <c r="AMA11" s="458"/>
      <c r="AMB11" s="458"/>
      <c r="AMC11" s="458"/>
      <c r="AMD11" s="458"/>
      <c r="AME11" s="458"/>
      <c r="AMF11" s="458"/>
      <c r="AMG11" s="458"/>
    </row>
    <row r="12" ht="38.25" customHeight="1" spans="1:11" s="459" customFormat="1" x14ac:dyDescent="0.25">
      <c r="A12" s="460" t="s">
        <v>1144</v>
      </c>
      <c r="B12" s="461" t="s">
        <v>1083</v>
      </c>
      <c r="C12" s="462"/>
      <c r="D12" s="462"/>
      <c r="E12" s="462"/>
      <c r="F12" s="462"/>
      <c r="G12" s="462"/>
      <c r="H12" s="462"/>
      <c r="I12" s="462"/>
      <c r="J12" s="462"/>
      <c r="K12" s="462"/>
    </row>
    <row r="13" ht="45.75" customHeight="1" spans="1:11" s="459" customFormat="1" x14ac:dyDescent="0.25">
      <c r="A13" s="460" t="s">
        <v>1145</v>
      </c>
      <c r="B13" s="461" t="s">
        <v>1085</v>
      </c>
      <c r="C13" s="462"/>
      <c r="D13" s="462"/>
      <c r="E13" s="462"/>
      <c r="F13" s="462"/>
      <c r="G13" s="462"/>
      <c r="H13" s="462"/>
      <c r="I13" s="462"/>
      <c r="J13" s="462"/>
      <c r="K13" s="462"/>
    </row>
    <row r="14" ht="38.25" customHeight="1" spans="1:11" s="459" customFormat="1" x14ac:dyDescent="0.25">
      <c r="A14" s="460" t="s">
        <v>1146</v>
      </c>
      <c r="B14" s="461" t="s">
        <v>1087</v>
      </c>
      <c r="C14" s="462"/>
      <c r="D14" s="462"/>
      <c r="E14" s="462"/>
      <c r="F14" s="462"/>
      <c r="G14" s="462"/>
      <c r="H14" s="462"/>
      <c r="I14" s="462"/>
      <c r="J14" s="462"/>
      <c r="K14" s="462"/>
    </row>
    <row r="15" ht="45.75" customHeight="1" spans="1:11" s="459" customFormat="1" x14ac:dyDescent="0.25">
      <c r="A15" s="460" t="s">
        <v>1147</v>
      </c>
      <c r="B15" s="461" t="s">
        <v>1089</v>
      </c>
      <c r="C15" s="462"/>
      <c r="D15" s="462"/>
      <c r="E15" s="462"/>
      <c r="F15" s="462"/>
      <c r="G15" s="462"/>
      <c r="H15" s="462"/>
      <c r="I15" s="462"/>
      <c r="J15" s="462"/>
      <c r="K15" s="462"/>
    </row>
    <row r="16" ht="45.75" customHeight="1" spans="1:11" s="459" customFormat="1" x14ac:dyDescent="0.25">
      <c r="A16" s="460" t="s">
        <v>1148</v>
      </c>
      <c r="B16" s="461" t="s">
        <v>1091</v>
      </c>
      <c r="C16" s="462"/>
      <c r="D16" s="462"/>
      <c r="E16" s="462"/>
      <c r="F16" s="462"/>
      <c r="G16" s="462"/>
      <c r="H16" s="462"/>
      <c r="I16" s="462"/>
      <c r="J16" s="462"/>
      <c r="K16" s="462"/>
    </row>
    <row r="17" ht="38.25" customHeight="1" spans="1:11" s="459" customFormat="1" x14ac:dyDescent="0.25">
      <c r="A17" s="460" t="s">
        <v>1149</v>
      </c>
      <c r="B17" s="461" t="s">
        <v>1093</v>
      </c>
      <c r="C17" s="462"/>
      <c r="D17" s="462"/>
      <c r="E17" s="462"/>
      <c r="F17" s="462"/>
      <c r="G17" s="462"/>
      <c r="H17" s="462"/>
      <c r="I17" s="462"/>
      <c r="J17" s="462"/>
      <c r="K17" s="462"/>
    </row>
    <row r="18" ht="76.5" customHeight="1" spans="1:11" s="459" customFormat="1" x14ac:dyDescent="0.25">
      <c r="A18" s="460" t="s">
        <v>1150</v>
      </c>
      <c r="B18" s="461" t="s">
        <v>1095</v>
      </c>
      <c r="C18" s="462"/>
      <c r="D18" s="462"/>
      <c r="E18" s="462"/>
      <c r="F18" s="462"/>
      <c r="G18" s="462"/>
      <c r="H18" s="462"/>
      <c r="I18" s="462"/>
      <c r="J18" s="462"/>
      <c r="K18" s="462"/>
    </row>
    <row r="19" ht="20" customHeight="1" spans="1:11" s="450" customFormat="1" x14ac:dyDescent="0.25">
      <c r="A19" s="463" t="s">
        <v>1151</v>
      </c>
      <c r="B19" s="464" t="s">
        <v>520</v>
      </c>
      <c r="C19" s="465">
        <v>0</v>
      </c>
      <c r="D19" s="465">
        <v>0</v>
      </c>
      <c r="E19" s="465">
        <v>0</v>
      </c>
      <c r="F19" s="465">
        <v>0</v>
      </c>
      <c r="G19" s="465">
        <v>0</v>
      </c>
      <c r="H19" s="465">
        <v>0</v>
      </c>
      <c r="I19" s="465">
        <v>0</v>
      </c>
      <c r="J19" s="465">
        <v>0</v>
      </c>
      <c r="K19" s="465">
        <v>0</v>
      </c>
    </row>
    <row r="20" ht="9" customHeight="1" spans="1:1" x14ac:dyDescent="0.25">
      <c r="A20" s="466"/>
    </row>
    <row r="21" ht="9" customHeight="1" spans="1:1" x14ac:dyDescent="0.25">
      <c r="A21" s="466"/>
    </row>
    <row r="22" ht="27.75" customHeight="1" spans="1:1" x14ac:dyDescent="0.25">
      <c r="A22" s="467" t="s">
        <v>1097</v>
      </c>
    </row>
    <row r="23" ht="9" customHeight="1" spans="1:1" x14ac:dyDescent="0.25">
      <c r="A23" s="466"/>
    </row>
    <row r="24" ht="25.5" customHeight="1" spans="1:10" x14ac:dyDescent="0.25">
      <c r="A24" s="468" t="s">
        <v>113</v>
      </c>
      <c r="B24" s="452" t="s">
        <v>1152</v>
      </c>
      <c r="C24" s="469" t="s">
        <v>1153</v>
      </c>
      <c r="D24" s="470" t="s">
        <v>1102</v>
      </c>
      <c r="E24" s="470"/>
      <c r="F24" s="470" t="s">
        <v>1103</v>
      </c>
      <c r="G24" s="470"/>
      <c r="H24" s="470" t="s">
        <v>1104</v>
      </c>
      <c r="I24" s="470"/>
      <c r="J24" s="471"/>
    </row>
    <row r="25" ht="33" customHeight="1" spans="1:10" x14ac:dyDescent="0.25">
      <c r="A25" s="468"/>
      <c r="B25" s="452"/>
      <c r="C25" s="469"/>
      <c r="D25" s="472" t="s">
        <v>1154</v>
      </c>
      <c r="E25" s="472" t="s">
        <v>1155</v>
      </c>
      <c r="F25" s="472" t="s">
        <v>1154</v>
      </c>
      <c r="G25" s="472" t="s">
        <v>1155</v>
      </c>
      <c r="H25" s="472" t="s">
        <v>1154</v>
      </c>
      <c r="I25" s="472" t="s">
        <v>1155</v>
      </c>
      <c r="J25" s="473"/>
    </row>
    <row r="26" ht="49.5" customHeight="1" spans="1:10" x14ac:dyDescent="0.25">
      <c r="A26" s="460"/>
      <c r="B26" s="474"/>
      <c r="C26" s="475" t="s">
        <v>154</v>
      </c>
      <c r="D26" s="475" t="s">
        <v>157</v>
      </c>
      <c r="E26" s="475" t="s">
        <v>1156</v>
      </c>
      <c r="F26" s="475" t="s">
        <v>164</v>
      </c>
      <c r="G26" s="475" t="s">
        <v>1157</v>
      </c>
      <c r="H26" s="475" t="s">
        <v>329</v>
      </c>
      <c r="I26" s="475" t="s">
        <v>1158</v>
      </c>
      <c r="J26" s="473"/>
    </row>
    <row r="27" ht="42" customHeight="1" spans="1:10" x14ac:dyDescent="0.25">
      <c r="A27" s="460" t="s">
        <v>1159</v>
      </c>
      <c r="B27" s="476" t="s">
        <v>1136</v>
      </c>
      <c r="C27" s="477">
        <v>0.18</v>
      </c>
      <c r="D27" s="462"/>
      <c r="E27" s="462">
        <v>0</v>
      </c>
      <c r="F27" s="462"/>
      <c r="G27" s="462">
        <v>0</v>
      </c>
      <c r="H27" s="462">
        <v>0</v>
      </c>
      <c r="I27" s="462">
        <v>0</v>
      </c>
      <c r="J27" s="473"/>
    </row>
    <row r="28" ht="42" customHeight="1" spans="1:10" x14ac:dyDescent="0.25">
      <c r="A28" s="460" t="s">
        <v>1160</v>
      </c>
      <c r="B28" s="476" t="s">
        <v>1137</v>
      </c>
      <c r="C28" s="477">
        <v>0.18</v>
      </c>
      <c r="D28" s="462"/>
      <c r="E28" s="462">
        <v>0</v>
      </c>
      <c r="F28" s="462"/>
      <c r="G28" s="462">
        <v>0</v>
      </c>
      <c r="H28" s="462">
        <v>0</v>
      </c>
      <c r="I28" s="462">
        <v>0</v>
      </c>
      <c r="J28" s="473"/>
    </row>
    <row r="29" ht="42" customHeight="1" spans="1:10" x14ac:dyDescent="0.25">
      <c r="A29" s="460" t="s">
        <v>1161</v>
      </c>
      <c r="B29" s="476" t="s">
        <v>1138</v>
      </c>
      <c r="C29" s="477">
        <v>0.12</v>
      </c>
      <c r="D29" s="462"/>
      <c r="E29" s="462">
        <v>0</v>
      </c>
      <c r="F29" s="462"/>
      <c r="G29" s="462">
        <v>0</v>
      </c>
      <c r="H29" s="462">
        <v>0</v>
      </c>
      <c r="I29" s="462">
        <v>0</v>
      </c>
      <c r="J29" s="473"/>
    </row>
    <row r="30" ht="42" customHeight="1" spans="1:10" x14ac:dyDescent="0.25">
      <c r="A30" s="460" t="s">
        <v>1162</v>
      </c>
      <c r="B30" s="476" t="s">
        <v>1139</v>
      </c>
      <c r="C30" s="477">
        <v>0.15</v>
      </c>
      <c r="D30" s="462"/>
      <c r="E30" s="462">
        <v>0</v>
      </c>
      <c r="F30" s="462"/>
      <c r="G30" s="462">
        <v>0</v>
      </c>
      <c r="H30" s="462">
        <v>0</v>
      </c>
      <c r="I30" s="462">
        <v>0</v>
      </c>
      <c r="J30" s="473"/>
    </row>
    <row r="31" ht="42" customHeight="1" spans="1:10" x14ac:dyDescent="0.25">
      <c r="A31" s="460" t="s">
        <v>1163</v>
      </c>
      <c r="B31" s="476" t="s">
        <v>1140</v>
      </c>
      <c r="C31" s="477">
        <v>0.18</v>
      </c>
      <c r="D31" s="462"/>
      <c r="E31" s="462">
        <v>0</v>
      </c>
      <c r="F31" s="462"/>
      <c r="G31" s="462">
        <v>0</v>
      </c>
      <c r="H31" s="462">
        <v>0</v>
      </c>
      <c r="I31" s="462">
        <v>0</v>
      </c>
      <c r="J31" s="473"/>
    </row>
    <row r="32" ht="42" customHeight="1" spans="1:10" x14ac:dyDescent="0.25">
      <c r="A32" s="460" t="s">
        <v>1164</v>
      </c>
      <c r="B32" s="476" t="s">
        <v>1141</v>
      </c>
      <c r="C32" s="477">
        <v>0.15</v>
      </c>
      <c r="D32" s="462"/>
      <c r="E32" s="462">
        <v>0</v>
      </c>
      <c r="F32" s="462"/>
      <c r="G32" s="462">
        <v>0</v>
      </c>
      <c r="H32" s="462">
        <v>0</v>
      </c>
      <c r="I32" s="462">
        <v>0</v>
      </c>
      <c r="J32" s="473"/>
    </row>
    <row r="33" ht="42" customHeight="1" spans="1:10" x14ac:dyDescent="0.25">
      <c r="A33" s="460" t="s">
        <v>1165</v>
      </c>
      <c r="B33" s="476" t="s">
        <v>1142</v>
      </c>
      <c r="C33" s="477">
        <v>0.12</v>
      </c>
      <c r="D33" s="462"/>
      <c r="E33" s="462">
        <v>0</v>
      </c>
      <c r="F33" s="462"/>
      <c r="G33" s="462">
        <v>0</v>
      </c>
      <c r="H33" s="462">
        <v>0</v>
      </c>
      <c r="I33" s="462">
        <v>0</v>
      </c>
      <c r="J33" s="473"/>
    </row>
    <row r="34" ht="42" customHeight="1" spans="1:10" x14ac:dyDescent="0.25">
      <c r="A34" s="460" t="s">
        <v>1166</v>
      </c>
      <c r="B34" s="476" t="s">
        <v>1143</v>
      </c>
      <c r="C34" s="477">
        <v>0.12</v>
      </c>
      <c r="D34" s="462"/>
      <c r="E34" s="462">
        <v>0</v>
      </c>
      <c r="F34" s="462"/>
      <c r="G34" s="462">
        <v>0</v>
      </c>
      <c r="H34" s="462">
        <v>0</v>
      </c>
      <c r="I34" s="462">
        <v>0</v>
      </c>
      <c r="J34" s="473"/>
    </row>
    <row r="35" ht="55.5" customHeight="1" spans="1:10" s="450" customFormat="1" x14ac:dyDescent="0.25">
      <c r="A35" s="460" t="s">
        <v>1167</v>
      </c>
      <c r="B35" s="478" t="s">
        <v>1168</v>
      </c>
      <c r="C35" s="477"/>
      <c r="D35" s="462">
        <v>0</v>
      </c>
      <c r="E35" s="462">
        <v>0</v>
      </c>
      <c r="F35" s="462">
        <v>0</v>
      </c>
      <c r="G35" s="462">
        <v>0</v>
      </c>
      <c r="H35" s="462">
        <v>0</v>
      </c>
      <c r="I35" s="462">
        <v>0</v>
      </c>
      <c r="J35" s="473"/>
    </row>
    <row r="36" ht="9" customHeight="1" spans="1:1" x14ac:dyDescent="0.25">
      <c r="A36" s="466"/>
    </row>
    <row r="37" ht="35.25" customHeight="1" spans="1:9" s="450" customFormat="1" x14ac:dyDescent="0.25">
      <c r="A37" s="460" t="s">
        <v>1169</v>
      </c>
      <c r="B37" s="479" t="s">
        <v>1101</v>
      </c>
      <c r="C37" s="479"/>
      <c r="D37" s="479"/>
      <c r="E37" s="479"/>
      <c r="F37" s="480" t="s">
        <v>1170</v>
      </c>
      <c r="G37" s="480"/>
      <c r="H37" s="480"/>
      <c r="I37" s="462">
        <v>0</v>
      </c>
    </row>
    <row r="38" ht="35.25" customHeight="1" spans="1:9" s="450" customFormat="1" x14ac:dyDescent="0.25">
      <c r="A38" s="460" t="s">
        <v>684</v>
      </c>
      <c r="B38" s="479" t="s">
        <v>825</v>
      </c>
      <c r="C38" s="479"/>
      <c r="D38" s="479"/>
      <c r="E38" s="479"/>
      <c r="F38" s="480" t="s">
        <v>1171</v>
      </c>
      <c r="G38" s="480"/>
      <c r="H38" s="480"/>
      <c r="I38" s="462">
        <v>0</v>
      </c>
    </row>
  </sheetData>
  <sheetProtection sheet="1" algorithmName="SHA-512" hashValue="N3RmKBTu4w60fChttknITA7/DWX/izs+5tfkuzwErAZ1SYwnNOrQZjT6VEoHO/MFvs+FtH1dDzSkru5YsO9bCA==" saltValue="+9MQyaybyoGNMTNYDC6QuQ==" spinCount="100000" objects="1" scenarios="1"/>
  <mergeCells count="15">
    <mergeCell ref="A1:J1"/>
    <mergeCell ref="C10:J10"/>
    <mergeCell ref="A10:A11"/>
    <mergeCell ref="B10:B11"/>
    <mergeCell ref="K10:K11"/>
    <mergeCell ref="D24:E24"/>
    <mergeCell ref="F24:G24"/>
    <mergeCell ref="H24:I24"/>
    <mergeCell ref="A24:A25"/>
    <mergeCell ref="B24:B25"/>
    <mergeCell ref="C24:C25"/>
    <mergeCell ref="B37:E37"/>
    <mergeCell ref="F37:H37"/>
    <mergeCell ref="B38:E38"/>
    <mergeCell ref="F38:H38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38" fitToWidth="1" fitToHeight="1" firstPageNumber="1" useFirstPageNumber="1" copies="1"/>
  <headerFooter>
    <oddFooter>&amp;R&amp;P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51"/>
  <sheetViews>
    <sheetView workbookViewId="0" zoomScale="70" zoomScaleNormal="70" view="pageBreakPreview">
      <selection activeCell="B8" sqref="B8"/>
    </sheetView>
  </sheetViews>
  <sheetFormatPr defaultRowHeight="17.25" outlineLevelRow="0" outlineLevelCol="0" x14ac:dyDescent="0" defaultColWidth="10" customHeight="1"/>
  <cols>
    <col min="1" max="1" width="11.7265625" style="481" customWidth="1"/>
    <col min="2" max="2" width="20.36328125" style="482" customWidth="1"/>
    <col min="3" max="3" width="28.54296875" style="483" customWidth="1"/>
    <col min="4" max="6" width="14.7265625" style="364" customWidth="1"/>
    <col min="7" max="7" width="16.1796875" style="364" customWidth="1"/>
    <col min="8" max="8" width="15.6328125" style="364" customWidth="1"/>
    <col min="9" max="9" width="16.90625" style="364" customWidth="1"/>
    <col min="10" max="10" width="17.7265625" style="364" customWidth="1"/>
    <col min="11" max="11" width="16.08984375" style="364" customWidth="1"/>
    <col min="12" max="13" width="13.1796875" style="364" customWidth="1"/>
    <col min="14" max="16384" width="10" style="364" customWidth="1"/>
  </cols>
  <sheetData>
    <row r="1" ht="29.25" customHeight="1" spans="1:13" s="317" customFormat="1" x14ac:dyDescent="0.25">
      <c r="A1" s="319" t="s">
        <v>1172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20" t="s">
        <v>80</v>
      </c>
    </row>
    <row r="2" ht="31.5" customHeight="1" spans="1:1025" x14ac:dyDescent="0.25">
      <c r="A2" s="364"/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8" customHeight="1" spans="2:8" s="317" customFormat="1" x14ac:dyDescent="0.25">
      <c r="B7" s="317"/>
      <c r="C7" s="317"/>
      <c r="D7" s="317"/>
      <c r="E7" s="317"/>
      <c r="F7" s="317"/>
      <c r="G7" s="317"/>
      <c r="H7" s="317"/>
    </row>
    <row r="8" ht="50.25" customHeight="1" spans="1:13" s="481" customFormat="1" x14ac:dyDescent="0.25">
      <c r="A8" s="484" t="s">
        <v>113</v>
      </c>
      <c r="B8" s="484" t="s">
        <v>1173</v>
      </c>
      <c r="C8" s="484"/>
      <c r="D8" s="485" t="s">
        <v>1174</v>
      </c>
      <c r="E8" s="485"/>
      <c r="F8" s="485"/>
      <c r="G8" s="485"/>
      <c r="H8" s="485"/>
      <c r="I8" s="485"/>
      <c r="J8" s="485"/>
      <c r="K8" s="486" t="s">
        <v>520</v>
      </c>
      <c r="L8" s="425" t="s">
        <v>1111</v>
      </c>
      <c r="M8" s="425"/>
    </row>
    <row r="9" ht="126" customHeight="1" spans="1:13" s="481" customFormat="1" x14ac:dyDescent="0.25">
      <c r="A9" s="484"/>
      <c r="B9" s="484"/>
      <c r="C9" s="484"/>
      <c r="D9" s="432" t="s">
        <v>1120</v>
      </c>
      <c r="E9" s="432" t="s">
        <v>1122</v>
      </c>
      <c r="F9" s="432" t="s">
        <v>1124</v>
      </c>
      <c r="G9" s="432" t="s">
        <v>1126</v>
      </c>
      <c r="H9" s="432" t="s">
        <v>1128</v>
      </c>
      <c r="I9" s="432" t="s">
        <v>1130</v>
      </c>
      <c r="J9" s="432" t="s">
        <v>1132</v>
      </c>
      <c r="K9" s="486"/>
      <c r="L9" s="487" t="s">
        <v>1117</v>
      </c>
      <c r="M9" s="487" t="s">
        <v>1118</v>
      </c>
    </row>
    <row r="10" ht="20" customHeight="1" spans="1:13" s="481" customFormat="1" x14ac:dyDescent="0.25">
      <c r="A10" s="484"/>
      <c r="B10" s="484"/>
      <c r="C10" s="484"/>
      <c r="D10" s="488" t="s">
        <v>154</v>
      </c>
      <c r="E10" s="488" t="s">
        <v>157</v>
      </c>
      <c r="F10" s="488" t="s">
        <v>160</v>
      </c>
      <c r="G10" s="488" t="s">
        <v>164</v>
      </c>
      <c r="H10" s="488" t="s">
        <v>321</v>
      </c>
      <c r="I10" s="488" t="s">
        <v>329</v>
      </c>
      <c r="J10" s="488" t="s">
        <v>331</v>
      </c>
      <c r="K10" s="488" t="s">
        <v>333</v>
      </c>
      <c r="L10" s="488" t="s">
        <v>334</v>
      </c>
      <c r="M10" s="488" t="s">
        <v>421</v>
      </c>
    </row>
    <row r="11" ht="22.5" customHeight="1" spans="1:13" x14ac:dyDescent="0.25">
      <c r="A11" s="460" t="s">
        <v>1175</v>
      </c>
      <c r="B11" s="489" t="s">
        <v>1136</v>
      </c>
      <c r="C11" s="490" t="s">
        <v>1113</v>
      </c>
      <c r="D11" s="420"/>
      <c r="E11" s="420"/>
      <c r="F11" s="420"/>
      <c r="G11" s="420"/>
      <c r="H11" s="420"/>
      <c r="I11" s="420"/>
      <c r="J11" s="420"/>
      <c r="K11" s="420">
        <v>0</v>
      </c>
      <c r="L11" s="420"/>
      <c r="M11" s="420"/>
    </row>
    <row r="12" ht="22.5" customHeight="1" spans="1:13" x14ac:dyDescent="0.25">
      <c r="A12" s="460" t="s">
        <v>1176</v>
      </c>
      <c r="B12" s="489"/>
      <c r="C12" s="490" t="s">
        <v>1114</v>
      </c>
      <c r="D12" s="420"/>
      <c r="E12" s="420"/>
      <c r="F12" s="420"/>
      <c r="G12" s="420"/>
      <c r="H12" s="420"/>
      <c r="I12" s="420"/>
      <c r="J12" s="420"/>
      <c r="K12" s="420">
        <v>0</v>
      </c>
      <c r="L12" s="420">
        <v>1</v>
      </c>
      <c r="M12" s="420"/>
    </row>
    <row r="13" ht="37.5" customHeight="1" spans="1:13" x14ac:dyDescent="0.25">
      <c r="A13" s="460" t="s">
        <v>1177</v>
      </c>
      <c r="B13" s="489"/>
      <c r="C13" s="490" t="s">
        <v>1178</v>
      </c>
      <c r="D13" s="420"/>
      <c r="E13" s="420"/>
      <c r="F13" s="420"/>
      <c r="G13" s="420"/>
      <c r="H13" s="420"/>
      <c r="I13" s="420"/>
      <c r="J13" s="420"/>
      <c r="K13" s="420">
        <v>0</v>
      </c>
      <c r="L13" s="420"/>
      <c r="M13" s="420"/>
    </row>
    <row r="14" ht="37.5" customHeight="1" spans="1:13" x14ac:dyDescent="0.25">
      <c r="A14" s="460" t="s">
        <v>1179</v>
      </c>
      <c r="B14" s="489"/>
      <c r="C14" s="490" t="s">
        <v>1116</v>
      </c>
      <c r="D14" s="420"/>
      <c r="E14" s="420"/>
      <c r="F14" s="420"/>
      <c r="G14" s="420"/>
      <c r="H14" s="420"/>
      <c r="I14" s="420"/>
      <c r="J14" s="420"/>
      <c r="K14" s="420">
        <v>0</v>
      </c>
      <c r="L14" s="420"/>
      <c r="M14" s="420"/>
    </row>
    <row r="15" ht="22.5" customHeight="1" spans="1:13" x14ac:dyDescent="0.25">
      <c r="A15" s="460" t="s">
        <v>1180</v>
      </c>
      <c r="B15" s="489" t="s">
        <v>1137</v>
      </c>
      <c r="C15" s="490" t="s">
        <v>1113</v>
      </c>
      <c r="D15" s="420"/>
      <c r="E15" s="420"/>
      <c r="F15" s="420"/>
      <c r="G15" s="420"/>
      <c r="H15" s="420"/>
      <c r="I15" s="420"/>
      <c r="J15" s="420"/>
      <c r="K15" s="420">
        <v>0</v>
      </c>
      <c r="L15" s="420"/>
      <c r="M15" s="420"/>
    </row>
    <row r="16" ht="22.5" customHeight="1" spans="1:13" x14ac:dyDescent="0.25">
      <c r="A16" s="460" t="s">
        <v>1181</v>
      </c>
      <c r="B16" s="489"/>
      <c r="C16" s="490" t="s">
        <v>1114</v>
      </c>
      <c r="D16" s="420"/>
      <c r="E16" s="420"/>
      <c r="F16" s="420"/>
      <c r="G16" s="420"/>
      <c r="H16" s="420"/>
      <c r="I16" s="420"/>
      <c r="J16" s="420"/>
      <c r="K16" s="420">
        <v>0</v>
      </c>
      <c r="L16" s="420">
        <v>1</v>
      </c>
      <c r="M16" s="420"/>
    </row>
    <row r="17" ht="37.5" customHeight="1" spans="1:13" x14ac:dyDescent="0.25">
      <c r="A17" s="460" t="s">
        <v>1182</v>
      </c>
      <c r="B17" s="489"/>
      <c r="C17" s="490" t="s">
        <v>1178</v>
      </c>
      <c r="D17" s="420"/>
      <c r="E17" s="420"/>
      <c r="F17" s="420"/>
      <c r="G17" s="420"/>
      <c r="H17" s="420"/>
      <c r="I17" s="420"/>
      <c r="J17" s="420"/>
      <c r="K17" s="420">
        <v>0</v>
      </c>
      <c r="L17" s="420"/>
      <c r="M17" s="420"/>
    </row>
    <row r="18" ht="37.5" customHeight="1" spans="1:13" x14ac:dyDescent="0.25">
      <c r="A18" s="460" t="s">
        <v>1183</v>
      </c>
      <c r="B18" s="489"/>
      <c r="C18" s="490" t="s">
        <v>1116</v>
      </c>
      <c r="D18" s="420"/>
      <c r="E18" s="420"/>
      <c r="F18" s="420"/>
      <c r="G18" s="420"/>
      <c r="H18" s="420"/>
      <c r="I18" s="420"/>
      <c r="J18" s="420"/>
      <c r="K18" s="420">
        <v>0</v>
      </c>
      <c r="L18" s="420"/>
      <c r="M18" s="420"/>
    </row>
    <row r="19" ht="22.5" customHeight="1" spans="1:13" x14ac:dyDescent="0.25">
      <c r="A19" s="460" t="s">
        <v>1184</v>
      </c>
      <c r="B19" s="367" t="s">
        <v>1138</v>
      </c>
      <c r="C19" s="490" t="s">
        <v>1113</v>
      </c>
      <c r="D19" s="420"/>
      <c r="E19" s="420"/>
      <c r="F19" s="420"/>
      <c r="G19" s="420"/>
      <c r="H19" s="420"/>
      <c r="I19" s="420"/>
      <c r="J19" s="420"/>
      <c r="K19" s="420">
        <v>0</v>
      </c>
      <c r="L19" s="420"/>
      <c r="M19" s="420"/>
    </row>
    <row r="20" ht="22.5" customHeight="1" spans="1:13" x14ac:dyDescent="0.25">
      <c r="A20" s="460" t="s">
        <v>1185</v>
      </c>
      <c r="B20" s="367"/>
      <c r="C20" s="490" t="s">
        <v>1114</v>
      </c>
      <c r="D20" s="420"/>
      <c r="E20" s="420"/>
      <c r="F20" s="420"/>
      <c r="G20" s="420"/>
      <c r="H20" s="420"/>
      <c r="I20" s="420"/>
      <c r="J20" s="420"/>
      <c r="K20" s="420">
        <v>0</v>
      </c>
      <c r="L20" s="420">
        <v>1</v>
      </c>
      <c r="M20" s="420"/>
    </row>
    <row r="21" ht="37.5" customHeight="1" spans="1:13" x14ac:dyDescent="0.25">
      <c r="A21" s="460" t="s">
        <v>1186</v>
      </c>
      <c r="B21" s="367"/>
      <c r="C21" s="490" t="s">
        <v>1178</v>
      </c>
      <c r="D21" s="420"/>
      <c r="E21" s="420"/>
      <c r="F21" s="420"/>
      <c r="G21" s="420"/>
      <c r="H21" s="420"/>
      <c r="I21" s="420"/>
      <c r="J21" s="420"/>
      <c r="K21" s="420">
        <v>0</v>
      </c>
      <c r="L21" s="420"/>
      <c r="M21" s="420"/>
    </row>
    <row r="22" ht="37.5" customHeight="1" spans="1:13" x14ac:dyDescent="0.25">
      <c r="A22" s="460" t="s">
        <v>1187</v>
      </c>
      <c r="B22" s="367"/>
      <c r="C22" s="490" t="s">
        <v>1116</v>
      </c>
      <c r="D22" s="420"/>
      <c r="E22" s="420"/>
      <c r="F22" s="420"/>
      <c r="G22" s="420"/>
      <c r="H22" s="420"/>
      <c r="I22" s="420"/>
      <c r="J22" s="420"/>
      <c r="K22" s="420">
        <v>0</v>
      </c>
      <c r="L22" s="420"/>
      <c r="M22" s="420"/>
    </row>
    <row r="23" ht="22.5" customHeight="1" spans="1:13" x14ac:dyDescent="0.25">
      <c r="A23" s="460" t="s">
        <v>1188</v>
      </c>
      <c r="B23" s="367" t="s">
        <v>1139</v>
      </c>
      <c r="C23" s="490" t="s">
        <v>1113</v>
      </c>
      <c r="D23" s="420"/>
      <c r="E23" s="420"/>
      <c r="F23" s="420"/>
      <c r="G23" s="420"/>
      <c r="H23" s="420"/>
      <c r="I23" s="420"/>
      <c r="J23" s="420"/>
      <c r="K23" s="420">
        <v>0</v>
      </c>
      <c r="L23" s="420"/>
      <c r="M23" s="420"/>
    </row>
    <row r="24" ht="22.5" customHeight="1" spans="1:13" x14ac:dyDescent="0.25">
      <c r="A24" s="460" t="s">
        <v>1189</v>
      </c>
      <c r="B24" s="367"/>
      <c r="C24" s="490" t="s">
        <v>1114</v>
      </c>
      <c r="D24" s="420"/>
      <c r="E24" s="420"/>
      <c r="F24" s="420"/>
      <c r="G24" s="420"/>
      <c r="H24" s="420"/>
      <c r="I24" s="420"/>
      <c r="J24" s="420"/>
      <c r="K24" s="420">
        <v>0</v>
      </c>
      <c r="L24" s="420">
        <v>1</v>
      </c>
      <c r="M24" s="420"/>
    </row>
    <row r="25" ht="37.5" customHeight="1" spans="1:13" x14ac:dyDescent="0.25">
      <c r="A25" s="460" t="s">
        <v>1190</v>
      </c>
      <c r="B25" s="367"/>
      <c r="C25" s="490" t="s">
        <v>1178</v>
      </c>
      <c r="D25" s="420"/>
      <c r="E25" s="420"/>
      <c r="F25" s="420"/>
      <c r="G25" s="420"/>
      <c r="H25" s="420"/>
      <c r="I25" s="420"/>
      <c r="J25" s="420"/>
      <c r="K25" s="420">
        <v>0</v>
      </c>
      <c r="L25" s="420"/>
      <c r="M25" s="420"/>
    </row>
    <row r="26" ht="37.5" customHeight="1" spans="1:13" x14ac:dyDescent="0.25">
      <c r="A26" s="460" t="s">
        <v>1191</v>
      </c>
      <c r="B26" s="367"/>
      <c r="C26" s="490" t="s">
        <v>1116</v>
      </c>
      <c r="D26" s="420"/>
      <c r="E26" s="420"/>
      <c r="F26" s="420"/>
      <c r="G26" s="420"/>
      <c r="H26" s="420"/>
      <c r="I26" s="420"/>
      <c r="J26" s="420"/>
      <c r="K26" s="420">
        <v>0</v>
      </c>
      <c r="L26" s="420"/>
      <c r="M26" s="420"/>
    </row>
    <row r="27" ht="22.5" customHeight="1" spans="1:13" x14ac:dyDescent="0.25">
      <c r="A27" s="460" t="s">
        <v>1192</v>
      </c>
      <c r="B27" s="489" t="s">
        <v>1140</v>
      </c>
      <c r="C27" s="490" t="s">
        <v>1113</v>
      </c>
      <c r="D27" s="420"/>
      <c r="E27" s="420"/>
      <c r="F27" s="420"/>
      <c r="G27" s="420"/>
      <c r="H27" s="420"/>
      <c r="I27" s="420"/>
      <c r="J27" s="420"/>
      <c r="K27" s="420">
        <v>0</v>
      </c>
      <c r="L27" s="420"/>
      <c r="M27" s="420"/>
    </row>
    <row r="28" ht="22.5" customHeight="1" spans="1:13" x14ac:dyDescent="0.25">
      <c r="A28" s="460" t="s">
        <v>1193</v>
      </c>
      <c r="B28" s="489"/>
      <c r="C28" s="490" t="s">
        <v>1114</v>
      </c>
      <c r="D28" s="420"/>
      <c r="E28" s="420"/>
      <c r="F28" s="420"/>
      <c r="G28" s="420"/>
      <c r="H28" s="420"/>
      <c r="I28" s="420"/>
      <c r="J28" s="420"/>
      <c r="K28" s="420">
        <v>0</v>
      </c>
      <c r="L28" s="420">
        <v>1</v>
      </c>
      <c r="M28" s="420"/>
    </row>
    <row r="29" ht="37.5" customHeight="1" spans="1:13" x14ac:dyDescent="0.25">
      <c r="A29" s="460" t="s">
        <v>1194</v>
      </c>
      <c r="B29" s="489"/>
      <c r="C29" s="490" t="s">
        <v>1178</v>
      </c>
      <c r="D29" s="420"/>
      <c r="E29" s="420"/>
      <c r="F29" s="420"/>
      <c r="G29" s="420"/>
      <c r="H29" s="420"/>
      <c r="I29" s="420"/>
      <c r="J29" s="420"/>
      <c r="K29" s="420">
        <v>0</v>
      </c>
      <c r="L29" s="420"/>
      <c r="M29" s="420"/>
    </row>
    <row r="30" ht="37.5" customHeight="1" spans="1:13" x14ac:dyDescent="0.25">
      <c r="A30" s="460" t="s">
        <v>1195</v>
      </c>
      <c r="B30" s="489"/>
      <c r="C30" s="490" t="s">
        <v>1116</v>
      </c>
      <c r="D30" s="420"/>
      <c r="E30" s="420"/>
      <c r="F30" s="420"/>
      <c r="G30" s="420"/>
      <c r="H30" s="420"/>
      <c r="I30" s="420"/>
      <c r="J30" s="420"/>
      <c r="K30" s="420">
        <v>0</v>
      </c>
      <c r="L30" s="420"/>
      <c r="M30" s="420"/>
    </row>
    <row r="31" ht="22.5" customHeight="1" spans="1:13" x14ac:dyDescent="0.25">
      <c r="A31" s="460" t="s">
        <v>1196</v>
      </c>
      <c r="B31" s="489" t="s">
        <v>1141</v>
      </c>
      <c r="C31" s="490" t="s">
        <v>1113</v>
      </c>
      <c r="D31" s="420"/>
      <c r="E31" s="420"/>
      <c r="F31" s="420"/>
      <c r="G31" s="420"/>
      <c r="H31" s="420"/>
      <c r="I31" s="420"/>
      <c r="J31" s="420"/>
      <c r="K31" s="420">
        <v>0</v>
      </c>
      <c r="L31" s="420"/>
      <c r="M31" s="420"/>
    </row>
    <row r="32" ht="22.5" customHeight="1" spans="1:13" x14ac:dyDescent="0.25">
      <c r="A32" s="460" t="s">
        <v>1197</v>
      </c>
      <c r="B32" s="489"/>
      <c r="C32" s="490" t="s">
        <v>1114</v>
      </c>
      <c r="D32" s="420"/>
      <c r="E32" s="420"/>
      <c r="F32" s="420"/>
      <c r="G32" s="420"/>
      <c r="H32" s="420"/>
      <c r="I32" s="420"/>
      <c r="J32" s="420"/>
      <c r="K32" s="420">
        <v>0</v>
      </c>
      <c r="L32" s="420">
        <v>1</v>
      </c>
      <c r="M32" s="420"/>
    </row>
    <row r="33" ht="37.5" customHeight="1" spans="1:13" x14ac:dyDescent="0.25">
      <c r="A33" s="460" t="s">
        <v>1198</v>
      </c>
      <c r="B33" s="489"/>
      <c r="C33" s="490" t="s">
        <v>1178</v>
      </c>
      <c r="D33" s="420"/>
      <c r="E33" s="420"/>
      <c r="F33" s="420"/>
      <c r="G33" s="420"/>
      <c r="H33" s="420"/>
      <c r="I33" s="420"/>
      <c r="J33" s="420"/>
      <c r="K33" s="420">
        <v>0</v>
      </c>
      <c r="L33" s="420"/>
      <c r="M33" s="420"/>
    </row>
    <row r="34" ht="37.5" customHeight="1" spans="1:13" x14ac:dyDescent="0.25">
      <c r="A34" s="460" t="s">
        <v>1199</v>
      </c>
      <c r="B34" s="489"/>
      <c r="C34" s="490" t="s">
        <v>1116</v>
      </c>
      <c r="D34" s="420"/>
      <c r="E34" s="420"/>
      <c r="F34" s="420"/>
      <c r="G34" s="420"/>
      <c r="H34" s="420"/>
      <c r="I34" s="420"/>
      <c r="J34" s="420"/>
      <c r="K34" s="420">
        <v>0</v>
      </c>
      <c r="L34" s="420"/>
      <c r="M34" s="420"/>
    </row>
    <row r="35" ht="22.5" customHeight="1" spans="1:13" x14ac:dyDescent="0.25">
      <c r="A35" s="460" t="s">
        <v>1200</v>
      </c>
      <c r="B35" s="367" t="s">
        <v>1142</v>
      </c>
      <c r="C35" s="490" t="s">
        <v>1113</v>
      </c>
      <c r="D35" s="420"/>
      <c r="E35" s="420"/>
      <c r="F35" s="420"/>
      <c r="G35" s="420"/>
      <c r="H35" s="420"/>
      <c r="I35" s="420"/>
      <c r="J35" s="420"/>
      <c r="K35" s="420">
        <v>0</v>
      </c>
      <c r="L35" s="420"/>
      <c r="M35" s="420"/>
    </row>
    <row r="36" ht="22.5" customHeight="1" spans="1:13" x14ac:dyDescent="0.25">
      <c r="A36" s="460" t="s">
        <v>1201</v>
      </c>
      <c r="B36" s="367"/>
      <c r="C36" s="490" t="s">
        <v>1114</v>
      </c>
      <c r="D36" s="420"/>
      <c r="E36" s="420"/>
      <c r="F36" s="420"/>
      <c r="G36" s="420"/>
      <c r="H36" s="420"/>
      <c r="I36" s="420"/>
      <c r="J36" s="420"/>
      <c r="K36" s="420">
        <v>0</v>
      </c>
      <c r="L36" s="420">
        <v>1</v>
      </c>
      <c r="M36" s="420"/>
    </row>
    <row r="37" ht="37.5" customHeight="1" spans="1:13" x14ac:dyDescent="0.25">
      <c r="A37" s="460" t="s">
        <v>1202</v>
      </c>
      <c r="B37" s="367"/>
      <c r="C37" s="490" t="s">
        <v>1178</v>
      </c>
      <c r="D37" s="420"/>
      <c r="E37" s="420"/>
      <c r="F37" s="420"/>
      <c r="G37" s="420"/>
      <c r="H37" s="420"/>
      <c r="I37" s="420"/>
      <c r="J37" s="420"/>
      <c r="K37" s="420">
        <v>0</v>
      </c>
      <c r="L37" s="420"/>
      <c r="M37" s="420"/>
    </row>
    <row r="38" ht="37.5" customHeight="1" spans="1:13" x14ac:dyDescent="0.25">
      <c r="A38" s="460" t="s">
        <v>1203</v>
      </c>
      <c r="B38" s="367"/>
      <c r="C38" s="490" t="s">
        <v>1116</v>
      </c>
      <c r="D38" s="420"/>
      <c r="E38" s="420"/>
      <c r="F38" s="420"/>
      <c r="G38" s="420"/>
      <c r="H38" s="420"/>
      <c r="I38" s="420"/>
      <c r="J38" s="420"/>
      <c r="K38" s="420">
        <v>0</v>
      </c>
      <c r="L38" s="420"/>
      <c r="M38" s="420"/>
    </row>
    <row r="39" ht="22.5" customHeight="1" spans="1:13" x14ac:dyDescent="0.25">
      <c r="A39" s="460" t="s">
        <v>1204</v>
      </c>
      <c r="B39" s="367" t="s">
        <v>1143</v>
      </c>
      <c r="C39" s="490" t="s">
        <v>1113</v>
      </c>
      <c r="D39" s="420"/>
      <c r="E39" s="420"/>
      <c r="F39" s="420"/>
      <c r="G39" s="420"/>
      <c r="H39" s="420"/>
      <c r="I39" s="420"/>
      <c r="J39" s="420"/>
      <c r="K39" s="420">
        <v>0</v>
      </c>
      <c r="L39" s="420"/>
      <c r="M39" s="420"/>
    </row>
    <row r="40" ht="22.5" customHeight="1" spans="1:13" x14ac:dyDescent="0.25">
      <c r="A40" s="460" t="s">
        <v>1205</v>
      </c>
      <c r="B40" s="367"/>
      <c r="C40" s="490" t="s">
        <v>1114</v>
      </c>
      <c r="D40" s="420"/>
      <c r="E40" s="420"/>
      <c r="F40" s="420"/>
      <c r="G40" s="420"/>
      <c r="H40" s="420"/>
      <c r="I40" s="420"/>
      <c r="J40" s="420"/>
      <c r="K40" s="420">
        <v>0</v>
      </c>
      <c r="L40" s="420">
        <v>1</v>
      </c>
      <c r="M40" s="420"/>
    </row>
    <row r="41" ht="37.5" customHeight="1" spans="1:13" x14ac:dyDescent="0.25">
      <c r="A41" s="460" t="s">
        <v>1206</v>
      </c>
      <c r="B41" s="367"/>
      <c r="C41" s="490" t="s">
        <v>1178</v>
      </c>
      <c r="D41" s="420"/>
      <c r="E41" s="420"/>
      <c r="F41" s="420"/>
      <c r="G41" s="420"/>
      <c r="H41" s="420"/>
      <c r="I41" s="420"/>
      <c r="J41" s="420"/>
      <c r="K41" s="420">
        <v>0</v>
      </c>
      <c r="L41" s="420"/>
      <c r="M41" s="420"/>
    </row>
    <row r="42" ht="37.5" customHeight="1" spans="1:13" x14ac:dyDescent="0.25">
      <c r="A42" s="460" t="s">
        <v>1207</v>
      </c>
      <c r="B42" s="367"/>
      <c r="C42" s="490" t="s">
        <v>1116</v>
      </c>
      <c r="D42" s="420"/>
      <c r="E42" s="420"/>
      <c r="F42" s="420"/>
      <c r="G42" s="420"/>
      <c r="H42" s="420"/>
      <c r="I42" s="420"/>
      <c r="J42" s="420"/>
      <c r="K42" s="420">
        <v>0</v>
      </c>
      <c r="L42" s="420"/>
      <c r="M42" s="420"/>
    </row>
    <row r="43" ht="22.5" customHeight="1" spans="1:13" x14ac:dyDescent="0.25">
      <c r="A43" s="460" t="s">
        <v>1208</v>
      </c>
      <c r="B43" s="367" t="s">
        <v>520</v>
      </c>
      <c r="C43" s="490" t="s">
        <v>1113</v>
      </c>
      <c r="D43" s="420">
        <v>0</v>
      </c>
      <c r="E43" s="420">
        <v>0</v>
      </c>
      <c r="F43" s="420">
        <v>0</v>
      </c>
      <c r="G43" s="420">
        <v>0</v>
      </c>
      <c r="H43" s="420">
        <v>0</v>
      </c>
      <c r="I43" s="420">
        <v>0</v>
      </c>
      <c r="J43" s="420">
        <v>0</v>
      </c>
      <c r="K43" s="420">
        <v>0</v>
      </c>
      <c r="L43" s="420">
        <v>0</v>
      </c>
      <c r="M43" s="420">
        <v>0</v>
      </c>
    </row>
    <row r="44" ht="22.5" customHeight="1" spans="1:13" x14ac:dyDescent="0.25">
      <c r="A44" s="460" t="s">
        <v>1209</v>
      </c>
      <c r="B44" s="367"/>
      <c r="C44" s="490" t="s">
        <v>1114</v>
      </c>
      <c r="D44" s="420">
        <v>0</v>
      </c>
      <c r="E44" s="420">
        <v>0</v>
      </c>
      <c r="F44" s="420">
        <v>0</v>
      </c>
      <c r="G44" s="420">
        <v>0</v>
      </c>
      <c r="H44" s="420">
        <v>0</v>
      </c>
      <c r="I44" s="420">
        <v>0</v>
      </c>
      <c r="J44" s="420">
        <v>0</v>
      </c>
      <c r="K44" s="420">
        <v>0</v>
      </c>
      <c r="L44" s="420">
        <v>8</v>
      </c>
      <c r="M44" s="420">
        <v>0</v>
      </c>
    </row>
    <row r="45" ht="37.5" customHeight="1" spans="1:13" x14ac:dyDescent="0.25">
      <c r="A45" s="460" t="s">
        <v>1210</v>
      </c>
      <c r="B45" s="367"/>
      <c r="C45" s="490" t="s">
        <v>1178</v>
      </c>
      <c r="D45" s="420">
        <v>0</v>
      </c>
      <c r="E45" s="420">
        <v>0</v>
      </c>
      <c r="F45" s="420">
        <v>0</v>
      </c>
      <c r="G45" s="420">
        <v>0</v>
      </c>
      <c r="H45" s="420">
        <v>0</v>
      </c>
      <c r="I45" s="420">
        <v>0</v>
      </c>
      <c r="J45" s="420">
        <v>0</v>
      </c>
      <c r="K45" s="420">
        <v>0</v>
      </c>
      <c r="L45" s="420">
        <v>0</v>
      </c>
      <c r="M45" s="420">
        <v>0</v>
      </c>
    </row>
    <row r="46" ht="37.5" customHeight="1" spans="1:13" x14ac:dyDescent="0.25">
      <c r="A46" s="460" t="s">
        <v>1211</v>
      </c>
      <c r="B46" s="367"/>
      <c r="C46" s="490" t="s">
        <v>1116</v>
      </c>
      <c r="D46" s="420">
        <v>0</v>
      </c>
      <c r="E46" s="420">
        <v>0</v>
      </c>
      <c r="F46" s="420">
        <v>0</v>
      </c>
      <c r="G46" s="420">
        <v>0</v>
      </c>
      <c r="H46" s="420">
        <v>0</v>
      </c>
      <c r="I46" s="420">
        <v>0</v>
      </c>
      <c r="J46" s="420">
        <v>0</v>
      </c>
      <c r="K46" s="420">
        <v>0</v>
      </c>
      <c r="L46" s="420">
        <v>0</v>
      </c>
      <c r="M46" s="420">
        <v>0</v>
      </c>
    </row>
    <row r="47" ht="17.5" customHeight="1" spans="2:3" x14ac:dyDescent="0.25">
      <c r="B47" s="364"/>
      <c r="C47" s="364"/>
    </row>
    <row r="48" ht="17.5" customHeight="1" spans="2:3" x14ac:dyDescent="0.25">
      <c r="B48" s="364"/>
      <c r="C48" s="364"/>
    </row>
    <row r="49" ht="17.5" customHeight="1" spans="1:1" s="364" customFormat="1" x14ac:dyDescent="0.25">
      <c r="A49" s="481"/>
    </row>
    <row r="50" ht="17.5" customHeight="1" spans="1:1" s="364" customFormat="1" x14ac:dyDescent="0.25">
      <c r="A50" s="481"/>
    </row>
    <row r="51" ht="17.5" customHeight="1" spans="1:1" s="364" customFormat="1" x14ac:dyDescent="0.25">
      <c r="A51" s="481"/>
    </row>
  </sheetData>
  <sheetProtection sheet="1" algorithmName="SHA-512" hashValue="y9C2UoQ9poJCziPeXSRwMXul5FUWzm5DDlmDrFKAviEos+VVIbbWrDPlvDnllOaIawhqkmUYojeVAGmoquKnAA==" saltValue="jKznQWwIx/X1VRKBs1Tq+g==" spinCount="100000" objects="1" scenarios="1"/>
  <mergeCells count="16">
    <mergeCell ref="A1:L1"/>
    <mergeCell ref="B8:C9"/>
    <mergeCell ref="D8:J8"/>
    <mergeCell ref="L8:M8"/>
    <mergeCell ref="A8:A9"/>
    <mergeCell ref="K8:K9"/>
    <mergeCell ref="A10:C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54" fitToWidth="1" fitToHeight="1" firstPageNumber="1" useFirstPageNumber="1" copies="1"/>
  <headerFooter>
    <oddFooter>&amp;R&amp;P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L458"/>
  <sheetViews>
    <sheetView workbookViewId="0" zoomScale="40" zoomScaleNormal="70" view="pageBreakPreview">
      <selection activeCell="B15" sqref="B15"/>
    </sheetView>
  </sheetViews>
  <sheetFormatPr defaultRowHeight="22.5" outlineLevelRow="0" outlineLevelCol="0" x14ac:dyDescent="0" defaultColWidth="10" customHeight="1"/>
  <cols>
    <col min="1" max="1" width="15.453125" style="206" customWidth="1"/>
    <col min="2" max="2" width="105.6328125" style="491" customWidth="1"/>
    <col min="3" max="3" width="24.1796875" style="492" customWidth="1"/>
    <col min="4" max="6" width="24.1796875" style="493" customWidth="1"/>
    <col min="7" max="7" width="32.36328125" style="493" customWidth="1"/>
    <col min="8" max="8" width="29.81640625" style="493" customWidth="1"/>
    <col min="9" max="9" width="29.6328125" style="493" customWidth="1"/>
    <col min="10" max="10" width="18.26953125" style="493" customWidth="1"/>
    <col min="11" max="16384" width="10" style="493" customWidth="1"/>
  </cols>
  <sheetData>
    <row r="1" ht="29.25" customHeight="1" spans="1:9" x14ac:dyDescent="0.25">
      <c r="A1" s="494" t="s">
        <v>1212</v>
      </c>
      <c r="B1" s="494"/>
      <c r="C1" s="494"/>
      <c r="D1" s="494"/>
      <c r="E1" s="494"/>
      <c r="F1" s="494"/>
      <c r="G1" s="494"/>
      <c r="H1" s="494"/>
      <c r="I1" s="495" t="s">
        <v>82</v>
      </c>
    </row>
    <row r="2" ht="31.5" customHeight="1" spans="2:1026" s="496" customFormat="1" x14ac:dyDescent="0.25">
      <c r="B2" s="497"/>
      <c r="C2" s="498"/>
      <c r="D2" s="499"/>
      <c r="E2" s="499"/>
      <c r="F2" s="499"/>
      <c r="G2" s="499"/>
      <c r="H2" s="499"/>
      <c r="I2" s="499"/>
      <c r="J2" s="499"/>
      <c r="K2" s="500"/>
      <c r="L2" s="499"/>
      <c r="M2" s="499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  <c r="FD2" s="493"/>
      <c r="FE2" s="493"/>
      <c r="FF2" s="493"/>
      <c r="FG2" s="493"/>
      <c r="FH2" s="493"/>
      <c r="FI2" s="493"/>
      <c r="FJ2" s="493"/>
      <c r="FK2" s="493"/>
      <c r="FL2" s="493"/>
      <c r="FM2" s="493"/>
      <c r="FN2" s="493"/>
      <c r="FO2" s="493"/>
      <c r="FP2" s="493"/>
      <c r="FQ2" s="493"/>
      <c r="FR2" s="493"/>
      <c r="FS2" s="493"/>
      <c r="FT2" s="493"/>
      <c r="FU2" s="493"/>
      <c r="FV2" s="493"/>
      <c r="FW2" s="493"/>
      <c r="FX2" s="493"/>
      <c r="FY2" s="493"/>
      <c r="FZ2" s="493"/>
      <c r="GA2" s="493"/>
      <c r="GB2" s="493"/>
      <c r="GC2" s="493"/>
      <c r="GD2" s="493"/>
      <c r="GE2" s="493"/>
      <c r="GF2" s="493"/>
      <c r="GG2" s="493"/>
      <c r="GH2" s="493"/>
      <c r="GI2" s="493"/>
      <c r="GJ2" s="493"/>
      <c r="GK2" s="493"/>
      <c r="GL2" s="493"/>
      <c r="GM2" s="493"/>
      <c r="GN2" s="493"/>
      <c r="GO2" s="493"/>
      <c r="GP2" s="493"/>
      <c r="GQ2" s="493"/>
      <c r="GR2" s="493"/>
      <c r="GS2" s="493"/>
      <c r="GT2" s="493"/>
      <c r="GU2" s="493"/>
      <c r="GV2" s="493"/>
      <c r="GW2" s="493"/>
      <c r="GX2" s="493"/>
      <c r="GY2" s="493"/>
      <c r="GZ2" s="493"/>
      <c r="HA2" s="493"/>
      <c r="HB2" s="493"/>
      <c r="HC2" s="493"/>
      <c r="HD2" s="493"/>
      <c r="HE2" s="493"/>
      <c r="HF2" s="493"/>
      <c r="HG2" s="493"/>
      <c r="HH2" s="493"/>
      <c r="HI2" s="493"/>
      <c r="HJ2" s="493"/>
      <c r="HK2" s="493"/>
      <c r="HL2" s="493"/>
      <c r="HM2" s="493"/>
      <c r="HN2" s="493"/>
      <c r="HO2" s="493"/>
      <c r="HP2" s="493"/>
      <c r="HQ2" s="493"/>
      <c r="HR2" s="493"/>
      <c r="HS2" s="493"/>
      <c r="HT2" s="493"/>
      <c r="HU2" s="493"/>
      <c r="HV2" s="493"/>
      <c r="HW2" s="493"/>
      <c r="HX2" s="493"/>
      <c r="HY2" s="493"/>
      <c r="HZ2" s="493"/>
      <c r="IA2" s="493"/>
      <c r="IB2" s="493"/>
      <c r="IC2" s="493"/>
      <c r="ID2" s="493"/>
      <c r="IE2" s="493"/>
      <c r="IF2" s="493"/>
      <c r="IG2" s="493"/>
      <c r="IH2" s="493"/>
      <c r="II2" s="493"/>
      <c r="IJ2" s="493"/>
      <c r="IK2" s="493"/>
      <c r="IL2" s="493"/>
      <c r="IM2" s="493"/>
      <c r="IN2" s="493"/>
      <c r="IO2" s="493"/>
      <c r="IP2" s="493"/>
      <c r="IQ2" s="493"/>
      <c r="IR2" s="493"/>
      <c r="IS2" s="493"/>
      <c r="IT2" s="493"/>
      <c r="IU2" s="493"/>
      <c r="IV2" s="493"/>
      <c r="IW2" s="493"/>
      <c r="IX2" s="493"/>
      <c r="IY2" s="493"/>
      <c r="IZ2" s="493"/>
      <c r="JA2" s="493"/>
      <c r="JB2" s="493"/>
      <c r="JC2" s="493"/>
      <c r="JD2" s="493"/>
      <c r="JE2" s="493"/>
      <c r="JF2" s="493"/>
      <c r="JG2" s="493"/>
      <c r="JH2" s="493"/>
      <c r="JI2" s="493"/>
      <c r="JJ2" s="493"/>
      <c r="JK2" s="493"/>
      <c r="JL2" s="493"/>
      <c r="JM2" s="493"/>
      <c r="JN2" s="493"/>
      <c r="JO2" s="493"/>
      <c r="JP2" s="493"/>
      <c r="JQ2" s="493"/>
      <c r="JR2" s="493"/>
      <c r="JS2" s="493"/>
      <c r="JT2" s="493"/>
      <c r="JU2" s="493"/>
      <c r="JV2" s="493"/>
      <c r="JW2" s="493"/>
      <c r="JX2" s="493"/>
      <c r="JY2" s="493"/>
      <c r="JZ2" s="493"/>
      <c r="KA2" s="493"/>
      <c r="KB2" s="493"/>
      <c r="KC2" s="493"/>
      <c r="KD2" s="493"/>
      <c r="KE2" s="493"/>
      <c r="KF2" s="493"/>
      <c r="KG2" s="493"/>
      <c r="KH2" s="493"/>
      <c r="KI2" s="493"/>
      <c r="KJ2" s="493"/>
      <c r="KK2" s="493"/>
      <c r="KL2" s="493"/>
      <c r="KM2" s="493"/>
      <c r="KN2" s="493"/>
      <c r="KO2" s="493"/>
      <c r="KP2" s="493"/>
      <c r="KQ2" s="493"/>
      <c r="KR2" s="493"/>
      <c r="KS2" s="493"/>
      <c r="KT2" s="493"/>
      <c r="KU2" s="493"/>
      <c r="KV2" s="493"/>
      <c r="KW2" s="493"/>
      <c r="KX2" s="493"/>
      <c r="KY2" s="493"/>
      <c r="KZ2" s="493"/>
      <c r="LA2" s="493"/>
      <c r="LB2" s="493"/>
      <c r="LC2" s="493"/>
      <c r="LD2" s="493"/>
      <c r="LE2" s="493"/>
      <c r="LF2" s="493"/>
      <c r="LG2" s="493"/>
      <c r="LH2" s="493"/>
      <c r="LI2" s="493"/>
      <c r="LJ2" s="493"/>
      <c r="LK2" s="493"/>
      <c r="LL2" s="493"/>
      <c r="LM2" s="493"/>
      <c r="LN2" s="493"/>
      <c r="LO2" s="493"/>
      <c r="LP2" s="493"/>
      <c r="LQ2" s="493"/>
      <c r="LR2" s="493"/>
      <c r="LS2" s="493"/>
      <c r="LT2" s="493"/>
      <c r="LU2" s="493"/>
      <c r="LV2" s="493"/>
      <c r="LW2" s="493"/>
      <c r="LX2" s="493"/>
      <c r="LY2" s="493"/>
      <c r="LZ2" s="493"/>
      <c r="MA2" s="493"/>
      <c r="MB2" s="493"/>
      <c r="MC2" s="493"/>
      <c r="MD2" s="493"/>
      <c r="ME2" s="493"/>
      <c r="MF2" s="493"/>
      <c r="MG2" s="493"/>
      <c r="MH2" s="493"/>
      <c r="MI2" s="493"/>
      <c r="MJ2" s="493"/>
      <c r="MK2" s="493"/>
      <c r="ML2" s="493"/>
      <c r="MM2" s="493"/>
      <c r="MN2" s="493"/>
      <c r="MO2" s="493"/>
      <c r="MP2" s="493"/>
      <c r="MQ2" s="493"/>
      <c r="MR2" s="493"/>
      <c r="MS2" s="493"/>
      <c r="MT2" s="493"/>
      <c r="MU2" s="493"/>
      <c r="MV2" s="493"/>
      <c r="MW2" s="493"/>
      <c r="MX2" s="493"/>
      <c r="MY2" s="493"/>
      <c r="MZ2" s="493"/>
      <c r="NA2" s="493"/>
      <c r="NB2" s="493"/>
      <c r="NC2" s="493"/>
      <c r="ND2" s="493"/>
      <c r="NE2" s="493"/>
      <c r="NF2" s="493"/>
      <c r="NG2" s="493"/>
      <c r="NH2" s="493"/>
      <c r="NI2" s="493"/>
      <c r="NJ2" s="493"/>
      <c r="NK2" s="493"/>
      <c r="NL2" s="493"/>
      <c r="NM2" s="493"/>
      <c r="NN2" s="493"/>
      <c r="NO2" s="493"/>
      <c r="NP2" s="493"/>
      <c r="NQ2" s="493"/>
      <c r="NR2" s="493"/>
      <c r="NS2" s="493"/>
      <c r="NT2" s="493"/>
      <c r="NU2" s="493"/>
      <c r="NV2" s="493"/>
      <c r="NW2" s="493"/>
      <c r="NX2" s="493"/>
      <c r="NY2" s="493"/>
      <c r="NZ2" s="493"/>
      <c r="OA2" s="493"/>
      <c r="OB2" s="493"/>
      <c r="OC2" s="493"/>
      <c r="OD2" s="493"/>
      <c r="OE2" s="493"/>
      <c r="OF2" s="493"/>
      <c r="OG2" s="493"/>
      <c r="OH2" s="493"/>
      <c r="OI2" s="493"/>
      <c r="OJ2" s="493"/>
      <c r="OK2" s="493"/>
      <c r="OL2" s="493"/>
      <c r="OM2" s="493"/>
      <c r="ON2" s="493"/>
      <c r="OO2" s="493"/>
      <c r="OP2" s="493"/>
      <c r="OQ2" s="493"/>
      <c r="OR2" s="493"/>
      <c r="OS2" s="493"/>
      <c r="OT2" s="493"/>
      <c r="OU2" s="493"/>
      <c r="OV2" s="493"/>
      <c r="OW2" s="493"/>
      <c r="OX2" s="493"/>
      <c r="OY2" s="493"/>
      <c r="OZ2" s="493"/>
      <c r="PA2" s="493"/>
      <c r="PB2" s="493"/>
      <c r="PC2" s="493"/>
      <c r="PD2" s="493"/>
      <c r="PE2" s="493"/>
      <c r="PF2" s="493"/>
      <c r="PG2" s="493"/>
      <c r="PH2" s="493"/>
      <c r="PI2" s="493"/>
      <c r="PJ2" s="493"/>
      <c r="PK2" s="493"/>
      <c r="PL2" s="493"/>
      <c r="PM2" s="493"/>
      <c r="PN2" s="493"/>
      <c r="PO2" s="493"/>
      <c r="PP2" s="493"/>
      <c r="PQ2" s="493"/>
      <c r="PR2" s="493"/>
      <c r="PS2" s="493"/>
      <c r="PT2" s="493"/>
      <c r="PU2" s="493"/>
      <c r="PV2" s="493"/>
      <c r="PW2" s="493"/>
      <c r="PX2" s="493"/>
      <c r="PY2" s="493"/>
      <c r="PZ2" s="493"/>
      <c r="QA2" s="493"/>
      <c r="QB2" s="493"/>
      <c r="QC2" s="493"/>
      <c r="QD2" s="493"/>
      <c r="QE2" s="493"/>
      <c r="QF2" s="493"/>
      <c r="QG2" s="493"/>
      <c r="QH2" s="493"/>
      <c r="QI2" s="493"/>
      <c r="QJ2" s="493"/>
      <c r="QK2" s="493"/>
      <c r="QL2" s="493"/>
      <c r="QM2" s="493"/>
      <c r="QN2" s="493"/>
      <c r="QO2" s="493"/>
      <c r="QP2" s="493"/>
      <c r="QQ2" s="493"/>
      <c r="QR2" s="493"/>
      <c r="QS2" s="493"/>
      <c r="QT2" s="493"/>
      <c r="QU2" s="493"/>
      <c r="QV2" s="493"/>
      <c r="QW2" s="493"/>
      <c r="QX2" s="493"/>
      <c r="QY2" s="493"/>
      <c r="QZ2" s="493"/>
      <c r="RA2" s="493"/>
      <c r="RB2" s="493"/>
      <c r="RC2" s="493"/>
      <c r="RD2" s="493"/>
      <c r="RE2" s="493"/>
      <c r="RF2" s="493"/>
      <c r="RG2" s="493"/>
      <c r="RH2" s="493"/>
      <c r="RI2" s="493"/>
      <c r="RJ2" s="493"/>
      <c r="RK2" s="493"/>
      <c r="RL2" s="493"/>
      <c r="RM2" s="493"/>
      <c r="RN2" s="493"/>
      <c r="RO2" s="493"/>
      <c r="RP2" s="493"/>
      <c r="RQ2" s="493"/>
      <c r="RR2" s="493"/>
      <c r="RS2" s="493"/>
      <c r="RT2" s="493"/>
      <c r="RU2" s="493"/>
      <c r="RV2" s="493"/>
      <c r="RW2" s="493"/>
      <c r="RX2" s="493"/>
      <c r="RY2" s="493"/>
      <c r="RZ2" s="493"/>
      <c r="SA2" s="493"/>
      <c r="SB2" s="493"/>
      <c r="SC2" s="493"/>
      <c r="SD2" s="493"/>
      <c r="SE2" s="493"/>
      <c r="SF2" s="493"/>
      <c r="SG2" s="493"/>
      <c r="SH2" s="493"/>
      <c r="SI2" s="493"/>
      <c r="SJ2" s="493"/>
      <c r="SK2" s="493"/>
      <c r="SL2" s="493"/>
      <c r="SM2" s="493"/>
      <c r="SN2" s="493"/>
      <c r="SO2" s="493"/>
      <c r="SP2" s="493"/>
      <c r="SQ2" s="493"/>
      <c r="SR2" s="493"/>
      <c r="SS2" s="493"/>
      <c r="ST2" s="493"/>
      <c r="SU2" s="493"/>
      <c r="SV2" s="493"/>
      <c r="SW2" s="493"/>
      <c r="SX2" s="493"/>
      <c r="SY2" s="493"/>
      <c r="SZ2" s="493"/>
      <c r="TA2" s="493"/>
      <c r="TB2" s="493"/>
      <c r="TC2" s="493"/>
      <c r="TD2" s="493"/>
      <c r="TE2" s="493"/>
      <c r="TF2" s="493"/>
      <c r="TG2" s="493"/>
      <c r="TH2" s="493"/>
      <c r="TI2" s="493"/>
      <c r="TJ2" s="493"/>
      <c r="TK2" s="493"/>
      <c r="TL2" s="493"/>
      <c r="TM2" s="493"/>
      <c r="TN2" s="493"/>
      <c r="TO2" s="493"/>
      <c r="TP2" s="493"/>
      <c r="TQ2" s="493"/>
      <c r="TR2" s="493"/>
      <c r="TS2" s="493"/>
      <c r="TT2" s="493"/>
      <c r="TU2" s="493"/>
      <c r="TV2" s="493"/>
      <c r="TW2" s="493"/>
      <c r="TX2" s="493"/>
      <c r="TY2" s="493"/>
      <c r="TZ2" s="493"/>
      <c r="UA2" s="493"/>
      <c r="UB2" s="493"/>
      <c r="UC2" s="493"/>
      <c r="UD2" s="493"/>
      <c r="UE2" s="493"/>
      <c r="UF2" s="493"/>
      <c r="UG2" s="493"/>
      <c r="UH2" s="493"/>
      <c r="UI2" s="493"/>
      <c r="UJ2" s="493"/>
      <c r="UK2" s="493"/>
      <c r="UL2" s="493"/>
      <c r="UM2" s="493"/>
      <c r="UN2" s="493"/>
      <c r="UO2" s="493"/>
      <c r="UP2" s="493"/>
      <c r="UQ2" s="493"/>
      <c r="UR2" s="493"/>
      <c r="US2" s="493"/>
      <c r="UT2" s="493"/>
      <c r="UU2" s="493"/>
      <c r="UV2" s="493"/>
      <c r="UW2" s="493"/>
      <c r="UX2" s="493"/>
      <c r="UY2" s="493"/>
      <c r="UZ2" s="493"/>
      <c r="VA2" s="493"/>
      <c r="VB2" s="493"/>
      <c r="VC2" s="493"/>
      <c r="VD2" s="493"/>
      <c r="VE2" s="493"/>
      <c r="VF2" s="493"/>
      <c r="VG2" s="493"/>
      <c r="VH2" s="493"/>
      <c r="VI2" s="493"/>
      <c r="VJ2" s="493"/>
      <c r="VK2" s="493"/>
      <c r="VL2" s="493"/>
      <c r="VM2" s="493"/>
      <c r="VN2" s="493"/>
      <c r="VO2" s="493"/>
      <c r="VP2" s="493"/>
      <c r="VQ2" s="493"/>
      <c r="VR2" s="493"/>
      <c r="VS2" s="493"/>
      <c r="VT2" s="493"/>
      <c r="VU2" s="493"/>
      <c r="VV2" s="493"/>
      <c r="VW2" s="493"/>
      <c r="VX2" s="493"/>
      <c r="VY2" s="493"/>
      <c r="VZ2" s="493"/>
      <c r="WA2" s="493"/>
      <c r="WB2" s="493"/>
      <c r="WC2" s="493"/>
      <c r="WD2" s="493"/>
      <c r="WE2" s="493"/>
      <c r="WF2" s="493"/>
      <c r="WG2" s="493"/>
      <c r="WH2" s="493"/>
      <c r="WI2" s="493"/>
      <c r="WJ2" s="493"/>
      <c r="WK2" s="493"/>
      <c r="WL2" s="493"/>
      <c r="WM2" s="493"/>
      <c r="WN2" s="493"/>
      <c r="WO2" s="493"/>
      <c r="WP2" s="493"/>
      <c r="WQ2" s="493"/>
      <c r="WR2" s="493"/>
      <c r="WS2" s="493"/>
      <c r="WT2" s="493"/>
      <c r="WU2" s="493"/>
      <c r="WV2" s="493"/>
      <c r="WW2" s="493"/>
      <c r="WX2" s="493"/>
      <c r="WY2" s="493"/>
      <c r="WZ2" s="493"/>
      <c r="XA2" s="493"/>
      <c r="XB2" s="493"/>
      <c r="XC2" s="493"/>
      <c r="XD2" s="493"/>
      <c r="XE2" s="493"/>
      <c r="XF2" s="493"/>
      <c r="XG2" s="493"/>
      <c r="XH2" s="493"/>
      <c r="XI2" s="493"/>
      <c r="XJ2" s="493"/>
      <c r="XK2" s="493"/>
      <c r="XL2" s="493"/>
      <c r="XM2" s="493"/>
      <c r="XN2" s="493"/>
      <c r="XO2" s="493"/>
      <c r="XP2" s="493"/>
      <c r="XQ2" s="493"/>
      <c r="XR2" s="493"/>
      <c r="XS2" s="493"/>
      <c r="XT2" s="493"/>
      <c r="XU2" s="493"/>
      <c r="XV2" s="493"/>
      <c r="XW2" s="493"/>
      <c r="XX2" s="493"/>
      <c r="XY2" s="493"/>
      <c r="XZ2" s="493"/>
      <c r="YA2" s="493"/>
      <c r="YB2" s="493"/>
      <c r="YC2" s="493"/>
      <c r="YD2" s="493"/>
      <c r="YE2" s="493"/>
      <c r="YF2" s="493"/>
      <c r="YG2" s="493"/>
      <c r="YH2" s="493"/>
      <c r="YI2" s="493"/>
      <c r="YJ2" s="493"/>
      <c r="YK2" s="493"/>
      <c r="YL2" s="493"/>
      <c r="YM2" s="493"/>
      <c r="YN2" s="493"/>
      <c r="YO2" s="493"/>
      <c r="YP2" s="493"/>
      <c r="YQ2" s="493"/>
      <c r="YR2" s="493"/>
      <c r="YS2" s="493"/>
      <c r="YT2" s="493"/>
      <c r="YU2" s="493"/>
      <c r="YV2" s="493"/>
      <c r="YW2" s="493"/>
      <c r="YX2" s="493"/>
      <c r="YY2" s="493"/>
      <c r="YZ2" s="493"/>
      <c r="ZA2" s="493"/>
      <c r="ZB2" s="493"/>
      <c r="ZC2" s="493"/>
      <c r="ZD2" s="493"/>
      <c r="ZE2" s="493"/>
      <c r="ZF2" s="493"/>
      <c r="ZG2" s="493"/>
      <c r="ZH2" s="493"/>
      <c r="ZI2" s="493"/>
      <c r="ZJ2" s="493"/>
      <c r="ZK2" s="493"/>
      <c r="ZL2" s="493"/>
      <c r="ZM2" s="493"/>
      <c r="ZN2" s="493"/>
      <c r="ZO2" s="493"/>
      <c r="ZP2" s="493"/>
      <c r="ZQ2" s="493"/>
      <c r="ZR2" s="493"/>
      <c r="ZS2" s="493"/>
      <c r="ZT2" s="493"/>
      <c r="ZU2" s="493"/>
      <c r="ZV2" s="493"/>
      <c r="ZW2" s="493"/>
      <c r="ZX2" s="493"/>
      <c r="ZY2" s="493"/>
      <c r="ZZ2" s="493"/>
      <c r="AAA2" s="493"/>
      <c r="AAB2" s="493"/>
      <c r="AAC2" s="493"/>
      <c r="AAD2" s="493"/>
      <c r="AAE2" s="493"/>
      <c r="AAF2" s="493"/>
      <c r="AAG2" s="493"/>
      <c r="AAH2" s="493"/>
      <c r="AAI2" s="493"/>
      <c r="AAJ2" s="493"/>
      <c r="AAK2" s="493"/>
      <c r="AAL2" s="493"/>
      <c r="AAM2" s="493"/>
      <c r="AAN2" s="493"/>
      <c r="AAO2" s="493"/>
      <c r="AAP2" s="493"/>
      <c r="AAQ2" s="493"/>
      <c r="AAR2" s="493"/>
      <c r="AAS2" s="493"/>
      <c r="AAT2" s="493"/>
      <c r="AAU2" s="493"/>
      <c r="AAV2" s="493"/>
      <c r="AAW2" s="493"/>
      <c r="AAX2" s="493"/>
      <c r="AAY2" s="493"/>
      <c r="AAZ2" s="493"/>
      <c r="ABA2" s="493"/>
      <c r="ABB2" s="493"/>
      <c r="ABC2" s="493"/>
      <c r="ABD2" s="493"/>
      <c r="ABE2" s="493"/>
      <c r="ABF2" s="493"/>
      <c r="ABG2" s="493"/>
      <c r="ABH2" s="493"/>
      <c r="ABI2" s="493"/>
      <c r="ABJ2" s="493"/>
      <c r="ABK2" s="493"/>
      <c r="ABL2" s="493"/>
      <c r="ABM2" s="493"/>
      <c r="ABN2" s="493"/>
      <c r="ABO2" s="493"/>
      <c r="ABP2" s="493"/>
      <c r="ABQ2" s="493"/>
      <c r="ABR2" s="493"/>
      <c r="ABS2" s="493"/>
      <c r="ABT2" s="493"/>
      <c r="ABU2" s="493"/>
      <c r="ABV2" s="493"/>
      <c r="ABW2" s="493"/>
      <c r="ABX2" s="493"/>
      <c r="ABY2" s="493"/>
      <c r="ABZ2" s="493"/>
      <c r="ACA2" s="493"/>
      <c r="ACB2" s="493"/>
      <c r="ACC2" s="493"/>
      <c r="ACD2" s="493"/>
      <c r="ACE2" s="493"/>
      <c r="ACF2" s="493"/>
      <c r="ACG2" s="493"/>
      <c r="ACH2" s="493"/>
      <c r="ACI2" s="493"/>
      <c r="ACJ2" s="493"/>
      <c r="ACK2" s="493"/>
      <c r="ACL2" s="493"/>
      <c r="ACM2" s="493"/>
      <c r="ACN2" s="493"/>
      <c r="ACO2" s="493"/>
      <c r="ACP2" s="493"/>
      <c r="ACQ2" s="493"/>
      <c r="ACR2" s="493"/>
      <c r="ACS2" s="493"/>
      <c r="ACT2" s="493"/>
      <c r="ACU2" s="493"/>
      <c r="ACV2" s="493"/>
      <c r="ACW2" s="493"/>
      <c r="ACX2" s="493"/>
      <c r="ACY2" s="493"/>
      <c r="ACZ2" s="493"/>
      <c r="ADA2" s="493"/>
      <c r="ADB2" s="493"/>
      <c r="ADC2" s="493"/>
      <c r="ADD2" s="493"/>
      <c r="ADE2" s="493"/>
      <c r="ADF2" s="493"/>
      <c r="ADG2" s="493"/>
      <c r="ADH2" s="493"/>
      <c r="ADI2" s="493"/>
      <c r="ADJ2" s="493"/>
      <c r="ADK2" s="493"/>
      <c r="ADL2" s="493"/>
      <c r="ADM2" s="493"/>
      <c r="ADN2" s="493"/>
      <c r="ADO2" s="493"/>
      <c r="ADP2" s="493"/>
      <c r="ADQ2" s="493"/>
      <c r="ADR2" s="493"/>
      <c r="ADS2" s="493"/>
      <c r="ADT2" s="493"/>
      <c r="ADU2" s="493"/>
      <c r="ADV2" s="493"/>
      <c r="ADW2" s="493"/>
      <c r="ADX2" s="493"/>
      <c r="ADY2" s="493"/>
      <c r="ADZ2" s="493"/>
      <c r="AEA2" s="493"/>
      <c r="AEB2" s="493"/>
      <c r="AEC2" s="493"/>
      <c r="AED2" s="493"/>
      <c r="AEE2" s="493"/>
      <c r="AEF2" s="493"/>
      <c r="AEG2" s="493"/>
      <c r="AEH2" s="493"/>
      <c r="AEI2" s="493"/>
      <c r="AEJ2" s="493"/>
      <c r="AEK2" s="493"/>
      <c r="AEL2" s="493"/>
      <c r="AEM2" s="493"/>
      <c r="AEN2" s="493"/>
      <c r="AEO2" s="493"/>
      <c r="AEP2" s="493"/>
      <c r="AEQ2" s="493"/>
      <c r="AER2" s="493"/>
      <c r="AES2" s="493"/>
      <c r="AET2" s="493"/>
      <c r="AEU2" s="493"/>
      <c r="AEV2" s="493"/>
      <c r="AEW2" s="493"/>
      <c r="AEX2" s="493"/>
      <c r="AEY2" s="493"/>
      <c r="AEZ2" s="493"/>
      <c r="AFA2" s="493"/>
      <c r="AFB2" s="493"/>
      <c r="AFC2" s="493"/>
      <c r="AFD2" s="493"/>
      <c r="AFE2" s="493"/>
      <c r="AFF2" s="493"/>
      <c r="AFG2" s="493"/>
      <c r="AFH2" s="493"/>
      <c r="AFI2" s="493"/>
      <c r="AFJ2" s="493"/>
      <c r="AFK2" s="493"/>
      <c r="AFL2" s="493"/>
      <c r="AFM2" s="493"/>
      <c r="AFN2" s="493"/>
      <c r="AFO2" s="493"/>
      <c r="AFP2" s="493"/>
      <c r="AFQ2" s="493"/>
      <c r="AFR2" s="493"/>
      <c r="AFS2" s="493"/>
      <c r="AFT2" s="493"/>
      <c r="AFU2" s="493"/>
      <c r="AFV2" s="493"/>
      <c r="AFW2" s="493"/>
      <c r="AFX2" s="493"/>
      <c r="AFY2" s="493"/>
      <c r="AFZ2" s="493"/>
      <c r="AGA2" s="493"/>
      <c r="AGB2" s="493"/>
      <c r="AGC2" s="493"/>
      <c r="AGD2" s="493"/>
      <c r="AGE2" s="493"/>
      <c r="AGF2" s="493"/>
      <c r="AGG2" s="493"/>
      <c r="AGH2" s="493"/>
      <c r="AGI2" s="493"/>
      <c r="AGJ2" s="493"/>
      <c r="AGK2" s="493"/>
      <c r="AGL2" s="493"/>
      <c r="AGM2" s="493"/>
      <c r="AGN2" s="493"/>
      <c r="AGO2" s="493"/>
      <c r="AGP2" s="493"/>
      <c r="AGQ2" s="493"/>
      <c r="AGR2" s="493"/>
      <c r="AGS2" s="493"/>
      <c r="AGT2" s="493"/>
      <c r="AGU2" s="493"/>
      <c r="AGV2" s="493"/>
      <c r="AGW2" s="493"/>
      <c r="AGX2" s="493"/>
      <c r="AGY2" s="493"/>
      <c r="AGZ2" s="493"/>
      <c r="AHA2" s="493"/>
      <c r="AHB2" s="493"/>
      <c r="AHC2" s="493"/>
      <c r="AHD2" s="493"/>
      <c r="AHE2" s="493"/>
      <c r="AHF2" s="493"/>
      <c r="AHG2" s="493"/>
      <c r="AHH2" s="493"/>
      <c r="AHI2" s="493"/>
      <c r="AHJ2" s="493"/>
      <c r="AHK2" s="493"/>
      <c r="AHL2" s="493"/>
      <c r="AHM2" s="493"/>
      <c r="AHN2" s="493"/>
      <c r="AHO2" s="493"/>
      <c r="AHP2" s="493"/>
      <c r="AHQ2" s="493"/>
      <c r="AHR2" s="493"/>
      <c r="AHS2" s="493"/>
      <c r="AHT2" s="493"/>
      <c r="AHU2" s="493"/>
      <c r="AHV2" s="493"/>
      <c r="AHW2" s="493"/>
      <c r="AHX2" s="493"/>
      <c r="AHY2" s="493"/>
      <c r="AHZ2" s="493"/>
      <c r="AIA2" s="493"/>
      <c r="AIB2" s="493"/>
      <c r="AIC2" s="493"/>
      <c r="AID2" s="493"/>
      <c r="AIE2" s="493"/>
      <c r="AIF2" s="493"/>
      <c r="AIG2" s="493"/>
      <c r="AIH2" s="493"/>
      <c r="AII2" s="493"/>
      <c r="AIJ2" s="493"/>
      <c r="AIK2" s="493"/>
      <c r="AIL2" s="493"/>
      <c r="AIM2" s="493"/>
      <c r="AIN2" s="493"/>
      <c r="AIO2" s="493"/>
      <c r="AIP2" s="493"/>
      <c r="AIQ2" s="493"/>
      <c r="AIR2" s="493"/>
      <c r="AIS2" s="493"/>
      <c r="AIT2" s="493"/>
      <c r="AIU2" s="493"/>
      <c r="AIV2" s="493"/>
      <c r="AIW2" s="493"/>
      <c r="AIX2" s="493"/>
      <c r="AIY2" s="493"/>
      <c r="AIZ2" s="493"/>
      <c r="AJA2" s="493"/>
      <c r="AJB2" s="493"/>
      <c r="AJC2" s="493"/>
      <c r="AJD2" s="493"/>
      <c r="AJE2" s="493"/>
      <c r="AJF2" s="493"/>
      <c r="AJG2" s="493"/>
      <c r="AJH2" s="493"/>
      <c r="AJI2" s="493"/>
      <c r="AJJ2" s="493"/>
      <c r="AJK2" s="493"/>
      <c r="AJL2" s="493"/>
      <c r="AJM2" s="493"/>
      <c r="AJN2" s="493"/>
      <c r="AJO2" s="493"/>
      <c r="AJP2" s="493"/>
      <c r="AJQ2" s="493"/>
      <c r="AJR2" s="493"/>
      <c r="AJS2" s="493"/>
      <c r="AJT2" s="493"/>
      <c r="AJU2" s="493"/>
      <c r="AJV2" s="493"/>
      <c r="AJW2" s="493"/>
      <c r="AJX2" s="493"/>
      <c r="AJY2" s="493"/>
      <c r="AJZ2" s="493"/>
      <c r="AKA2" s="493"/>
      <c r="AKB2" s="493"/>
      <c r="AKC2" s="493"/>
      <c r="AKD2" s="493"/>
      <c r="AKE2" s="493"/>
      <c r="AKF2" s="493"/>
      <c r="AKG2" s="493"/>
      <c r="AKH2" s="493"/>
      <c r="AKI2" s="493"/>
      <c r="AKJ2" s="493"/>
      <c r="AKK2" s="493"/>
      <c r="AKL2" s="493"/>
      <c r="AKM2" s="493"/>
      <c r="AKN2" s="493"/>
      <c r="AKO2" s="493"/>
      <c r="AKP2" s="493"/>
      <c r="AKQ2" s="493"/>
      <c r="AKR2" s="493"/>
      <c r="AKS2" s="493"/>
      <c r="AKT2" s="493"/>
      <c r="AKU2" s="493"/>
      <c r="AKV2" s="493"/>
      <c r="AKW2" s="493"/>
      <c r="AKX2" s="493"/>
      <c r="AKY2" s="493"/>
      <c r="AKZ2" s="493"/>
      <c r="ALA2" s="493"/>
      <c r="ALB2" s="493"/>
      <c r="ALC2" s="493"/>
      <c r="ALD2" s="493"/>
      <c r="ALE2" s="493"/>
      <c r="ALF2" s="493"/>
      <c r="ALG2" s="493"/>
      <c r="ALH2" s="493"/>
      <c r="ALI2" s="493"/>
      <c r="ALJ2" s="493"/>
      <c r="ALK2" s="493"/>
      <c r="ALL2" s="493"/>
      <c r="ALM2" s="493"/>
      <c r="ALN2" s="493"/>
      <c r="ALO2" s="493"/>
      <c r="ALP2" s="493"/>
      <c r="ALQ2" s="493"/>
      <c r="ALR2" s="493"/>
      <c r="ALS2" s="493"/>
      <c r="ALT2" s="493"/>
      <c r="ALU2" s="493"/>
      <c r="ALV2" s="493"/>
      <c r="ALW2" s="493"/>
      <c r="ALX2" s="493"/>
      <c r="ALY2" s="493"/>
      <c r="ALZ2" s="493"/>
      <c r="AMA2" s="493"/>
      <c r="AMB2" s="493"/>
      <c r="AMC2" s="493"/>
      <c r="AMD2" s="493"/>
      <c r="AME2" s="493"/>
      <c r="AMF2" s="493"/>
      <c r="AMG2" s="493"/>
      <c r="AMH2" s="493"/>
      <c r="AMI2" s="493"/>
      <c r="AMJ2" s="493"/>
      <c r="AMK2" s="493"/>
      <c r="AML2" s="493"/>
    </row>
    <row r="3" spans="2:13" s="501" customFormat="1" x14ac:dyDescent="0.25">
      <c r="B3" s="502"/>
      <c r="E3" s="503"/>
      <c r="F3" s="503"/>
      <c r="G3" s="503"/>
      <c r="H3" s="503"/>
      <c r="I3" s="503"/>
      <c r="J3" s="503"/>
      <c r="K3" s="503"/>
      <c r="L3" s="503"/>
      <c r="M3" s="503"/>
    </row>
    <row r="4" ht="9.75" customHeight="1" spans="1:13" s="501" customFormat="1" x14ac:dyDescent="0.25">
      <c r="A4" s="502"/>
      <c r="C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3" s="501" customFormat="1" x14ac:dyDescent="0.25">
      <c r="A5" s="502"/>
      <c r="C5" s="503"/>
      <c r="E5" s="503"/>
      <c r="F5" s="503"/>
      <c r="G5" s="503"/>
      <c r="H5" s="503"/>
      <c r="I5" s="503"/>
      <c r="J5" s="503"/>
      <c r="K5" s="503"/>
      <c r="L5" s="503"/>
      <c r="M5" s="503"/>
    </row>
    <row r="6" spans="3:13" s="501" customFormat="1" x14ac:dyDescent="0.25">
      <c r="C6" s="503"/>
      <c r="E6" s="503"/>
      <c r="F6" s="503"/>
      <c r="G6" s="503"/>
      <c r="H6" s="503"/>
      <c r="I6" s="503"/>
      <c r="J6" s="503"/>
      <c r="K6" s="503"/>
      <c r="L6" s="503"/>
      <c r="M6" s="503"/>
    </row>
    <row r="7" ht="18" customHeight="1" spans="1:9" x14ac:dyDescent="0.25">
      <c r="A7" s="493"/>
      <c r="B7" s="493"/>
      <c r="C7" s="493"/>
      <c r="D7" s="493"/>
      <c r="E7" s="493"/>
      <c r="F7" s="493"/>
      <c r="G7" s="493"/>
      <c r="H7" s="493"/>
      <c r="I7" s="493"/>
    </row>
    <row r="8" ht="23" customHeight="1" spans="1:9" x14ac:dyDescent="0.25">
      <c r="A8" s="504" t="s">
        <v>1213</v>
      </c>
      <c r="B8" s="505"/>
      <c r="C8" s="506"/>
      <c r="D8" s="506"/>
      <c r="E8" s="506"/>
      <c r="F8" s="506"/>
      <c r="G8" s="506"/>
      <c r="H8" s="506"/>
      <c r="I8" s="506"/>
    </row>
    <row r="9" ht="25.5" customHeight="1" spans="1:9" s="507" customFormat="1" x14ac:dyDescent="0.25">
      <c r="A9" s="508" t="s">
        <v>113</v>
      </c>
      <c r="B9" s="508" t="s">
        <v>145</v>
      </c>
      <c r="C9" s="508" t="s">
        <v>1214</v>
      </c>
      <c r="D9" s="508"/>
      <c r="E9" s="508"/>
      <c r="F9" s="508"/>
      <c r="G9" s="508"/>
      <c r="H9" s="508" t="s">
        <v>1215</v>
      </c>
      <c r="I9" s="508" t="s">
        <v>1101</v>
      </c>
    </row>
    <row r="10" ht="27.75" customHeight="1" spans="1:9" s="507" customFormat="1" x14ac:dyDescent="0.25">
      <c r="A10" s="508"/>
      <c r="B10" s="508"/>
      <c r="C10" s="508" t="s">
        <v>1216</v>
      </c>
      <c r="D10" s="508"/>
      <c r="E10" s="508" t="s">
        <v>1217</v>
      </c>
      <c r="F10" s="508"/>
      <c r="G10" s="508" t="s">
        <v>1218</v>
      </c>
      <c r="H10" s="508"/>
      <c r="I10" s="508"/>
    </row>
    <row r="11" ht="61.5" customHeight="1" spans="1:9" s="507" customFormat="1" x14ac:dyDescent="0.25">
      <c r="A11" s="508"/>
      <c r="B11" s="508"/>
      <c r="C11" s="508" t="s">
        <v>1219</v>
      </c>
      <c r="D11" s="508" t="s">
        <v>1220</v>
      </c>
      <c r="E11" s="508" t="s">
        <v>1219</v>
      </c>
      <c r="F11" s="508" t="s">
        <v>1220</v>
      </c>
      <c r="G11" s="508"/>
      <c r="H11" s="508"/>
      <c r="I11" s="508"/>
    </row>
    <row r="12" ht="34.5" customHeight="1" spans="1:9" x14ac:dyDescent="0.25">
      <c r="A12" s="509" t="s">
        <v>1221</v>
      </c>
      <c r="B12" s="510" t="s">
        <v>1222</v>
      </c>
      <c r="C12" s="511"/>
      <c r="D12" s="511"/>
      <c r="E12" s="511"/>
      <c r="F12" s="511"/>
      <c r="G12" s="511"/>
      <c r="H12" s="512">
        <v>0</v>
      </c>
      <c r="I12" s="511">
        <v>0</v>
      </c>
    </row>
    <row r="13" ht="34.5" customHeight="1" spans="1:9" x14ac:dyDescent="0.25">
      <c r="A13" s="509" t="s">
        <v>1223</v>
      </c>
      <c r="B13" s="510" t="s">
        <v>1224</v>
      </c>
      <c r="C13" s="511"/>
      <c r="D13" s="511"/>
      <c r="E13" s="511"/>
      <c r="F13" s="511"/>
      <c r="G13" s="511"/>
      <c r="H13" s="512">
        <v>0</v>
      </c>
      <c r="I13" s="511">
        <v>0</v>
      </c>
    </row>
    <row r="14" ht="34.5" customHeight="1" spans="1:9" x14ac:dyDescent="0.25">
      <c r="A14" s="509" t="s">
        <v>1225</v>
      </c>
      <c r="B14" s="510" t="s">
        <v>1226</v>
      </c>
      <c r="C14" s="511"/>
      <c r="D14" s="511"/>
      <c r="E14" s="511"/>
      <c r="F14" s="511"/>
      <c r="G14" s="511"/>
      <c r="H14" s="513">
        <v>0.0025</v>
      </c>
      <c r="I14" s="511">
        <v>0</v>
      </c>
    </row>
    <row r="15" ht="34.5" customHeight="1" spans="1:9" x14ac:dyDescent="0.25">
      <c r="A15" s="509" t="s">
        <v>1227</v>
      </c>
      <c r="B15" s="510" t="s">
        <v>1228</v>
      </c>
      <c r="C15" s="511"/>
      <c r="D15" s="511"/>
      <c r="E15" s="511"/>
      <c r="F15" s="511"/>
      <c r="G15" s="511"/>
      <c r="H15" s="512">
        <v>0.01</v>
      </c>
      <c r="I15" s="511">
        <v>0</v>
      </c>
    </row>
    <row r="16" ht="34.5" customHeight="1" spans="1:9" x14ac:dyDescent="0.25">
      <c r="A16" s="509" t="s">
        <v>1229</v>
      </c>
      <c r="B16" s="510" t="s">
        <v>1230</v>
      </c>
      <c r="C16" s="511"/>
      <c r="D16" s="511"/>
      <c r="E16" s="511"/>
      <c r="F16" s="511"/>
      <c r="G16" s="511"/>
      <c r="H16" s="514">
        <v>0.016</v>
      </c>
      <c r="I16" s="511">
        <v>0</v>
      </c>
    </row>
    <row r="17" ht="34.5" customHeight="1" spans="1:9" x14ac:dyDescent="0.25">
      <c r="A17" s="509" t="s">
        <v>1231</v>
      </c>
      <c r="B17" s="509" t="s">
        <v>1232</v>
      </c>
      <c r="C17" s="511"/>
      <c r="D17" s="511"/>
      <c r="E17" s="511"/>
      <c r="F17" s="511"/>
      <c r="G17" s="511"/>
      <c r="H17" s="512">
        <v>0.08</v>
      </c>
      <c r="I17" s="511">
        <v>0</v>
      </c>
    </row>
    <row r="18" ht="34.5" customHeight="1" spans="1:9" x14ac:dyDescent="0.25">
      <c r="A18" s="509" t="s">
        <v>1233</v>
      </c>
      <c r="B18" s="510" t="s">
        <v>1234</v>
      </c>
      <c r="C18" s="511"/>
      <c r="D18" s="511"/>
      <c r="E18" s="511"/>
      <c r="F18" s="511"/>
      <c r="G18" s="511"/>
      <c r="H18" s="512">
        <v>0.12</v>
      </c>
      <c r="I18" s="511">
        <v>0</v>
      </c>
    </row>
    <row r="19" ht="34.5" customHeight="1" spans="1:9" x14ac:dyDescent="0.25">
      <c r="A19" s="509" t="s">
        <v>1235</v>
      </c>
      <c r="B19" s="510" t="s">
        <v>1236</v>
      </c>
      <c r="C19" s="511"/>
      <c r="D19" s="511"/>
      <c r="E19" s="511"/>
      <c r="F19" s="511"/>
      <c r="G19" s="511"/>
      <c r="H19" s="512">
        <v>0.08</v>
      </c>
      <c r="I19" s="511">
        <v>0</v>
      </c>
    </row>
    <row r="20" ht="34.5" customHeight="1" spans="1:9" x14ac:dyDescent="0.25">
      <c r="A20" s="509" t="s">
        <v>1237</v>
      </c>
      <c r="B20" s="510" t="s">
        <v>1238</v>
      </c>
      <c r="C20" s="511"/>
      <c r="D20" s="511"/>
      <c r="E20" s="511"/>
      <c r="F20" s="511"/>
      <c r="G20" s="511"/>
      <c r="H20" s="513">
        <v>0.0025</v>
      </c>
      <c r="I20" s="511">
        <v>0</v>
      </c>
    </row>
    <row r="21" ht="34.5" customHeight="1" spans="1:9" x14ac:dyDescent="0.25">
      <c r="A21" s="509" t="s">
        <v>1239</v>
      </c>
      <c r="B21" s="510" t="s">
        <v>1240</v>
      </c>
      <c r="C21" s="511"/>
      <c r="D21" s="511"/>
      <c r="E21" s="511"/>
      <c r="F21" s="511"/>
      <c r="G21" s="511"/>
      <c r="H21" s="512">
        <v>0.01</v>
      </c>
      <c r="I21" s="511">
        <v>0</v>
      </c>
    </row>
    <row r="22" ht="34.5" customHeight="1" spans="1:9" x14ac:dyDescent="0.25">
      <c r="A22" s="509" t="s">
        <v>1241</v>
      </c>
      <c r="B22" s="510" t="s">
        <v>1242</v>
      </c>
      <c r="C22" s="511"/>
      <c r="D22" s="511"/>
      <c r="E22" s="511"/>
      <c r="F22" s="511"/>
      <c r="G22" s="511"/>
      <c r="H22" s="514">
        <v>0.016</v>
      </c>
      <c r="I22" s="511">
        <v>0</v>
      </c>
    </row>
    <row r="23" ht="34.5" customHeight="1" spans="1:9" x14ac:dyDescent="0.25">
      <c r="A23" s="509" t="s">
        <v>1243</v>
      </c>
      <c r="B23" s="510" t="s">
        <v>1244</v>
      </c>
      <c r="C23" s="511"/>
      <c r="D23" s="511"/>
      <c r="E23" s="511"/>
      <c r="F23" s="511"/>
      <c r="G23" s="511"/>
      <c r="H23" s="512">
        <v>0.08</v>
      </c>
      <c r="I23" s="511">
        <v>0</v>
      </c>
    </row>
    <row r="24" ht="34.5" customHeight="1" spans="1:9" x14ac:dyDescent="0.25">
      <c r="A24" s="509" t="s">
        <v>1245</v>
      </c>
      <c r="B24" s="510" t="s">
        <v>1246</v>
      </c>
      <c r="C24" s="511"/>
      <c r="D24" s="511"/>
      <c r="E24" s="511"/>
      <c r="F24" s="511"/>
      <c r="G24" s="511"/>
      <c r="H24" s="512">
        <v>0.12</v>
      </c>
      <c r="I24" s="511">
        <v>0</v>
      </c>
    </row>
    <row r="25" ht="34.5" customHeight="1" spans="1:9" x14ac:dyDescent="0.25">
      <c r="A25" s="509" t="s">
        <v>1247</v>
      </c>
      <c r="B25" s="510" t="s">
        <v>1248</v>
      </c>
      <c r="C25" s="511"/>
      <c r="D25" s="511"/>
      <c r="E25" s="511"/>
      <c r="F25" s="511"/>
      <c r="G25" s="511"/>
      <c r="H25" s="512">
        <v>0.08</v>
      </c>
      <c r="I25" s="511">
        <v>0</v>
      </c>
    </row>
    <row r="26" ht="24.75" customHeight="1" spans="1:9" x14ac:dyDescent="0.25">
      <c r="A26" s="515"/>
      <c r="B26" s="515"/>
      <c r="C26" s="515"/>
      <c r="D26" s="515"/>
      <c r="E26" s="515"/>
      <c r="F26" s="515"/>
      <c r="G26" s="515"/>
      <c r="H26" s="515"/>
      <c r="I26" s="515"/>
    </row>
    <row r="27" ht="26.25" customHeight="1" spans="1:9" s="516" customFormat="1" x14ac:dyDescent="0.25">
      <c r="A27" s="509" t="s">
        <v>1249</v>
      </c>
      <c r="B27" s="517" t="s">
        <v>1250</v>
      </c>
      <c r="C27" s="518"/>
      <c r="D27" s="518"/>
      <c r="E27" s="518"/>
      <c r="F27" s="518"/>
      <c r="G27" s="519"/>
      <c r="H27" s="519"/>
      <c r="I27" s="520">
        <v>0</v>
      </c>
    </row>
    <row r="28" spans="1:9" x14ac:dyDescent="0.25">
      <c r="A28" s="521"/>
      <c r="B28" s="522"/>
      <c r="C28" s="523"/>
      <c r="D28" s="522"/>
      <c r="E28" s="523"/>
      <c r="F28" s="523"/>
      <c r="G28" s="523"/>
      <c r="H28" s="523"/>
      <c r="I28" s="523"/>
    </row>
    <row r="29" ht="23" customHeight="1" spans="1:9" x14ac:dyDescent="0.25">
      <c r="A29" s="504" t="s">
        <v>1251</v>
      </c>
      <c r="B29" s="524"/>
      <c r="C29" s="525"/>
      <c r="D29" s="525"/>
      <c r="E29" s="525"/>
      <c r="F29" s="525"/>
      <c r="G29" s="525"/>
      <c r="H29" s="525"/>
      <c r="I29" s="506"/>
    </row>
    <row r="30" ht="18" customHeight="1" spans="1:9" s="507" customFormat="1" x14ac:dyDescent="0.25">
      <c r="A30" s="508" t="s">
        <v>113</v>
      </c>
      <c r="B30" s="508" t="s">
        <v>145</v>
      </c>
      <c r="C30" s="508" t="s">
        <v>1252</v>
      </c>
      <c r="D30" s="508"/>
      <c r="E30" s="508"/>
      <c r="F30" s="508"/>
      <c r="G30" s="508"/>
      <c r="H30" s="508" t="s">
        <v>1215</v>
      </c>
      <c r="I30" s="526" t="s">
        <v>1101</v>
      </c>
    </row>
    <row r="31" ht="22.5" customHeight="1" spans="1:9" s="507" customFormat="1" x14ac:dyDescent="0.25">
      <c r="A31" s="508"/>
      <c r="B31" s="508"/>
      <c r="C31" s="508" t="s">
        <v>1216</v>
      </c>
      <c r="D31" s="508"/>
      <c r="E31" s="508" t="s">
        <v>1217</v>
      </c>
      <c r="F31" s="508"/>
      <c r="G31" s="508" t="s">
        <v>1218</v>
      </c>
      <c r="H31" s="508"/>
      <c r="I31" s="508"/>
    </row>
    <row r="32" ht="71.25" customHeight="1" spans="1:9" s="507" customFormat="1" x14ac:dyDescent="0.25">
      <c r="A32" s="508"/>
      <c r="B32" s="508"/>
      <c r="C32" s="508" t="s">
        <v>1219</v>
      </c>
      <c r="D32" s="508" t="s">
        <v>1220</v>
      </c>
      <c r="E32" s="508" t="s">
        <v>1219</v>
      </c>
      <c r="F32" s="508" t="s">
        <v>1220</v>
      </c>
      <c r="G32" s="508"/>
      <c r="H32" s="508"/>
      <c r="I32" s="526"/>
    </row>
    <row r="33" ht="22.5" customHeight="1" spans="1:9" x14ac:dyDescent="0.25">
      <c r="A33" s="509" t="s">
        <v>1253</v>
      </c>
      <c r="B33" s="510" t="s">
        <v>1254</v>
      </c>
      <c r="C33" s="527"/>
      <c r="D33" s="527"/>
      <c r="E33" s="511">
        <v>0</v>
      </c>
      <c r="F33" s="511">
        <v>0</v>
      </c>
      <c r="G33" s="528"/>
      <c r="H33" s="528"/>
      <c r="I33" s="529"/>
    </row>
    <row r="34" ht="22.5" customHeight="1" spans="1:9" x14ac:dyDescent="0.25">
      <c r="A34" s="509" t="s">
        <v>1255</v>
      </c>
      <c r="B34" s="530" t="s">
        <v>1256</v>
      </c>
      <c r="C34" s="531"/>
      <c r="D34" s="532"/>
      <c r="E34" s="533"/>
      <c r="F34" s="511"/>
      <c r="G34" s="534"/>
      <c r="H34" s="528"/>
      <c r="I34" s="534"/>
    </row>
    <row r="35" ht="22.5" customHeight="1" spans="1:9" x14ac:dyDescent="0.25">
      <c r="A35" s="509" t="s">
        <v>1257</v>
      </c>
      <c r="B35" s="530" t="s">
        <v>1258</v>
      </c>
      <c r="C35" s="535"/>
      <c r="D35" s="536"/>
      <c r="E35" s="533"/>
      <c r="F35" s="511"/>
      <c r="G35" s="534"/>
      <c r="H35" s="528"/>
      <c r="I35" s="534"/>
    </row>
    <row r="36" ht="22.5" customHeight="1" spans="1:9" x14ac:dyDescent="0.25">
      <c r="A36" s="509" t="s">
        <v>1259</v>
      </c>
      <c r="B36" s="530" t="s">
        <v>1260</v>
      </c>
      <c r="C36" s="535"/>
      <c r="D36" s="536"/>
      <c r="E36" s="533"/>
      <c r="F36" s="511"/>
      <c r="G36" s="534"/>
      <c r="H36" s="528"/>
      <c r="I36" s="534"/>
    </row>
    <row r="37" ht="22.5" customHeight="1" spans="1:9" x14ac:dyDescent="0.25">
      <c r="A37" s="509" t="s">
        <v>1261</v>
      </c>
      <c r="B37" s="530" t="s">
        <v>1262</v>
      </c>
      <c r="C37" s="537"/>
      <c r="D37" s="538"/>
      <c r="E37" s="533"/>
      <c r="F37" s="511"/>
      <c r="G37" s="534"/>
      <c r="H37" s="528"/>
      <c r="I37" s="534"/>
    </row>
    <row r="38" ht="22.5" customHeight="1" spans="1:9" x14ac:dyDescent="0.25">
      <c r="A38" s="509" t="s">
        <v>1263</v>
      </c>
      <c r="B38" s="509" t="s">
        <v>1264</v>
      </c>
      <c r="C38" s="539"/>
      <c r="D38" s="539"/>
      <c r="E38" s="511">
        <v>0</v>
      </c>
      <c r="F38" s="511">
        <v>0</v>
      </c>
      <c r="G38" s="534"/>
      <c r="H38" s="528"/>
      <c r="I38" s="534"/>
    </row>
    <row r="39" ht="22.5" customHeight="1" spans="1:9" x14ac:dyDescent="0.25">
      <c r="A39" s="509" t="s">
        <v>1265</v>
      </c>
      <c r="B39" s="530" t="s">
        <v>1266</v>
      </c>
      <c r="C39" s="531"/>
      <c r="D39" s="532"/>
      <c r="E39" s="533"/>
      <c r="F39" s="511"/>
      <c r="G39" s="534"/>
      <c r="H39" s="528"/>
      <c r="I39" s="534"/>
    </row>
    <row r="40" ht="22.5" customHeight="1" spans="1:9" x14ac:dyDescent="0.25">
      <c r="A40" s="509" t="s">
        <v>1267</v>
      </c>
      <c r="B40" s="530" t="s">
        <v>1268</v>
      </c>
      <c r="C40" s="535"/>
      <c r="D40" s="536"/>
      <c r="E40" s="533"/>
      <c r="F40" s="511"/>
      <c r="G40" s="534"/>
      <c r="H40" s="528"/>
      <c r="I40" s="534"/>
    </row>
    <row r="41" ht="22.5" customHeight="1" spans="1:9" x14ac:dyDescent="0.25">
      <c r="A41" s="509" t="s">
        <v>1269</v>
      </c>
      <c r="B41" s="530" t="s">
        <v>1270</v>
      </c>
      <c r="C41" s="535"/>
      <c r="D41" s="536"/>
      <c r="E41" s="533"/>
      <c r="F41" s="511"/>
      <c r="G41" s="534"/>
      <c r="H41" s="528"/>
      <c r="I41" s="534"/>
    </row>
    <row r="42" ht="22.5" customHeight="1" spans="1:9" x14ac:dyDescent="0.25">
      <c r="A42" s="509" t="s">
        <v>1271</v>
      </c>
      <c r="B42" s="530" t="s">
        <v>1272</v>
      </c>
      <c r="C42" s="537"/>
      <c r="D42" s="538"/>
      <c r="E42" s="533"/>
      <c r="F42" s="511"/>
      <c r="G42" s="534"/>
      <c r="H42" s="528"/>
      <c r="I42" s="534"/>
    </row>
    <row r="43" ht="22.5" customHeight="1" spans="1:9" x14ac:dyDescent="0.25">
      <c r="A43" s="509" t="s">
        <v>1273</v>
      </c>
      <c r="B43" s="509" t="s">
        <v>1274</v>
      </c>
      <c r="C43" s="539"/>
      <c r="D43" s="539"/>
      <c r="E43" s="511">
        <v>0</v>
      </c>
      <c r="F43" s="511">
        <v>0</v>
      </c>
      <c r="G43" s="534"/>
      <c r="H43" s="528"/>
      <c r="I43" s="534"/>
    </row>
    <row r="44" ht="22.5" customHeight="1" spans="1:9" x14ac:dyDescent="0.25">
      <c r="A44" s="509" t="s">
        <v>1275</v>
      </c>
      <c r="B44" s="530" t="s">
        <v>1276</v>
      </c>
      <c r="C44" s="531"/>
      <c r="D44" s="532"/>
      <c r="E44" s="533"/>
      <c r="F44" s="511"/>
      <c r="G44" s="534"/>
      <c r="H44" s="528"/>
      <c r="I44" s="534"/>
    </row>
    <row r="45" ht="22.5" customHeight="1" spans="1:9" x14ac:dyDescent="0.25">
      <c r="A45" s="509" t="s">
        <v>1277</v>
      </c>
      <c r="B45" s="530" t="s">
        <v>1278</v>
      </c>
      <c r="C45" s="535"/>
      <c r="D45" s="536"/>
      <c r="E45" s="533"/>
      <c r="F45" s="511"/>
      <c r="G45" s="534"/>
      <c r="H45" s="528"/>
      <c r="I45" s="534"/>
    </row>
    <row r="46" ht="22.5" customHeight="1" spans="1:9" x14ac:dyDescent="0.25">
      <c r="A46" s="509" t="s">
        <v>1279</v>
      </c>
      <c r="B46" s="530" t="s">
        <v>1280</v>
      </c>
      <c r="C46" s="535"/>
      <c r="D46" s="536"/>
      <c r="E46" s="533"/>
      <c r="F46" s="511"/>
      <c r="G46" s="534"/>
      <c r="H46" s="528"/>
      <c r="I46" s="528"/>
    </row>
    <row r="47" ht="22.5" customHeight="1" spans="1:9" x14ac:dyDescent="0.25">
      <c r="A47" s="509" t="s">
        <v>1281</v>
      </c>
      <c r="B47" s="530" t="s">
        <v>1282</v>
      </c>
      <c r="C47" s="535"/>
      <c r="D47" s="536"/>
      <c r="E47" s="533"/>
      <c r="F47" s="511"/>
      <c r="G47" s="534"/>
      <c r="H47" s="528"/>
      <c r="I47" s="528"/>
    </row>
    <row r="48" ht="22.5" customHeight="1" spans="1:9" x14ac:dyDescent="0.25">
      <c r="A48" s="509" t="s">
        <v>1283</v>
      </c>
      <c r="B48" s="530" t="s">
        <v>1284</v>
      </c>
      <c r="C48" s="535"/>
      <c r="D48" s="536"/>
      <c r="E48" s="533"/>
      <c r="F48" s="511"/>
      <c r="G48" s="534"/>
      <c r="H48" s="528"/>
      <c r="I48" s="528"/>
    </row>
    <row r="49" ht="22.5" customHeight="1" spans="1:9" x14ac:dyDescent="0.25">
      <c r="A49" s="509" t="s">
        <v>1285</v>
      </c>
      <c r="B49" s="530" t="s">
        <v>1286</v>
      </c>
      <c r="C49" s="535"/>
      <c r="D49" s="536"/>
      <c r="E49" s="533"/>
      <c r="F49" s="511"/>
      <c r="G49" s="534"/>
      <c r="H49" s="528"/>
      <c r="I49" s="528"/>
    </row>
    <row r="50" ht="22.5" customHeight="1" spans="1:9" x14ac:dyDescent="0.25">
      <c r="A50" s="509" t="s">
        <v>1287</v>
      </c>
      <c r="B50" s="530" t="s">
        <v>1288</v>
      </c>
      <c r="C50" s="535"/>
      <c r="D50" s="536"/>
      <c r="E50" s="533"/>
      <c r="F50" s="511"/>
      <c r="G50" s="534"/>
      <c r="H50" s="540"/>
      <c r="I50" s="540"/>
    </row>
    <row r="51" ht="22.5" customHeight="1" spans="1:9" x14ac:dyDescent="0.25">
      <c r="A51" s="509" t="s">
        <v>1289</v>
      </c>
      <c r="B51" s="530" t="s">
        <v>1290</v>
      </c>
      <c r="C51" s="541"/>
      <c r="D51" s="528"/>
      <c r="E51" s="542"/>
      <c r="F51" s="543"/>
      <c r="G51" s="511"/>
      <c r="H51" s="512">
        <v>0.1</v>
      </c>
      <c r="I51" s="511">
        <v>0</v>
      </c>
    </row>
    <row r="52" ht="22.5" customHeight="1" spans="1:9" x14ac:dyDescent="0.25">
      <c r="A52" s="509" t="s">
        <v>1291</v>
      </c>
      <c r="B52" s="530" t="s">
        <v>1292</v>
      </c>
      <c r="C52" s="541"/>
      <c r="D52" s="528"/>
      <c r="E52" s="544"/>
      <c r="F52" s="528"/>
      <c r="G52" s="511"/>
      <c r="H52" s="512">
        <v>0.4</v>
      </c>
      <c r="I52" s="511">
        <v>0</v>
      </c>
    </row>
    <row r="53" ht="22.5" customHeight="1" spans="1:9" x14ac:dyDescent="0.25">
      <c r="A53" s="509" t="s">
        <v>1293</v>
      </c>
      <c r="B53" s="530" t="s">
        <v>1294</v>
      </c>
      <c r="C53" s="541"/>
      <c r="D53" s="528"/>
      <c r="E53" s="544"/>
      <c r="F53" s="528"/>
      <c r="G53" s="511"/>
      <c r="H53" s="512">
        <v>0.3</v>
      </c>
      <c r="I53" s="511">
        <v>0</v>
      </c>
    </row>
    <row r="54" ht="22.5" customHeight="1" spans="1:9" x14ac:dyDescent="0.25">
      <c r="A54" s="509" t="s">
        <v>1295</v>
      </c>
      <c r="B54" s="530" t="s">
        <v>1296</v>
      </c>
      <c r="C54" s="541"/>
      <c r="D54" s="528"/>
      <c r="E54" s="544"/>
      <c r="F54" s="528"/>
      <c r="G54" s="511"/>
      <c r="H54" s="512">
        <v>0.3</v>
      </c>
      <c r="I54" s="511">
        <v>0</v>
      </c>
    </row>
    <row r="55" ht="22.5" customHeight="1" spans="1:9" x14ac:dyDescent="0.25">
      <c r="A55" s="509" t="s">
        <v>1297</v>
      </c>
      <c r="B55" s="530" t="s">
        <v>1298</v>
      </c>
      <c r="C55" s="541"/>
      <c r="D55" s="528"/>
      <c r="E55" s="544"/>
      <c r="F55" s="528"/>
      <c r="G55" s="511"/>
      <c r="H55" s="512">
        <v>0.4</v>
      </c>
      <c r="I55" s="511">
        <v>0</v>
      </c>
    </row>
    <row r="56" ht="22.5" customHeight="1" spans="1:9" x14ac:dyDescent="0.25">
      <c r="A56" s="509" t="s">
        <v>1299</v>
      </c>
      <c r="B56" s="530" t="s">
        <v>1300</v>
      </c>
      <c r="C56" s="541"/>
      <c r="D56" s="528"/>
      <c r="E56" s="544"/>
      <c r="F56" s="528"/>
      <c r="G56" s="511"/>
      <c r="H56" s="512">
        <v>0.4</v>
      </c>
      <c r="I56" s="511">
        <v>0</v>
      </c>
    </row>
    <row r="57" ht="22.5" customHeight="1" spans="1:9" x14ac:dyDescent="0.25">
      <c r="A57" s="509" t="s">
        <v>1301</v>
      </c>
      <c r="B57" s="530" t="s">
        <v>1302</v>
      </c>
      <c r="C57" s="541"/>
      <c r="D57" s="528"/>
      <c r="E57" s="544"/>
      <c r="F57" s="528"/>
      <c r="G57" s="511"/>
      <c r="H57" s="512">
        <v>1</v>
      </c>
      <c r="I57" s="511">
        <v>0</v>
      </c>
    </row>
    <row r="58" ht="22.5" customHeight="1" spans="1:9" x14ac:dyDescent="0.25">
      <c r="A58" s="509" t="s">
        <v>1303</v>
      </c>
      <c r="B58" s="530" t="s">
        <v>1304</v>
      </c>
      <c r="C58" s="545"/>
      <c r="D58" s="540"/>
      <c r="E58" s="546"/>
      <c r="F58" s="540"/>
      <c r="G58" s="511"/>
      <c r="H58" s="512">
        <v>1</v>
      </c>
      <c r="I58" s="511">
        <v>0</v>
      </c>
    </row>
    <row r="59" ht="13.5" customHeight="1" spans="1:9" x14ac:dyDescent="0.25">
      <c r="A59" s="547"/>
      <c r="B59" s="547"/>
      <c r="C59" s="547"/>
      <c r="D59" s="547"/>
      <c r="E59" s="547"/>
      <c r="F59" s="547"/>
      <c r="G59" s="547"/>
      <c r="H59" s="547"/>
      <c r="I59" s="523"/>
    </row>
    <row r="60" ht="23" customHeight="1" spans="1:9" s="516" customFormat="1" x14ac:dyDescent="0.25">
      <c r="A60" s="509" t="s">
        <v>1305</v>
      </c>
      <c r="B60" s="517" t="s">
        <v>1306</v>
      </c>
      <c r="C60" s="518"/>
      <c r="D60" s="518"/>
      <c r="E60" s="518"/>
      <c r="F60" s="518"/>
      <c r="G60" s="519"/>
      <c r="H60" s="519"/>
      <c r="I60" s="511">
        <v>0</v>
      </c>
    </row>
    <row r="61" ht="13.5" customHeight="1" spans="1:9" x14ac:dyDescent="0.25">
      <c r="A61" s="547"/>
      <c r="B61" s="547"/>
      <c r="C61" s="547"/>
      <c r="D61" s="547"/>
      <c r="E61" s="547"/>
      <c r="F61" s="547"/>
      <c r="G61" s="547"/>
      <c r="H61" s="547"/>
      <c r="I61" s="523"/>
    </row>
    <row r="62" ht="23" customHeight="1" spans="1:9" s="516" customFormat="1" x14ac:dyDescent="0.25">
      <c r="A62" s="548" t="s">
        <v>1307</v>
      </c>
      <c r="B62" s="504"/>
      <c r="C62" s="504"/>
      <c r="D62" s="504"/>
      <c r="E62" s="504"/>
      <c r="F62" s="504"/>
      <c r="G62" s="504"/>
      <c r="H62" s="504"/>
      <c r="I62" s="523"/>
    </row>
    <row r="63" ht="22.5" customHeight="1" spans="1:10" s="507" customFormat="1" x14ac:dyDescent="0.25">
      <c r="A63" s="508" t="s">
        <v>113</v>
      </c>
      <c r="B63" s="549" t="s">
        <v>145</v>
      </c>
      <c r="C63" s="550"/>
      <c r="D63" s="550"/>
      <c r="E63" s="550"/>
      <c r="F63" s="550"/>
      <c r="G63" s="550"/>
      <c r="H63" s="508" t="s">
        <v>1101</v>
      </c>
      <c r="I63" s="523"/>
      <c r="J63" s="493"/>
    </row>
    <row r="64" ht="42" customHeight="1" spans="1:10" s="507" customFormat="1" x14ac:dyDescent="0.25">
      <c r="A64" s="508"/>
      <c r="B64" s="549"/>
      <c r="C64" s="550"/>
      <c r="D64" s="550"/>
      <c r="E64" s="550"/>
      <c r="F64" s="550"/>
      <c r="G64" s="550"/>
      <c r="H64" s="508"/>
      <c r="I64" s="523"/>
      <c r="J64" s="493"/>
    </row>
    <row r="65" ht="24.75" customHeight="1" spans="1:9" x14ac:dyDescent="0.25">
      <c r="A65" s="509" t="s">
        <v>1308</v>
      </c>
      <c r="B65" s="551" t="s">
        <v>1309</v>
      </c>
      <c r="C65" s="552"/>
      <c r="D65" s="552"/>
      <c r="E65" s="552"/>
      <c r="F65" s="552"/>
      <c r="G65" s="552"/>
      <c r="H65" s="511"/>
      <c r="I65" s="523"/>
    </row>
    <row r="66" ht="24.75" customHeight="1" spans="1:9" x14ac:dyDescent="0.25">
      <c r="A66" s="509" t="s">
        <v>1310</v>
      </c>
      <c r="B66" s="551" t="s">
        <v>1311</v>
      </c>
      <c r="C66" s="552"/>
      <c r="D66" s="552"/>
      <c r="E66" s="552"/>
      <c r="F66" s="552"/>
      <c r="G66" s="552"/>
      <c r="H66" s="511"/>
      <c r="I66" s="523"/>
    </row>
    <row r="67" ht="24.75" customHeight="1" spans="1:9" x14ac:dyDescent="0.25">
      <c r="A67" s="509" t="s">
        <v>1312</v>
      </c>
      <c r="B67" s="551" t="s">
        <v>1313</v>
      </c>
      <c r="C67" s="552"/>
      <c r="D67" s="552"/>
      <c r="E67" s="552"/>
      <c r="F67" s="552"/>
      <c r="G67" s="552"/>
      <c r="H67" s="511"/>
      <c r="I67" s="523"/>
    </row>
    <row r="68" ht="13.5" customHeight="1" spans="1:9" x14ac:dyDescent="0.25">
      <c r="A68" s="547"/>
      <c r="B68" s="547"/>
      <c r="C68" s="547"/>
      <c r="D68" s="547"/>
      <c r="E68" s="547"/>
      <c r="F68" s="547"/>
      <c r="G68" s="547"/>
      <c r="H68" s="547"/>
      <c r="I68" s="523"/>
    </row>
    <row r="69" ht="19.5" customHeight="1" spans="1:10" s="516" customFormat="1" x14ac:dyDescent="0.25">
      <c r="A69" s="553" t="s">
        <v>1314</v>
      </c>
      <c r="B69" s="517" t="s">
        <v>1315</v>
      </c>
      <c r="C69" s="518"/>
      <c r="D69" s="518"/>
      <c r="E69" s="518"/>
      <c r="F69" s="518"/>
      <c r="G69" s="519"/>
      <c r="H69" s="511">
        <v>0</v>
      </c>
      <c r="I69" s="554"/>
      <c r="J69" s="493"/>
    </row>
    <row r="70" ht="13.5" customHeight="1" spans="1:9" x14ac:dyDescent="0.25">
      <c r="A70" s="555"/>
      <c r="B70" s="555"/>
      <c r="C70" s="555"/>
      <c r="D70" s="555"/>
      <c r="E70" s="555"/>
      <c r="F70" s="555"/>
      <c r="G70" s="555"/>
      <c r="H70" s="555"/>
      <c r="I70" s="555"/>
    </row>
    <row r="71" ht="23" customHeight="1" spans="1:9" s="516" customFormat="1" x14ac:dyDescent="0.25">
      <c r="A71" s="548" t="s">
        <v>1316</v>
      </c>
      <c r="B71" s="504"/>
      <c r="C71" s="504"/>
      <c r="D71" s="504"/>
      <c r="E71" s="505"/>
      <c r="F71" s="505"/>
      <c r="G71" s="505"/>
      <c r="H71" s="505"/>
      <c r="I71" s="505"/>
    </row>
    <row r="72" ht="22.5" customHeight="1" spans="1:9" s="507" customFormat="1" x14ac:dyDescent="0.25">
      <c r="A72" s="508" t="s">
        <v>113</v>
      </c>
      <c r="B72" s="549" t="s">
        <v>145</v>
      </c>
      <c r="C72" s="508" t="s">
        <v>1101</v>
      </c>
      <c r="D72" s="508" t="s">
        <v>825</v>
      </c>
      <c r="E72" s="505"/>
      <c r="F72" s="505"/>
      <c r="G72" s="505"/>
      <c r="H72" s="505"/>
      <c r="I72" s="505"/>
    </row>
    <row r="73" ht="42" customHeight="1" spans="1:9" s="507" customFormat="1" x14ac:dyDescent="0.25">
      <c r="A73" s="508"/>
      <c r="B73" s="549"/>
      <c r="C73" s="508"/>
      <c r="D73" s="508"/>
      <c r="E73" s="523"/>
      <c r="F73" s="523"/>
      <c r="G73" s="523"/>
      <c r="H73" s="523"/>
      <c r="I73" s="523"/>
    </row>
    <row r="74" ht="17.25" customHeight="1" spans="1:9" s="507" customFormat="1" x14ac:dyDescent="0.25">
      <c r="A74" s="508"/>
      <c r="B74" s="508"/>
      <c r="C74" s="526" t="s">
        <v>154</v>
      </c>
      <c r="D74" s="526" t="s">
        <v>1317</v>
      </c>
      <c r="E74" s="523"/>
      <c r="F74" s="523"/>
      <c r="G74" s="523"/>
      <c r="H74" s="523"/>
      <c r="I74" s="523"/>
    </row>
    <row r="75" ht="23" customHeight="1" spans="1:9" s="516" customFormat="1" x14ac:dyDescent="0.25">
      <c r="A75" s="553" t="s">
        <v>670</v>
      </c>
      <c r="B75" s="556" t="s">
        <v>818</v>
      </c>
      <c r="C75" s="511"/>
      <c r="D75" s="511"/>
      <c r="E75" s="554"/>
      <c r="F75" s="523"/>
      <c r="G75" s="523"/>
      <c r="H75" s="523"/>
      <c r="I75" s="523"/>
    </row>
    <row r="76" ht="13.5" customHeight="1" spans="1:9" x14ac:dyDescent="0.25">
      <c r="A76" s="557"/>
      <c r="B76" s="557"/>
      <c r="C76" s="557"/>
      <c r="D76" s="557"/>
      <c r="E76" s="557"/>
      <c r="F76" s="557"/>
      <c r="G76" s="557"/>
      <c r="H76" s="557"/>
      <c r="I76" s="557"/>
    </row>
    <row r="77" ht="13.5" customHeight="1" spans="1:9" x14ac:dyDescent="0.25">
      <c r="A77" s="558"/>
      <c r="B77" s="558"/>
      <c r="C77" s="558"/>
      <c r="D77" s="558"/>
      <c r="E77" s="558"/>
      <c r="F77" s="558"/>
      <c r="G77" s="558"/>
      <c r="H77" s="558"/>
      <c r="I77" s="558"/>
    </row>
    <row r="78" ht="23" customHeight="1" spans="1:9" x14ac:dyDescent="0.25">
      <c r="A78" s="559" t="s">
        <v>1318</v>
      </c>
      <c r="B78" s="559"/>
      <c r="C78" s="559"/>
      <c r="D78" s="559"/>
      <c r="E78" s="559"/>
      <c r="F78" s="559"/>
      <c r="G78" s="559"/>
      <c r="H78" s="559"/>
      <c r="I78" s="559"/>
    </row>
    <row r="79" ht="13.5" customHeight="1" spans="1:9" x14ac:dyDescent="0.25">
      <c r="A79" s="560"/>
      <c r="B79" s="560"/>
      <c r="C79" s="560"/>
      <c r="D79" s="560"/>
      <c r="E79" s="560"/>
      <c r="F79" s="560"/>
      <c r="G79" s="560"/>
      <c r="H79" s="560"/>
      <c r="I79" s="560"/>
    </row>
    <row r="80" ht="22.5" customHeight="1" spans="1:9" x14ac:dyDescent="0.25">
      <c r="A80" s="508" t="s">
        <v>113</v>
      </c>
      <c r="B80" s="508" t="s">
        <v>145</v>
      </c>
      <c r="C80" s="508" t="s">
        <v>1216</v>
      </c>
      <c r="D80" s="508"/>
      <c r="E80" s="505"/>
      <c r="F80" s="505"/>
      <c r="G80" s="505"/>
      <c r="H80" s="505"/>
      <c r="I80" s="505"/>
    </row>
    <row r="81" ht="23" customHeight="1" spans="1:9" x14ac:dyDescent="0.25">
      <c r="A81" s="508"/>
      <c r="B81" s="508"/>
      <c r="C81" s="508" t="s">
        <v>1219</v>
      </c>
      <c r="D81" s="508" t="s">
        <v>1220</v>
      </c>
      <c r="E81" s="505"/>
      <c r="F81" s="505"/>
      <c r="G81" s="505"/>
      <c r="H81" s="505"/>
      <c r="I81" s="505"/>
    </row>
    <row r="82" ht="25.5" customHeight="1" spans="1:9" x14ac:dyDescent="0.25">
      <c r="A82" s="509" t="s">
        <v>1319</v>
      </c>
      <c r="B82" s="509" t="s">
        <v>1320</v>
      </c>
      <c r="C82" s="511"/>
      <c r="D82" s="511"/>
      <c r="E82" s="523"/>
      <c r="F82" s="523"/>
      <c r="G82" s="523"/>
      <c r="H82" s="523"/>
      <c r="I82" s="523"/>
    </row>
    <row r="83" ht="25.5" customHeight="1" spans="1:9" x14ac:dyDescent="0.25">
      <c r="A83" s="509" t="s">
        <v>1321</v>
      </c>
      <c r="B83" s="509" t="s">
        <v>1322</v>
      </c>
      <c r="C83" s="511"/>
      <c r="D83" s="511"/>
      <c r="E83" s="523"/>
      <c r="F83" s="523"/>
      <c r="G83" s="523"/>
      <c r="H83" s="523"/>
      <c r="I83" s="523"/>
    </row>
    <row r="84" spans="2:3" x14ac:dyDescent="0.25">
      <c r="B84" s="561"/>
      <c r="C84" s="561"/>
    </row>
    <row r="85" ht="25" customHeight="1" spans="2:3" x14ac:dyDescent="0.25">
      <c r="B85" s="562"/>
      <c r="C85" s="493"/>
    </row>
    <row r="86" spans="2:3" x14ac:dyDescent="0.25">
      <c r="B86" s="493"/>
      <c r="C86" s="493"/>
    </row>
    <row r="87" spans="2:3" x14ac:dyDescent="0.25">
      <c r="B87" s="493"/>
      <c r="C87" s="493"/>
    </row>
    <row r="88" spans="2:3" x14ac:dyDescent="0.25">
      <c r="B88" s="493"/>
      <c r="C88" s="493"/>
    </row>
    <row r="89" spans="2:3" x14ac:dyDescent="0.25">
      <c r="B89" s="493"/>
      <c r="C89" s="493"/>
    </row>
    <row r="90" spans="2:3" x14ac:dyDescent="0.25">
      <c r="B90" s="493"/>
      <c r="C90" s="493"/>
    </row>
    <row r="91" spans="2:3" x14ac:dyDescent="0.25">
      <c r="B91" s="493"/>
      <c r="C91" s="493"/>
    </row>
    <row r="92" spans="2:3" x14ac:dyDescent="0.25">
      <c r="B92" s="493"/>
      <c r="C92" s="493"/>
    </row>
    <row r="93" spans="2:3" x14ac:dyDescent="0.25">
      <c r="B93" s="493"/>
      <c r="C93" s="493"/>
    </row>
    <row r="94" spans="2:3" x14ac:dyDescent="0.25">
      <c r="B94" s="493"/>
      <c r="C94" s="493"/>
    </row>
    <row r="95" spans="2:3" x14ac:dyDescent="0.25">
      <c r="B95" s="493"/>
      <c r="C95" s="493"/>
    </row>
    <row r="96" spans="2:3" x14ac:dyDescent="0.25">
      <c r="B96" s="493"/>
      <c r="C96" s="493"/>
    </row>
    <row r="97" spans="1:1" s="493" customFormat="1" x14ac:dyDescent="0.25">
      <c r="A97" s="206"/>
    </row>
    <row r="98" spans="1:1" s="493" customFormat="1" x14ac:dyDescent="0.25">
      <c r="A98" s="206"/>
    </row>
    <row r="99" spans="1:1" s="493" customFormat="1" x14ac:dyDescent="0.25">
      <c r="A99" s="206"/>
    </row>
    <row r="100" spans="1:1" s="493" customFormat="1" x14ac:dyDescent="0.25">
      <c r="A100" s="206"/>
    </row>
    <row r="101" spans="1:1" s="493" customFormat="1" x14ac:dyDescent="0.25">
      <c r="A101" s="206"/>
    </row>
    <row r="102" spans="1:1" s="493" customFormat="1" x14ac:dyDescent="0.25">
      <c r="A102" s="206"/>
    </row>
    <row r="103" spans="1:1" s="493" customFormat="1" x14ac:dyDescent="0.25">
      <c r="A103" s="206"/>
    </row>
    <row r="104" spans="1:1" s="493" customFormat="1" x14ac:dyDescent="0.25">
      <c r="A104" s="206"/>
    </row>
    <row r="105" spans="1:1" s="493" customFormat="1" x14ac:dyDescent="0.25">
      <c r="A105" s="206"/>
    </row>
    <row r="106" spans="1:1" s="493" customFormat="1" x14ac:dyDescent="0.25">
      <c r="A106" s="206"/>
    </row>
    <row r="107" spans="1:1" s="493" customFormat="1" x14ac:dyDescent="0.25">
      <c r="A107" s="206"/>
    </row>
    <row r="108" spans="1:1" s="493" customFormat="1" x14ac:dyDescent="0.25">
      <c r="A108" s="206"/>
    </row>
    <row r="109" spans="1:1" s="493" customFormat="1" x14ac:dyDescent="0.25">
      <c r="A109" s="206"/>
    </row>
    <row r="110" spans="1:1" s="493" customFormat="1" x14ac:dyDescent="0.25">
      <c r="A110" s="206"/>
    </row>
    <row r="111" spans="1:1" s="493" customFormat="1" x14ac:dyDescent="0.25">
      <c r="A111" s="206"/>
    </row>
    <row r="112" spans="1:1" s="493" customFormat="1" x14ac:dyDescent="0.25">
      <c r="A112" s="206"/>
    </row>
    <row r="113" spans="1:1" s="493" customFormat="1" x14ac:dyDescent="0.25">
      <c r="A113" s="206"/>
    </row>
    <row r="114" spans="1:1" s="493" customFormat="1" x14ac:dyDescent="0.25">
      <c r="A114" s="206"/>
    </row>
    <row r="115" spans="1:1" s="493" customFormat="1" x14ac:dyDescent="0.25">
      <c r="A115" s="206"/>
    </row>
    <row r="116" spans="1:1" s="493" customFormat="1" x14ac:dyDescent="0.25">
      <c r="A116" s="206"/>
    </row>
    <row r="117" spans="1:1" s="493" customFormat="1" x14ac:dyDescent="0.25">
      <c r="A117" s="206"/>
    </row>
    <row r="118" spans="1:1" s="493" customFormat="1" x14ac:dyDescent="0.25">
      <c r="A118" s="206"/>
    </row>
    <row r="119" spans="1:1" s="493" customFormat="1" x14ac:dyDescent="0.25">
      <c r="A119" s="206"/>
    </row>
    <row r="120" spans="1:1" s="493" customFormat="1" x14ac:dyDescent="0.25">
      <c r="A120" s="206"/>
    </row>
    <row r="121" spans="1:1" s="493" customFormat="1" x14ac:dyDescent="0.25">
      <c r="A121" s="206"/>
    </row>
    <row r="122" spans="1:1" s="493" customFormat="1" x14ac:dyDescent="0.25">
      <c r="A122" s="206"/>
    </row>
    <row r="123" spans="1:1" s="493" customFormat="1" x14ac:dyDescent="0.25">
      <c r="A123" s="206"/>
    </row>
    <row r="124" spans="1:1" s="493" customFormat="1" x14ac:dyDescent="0.25">
      <c r="A124" s="206"/>
    </row>
    <row r="125" spans="1:1" s="493" customFormat="1" x14ac:dyDescent="0.25">
      <c r="A125" s="206"/>
    </row>
    <row r="126" spans="1:1" s="493" customFormat="1" x14ac:dyDescent="0.25">
      <c r="A126" s="206"/>
    </row>
    <row r="127" spans="1:1" s="493" customFormat="1" x14ac:dyDescent="0.25">
      <c r="A127" s="206"/>
    </row>
    <row r="128" spans="1:1" s="493" customFormat="1" x14ac:dyDescent="0.25">
      <c r="A128" s="206"/>
    </row>
    <row r="129" spans="1:1" s="493" customFormat="1" x14ac:dyDescent="0.25">
      <c r="A129" s="206"/>
    </row>
    <row r="130" spans="1:1" s="493" customFormat="1" x14ac:dyDescent="0.25">
      <c r="A130" s="206"/>
    </row>
    <row r="131" spans="1:1" s="493" customFormat="1" x14ac:dyDescent="0.25">
      <c r="A131" s="206"/>
    </row>
    <row r="132" spans="1:1" s="493" customFormat="1" x14ac:dyDescent="0.25">
      <c r="A132" s="206"/>
    </row>
    <row r="133" spans="1:1" s="493" customFormat="1" x14ac:dyDescent="0.25">
      <c r="A133" s="206"/>
    </row>
    <row r="134" spans="1:1" s="493" customFormat="1" x14ac:dyDescent="0.25">
      <c r="A134" s="206"/>
    </row>
    <row r="135" spans="1:1" s="493" customFormat="1" x14ac:dyDescent="0.25">
      <c r="A135" s="206"/>
    </row>
    <row r="136" spans="1:1" s="493" customFormat="1" x14ac:dyDescent="0.25">
      <c r="A136" s="206"/>
    </row>
    <row r="137" spans="1:1" s="493" customFormat="1" x14ac:dyDescent="0.25">
      <c r="A137" s="206"/>
    </row>
    <row r="138" spans="1:1" s="493" customFormat="1" x14ac:dyDescent="0.25">
      <c r="A138" s="206"/>
    </row>
    <row r="139" spans="1:1" s="493" customFormat="1" x14ac:dyDescent="0.25">
      <c r="A139" s="206"/>
    </row>
    <row r="140" spans="1:1" s="493" customFormat="1" x14ac:dyDescent="0.25">
      <c r="A140" s="206"/>
    </row>
    <row r="141" spans="1:1" s="493" customFormat="1" x14ac:dyDescent="0.25">
      <c r="A141" s="206"/>
    </row>
    <row r="142" spans="1:1" s="493" customFormat="1" x14ac:dyDescent="0.25">
      <c r="A142" s="206"/>
    </row>
    <row r="143" spans="1:1" s="493" customFormat="1" x14ac:dyDescent="0.25">
      <c r="A143" s="206"/>
    </row>
    <row r="144" spans="1:1" s="493" customFormat="1" x14ac:dyDescent="0.25">
      <c r="A144" s="206"/>
    </row>
    <row r="145" spans="1:1" s="493" customFormat="1" x14ac:dyDescent="0.25">
      <c r="A145" s="206"/>
    </row>
    <row r="146" spans="1:1" s="493" customFormat="1" x14ac:dyDescent="0.25">
      <c r="A146" s="206"/>
    </row>
    <row r="147" spans="1:1" s="493" customFormat="1" x14ac:dyDescent="0.25">
      <c r="A147" s="206"/>
    </row>
    <row r="148" spans="1:1" s="493" customFormat="1" x14ac:dyDescent="0.25">
      <c r="A148" s="206"/>
    </row>
    <row r="149" spans="1:1" s="493" customFormat="1" x14ac:dyDescent="0.25">
      <c r="A149" s="206"/>
    </row>
    <row r="150" spans="1:1" s="493" customFormat="1" x14ac:dyDescent="0.25">
      <c r="A150" s="206"/>
    </row>
    <row r="151" spans="1:1" s="493" customFormat="1" x14ac:dyDescent="0.25">
      <c r="A151" s="206"/>
    </row>
    <row r="152" spans="1:1" s="493" customFormat="1" x14ac:dyDescent="0.25">
      <c r="A152" s="206"/>
    </row>
    <row r="153" spans="1:1" s="493" customFormat="1" x14ac:dyDescent="0.25">
      <c r="A153" s="206"/>
    </row>
    <row r="154" spans="1:1" s="493" customFormat="1" x14ac:dyDescent="0.25">
      <c r="A154" s="206"/>
    </row>
    <row r="155" spans="1:1" s="493" customFormat="1" x14ac:dyDescent="0.25">
      <c r="A155" s="206"/>
    </row>
    <row r="156" spans="1:1" s="493" customFormat="1" x14ac:dyDescent="0.25">
      <c r="A156" s="206"/>
    </row>
    <row r="157" spans="1:1" s="493" customFormat="1" x14ac:dyDescent="0.25">
      <c r="A157" s="206"/>
    </row>
    <row r="158" spans="1:1" s="493" customFormat="1" x14ac:dyDescent="0.25">
      <c r="A158" s="206"/>
    </row>
    <row r="159" spans="1:1" s="493" customFormat="1" x14ac:dyDescent="0.25">
      <c r="A159" s="206"/>
    </row>
    <row r="160" spans="1:1" s="493" customFormat="1" x14ac:dyDescent="0.25">
      <c r="A160" s="206"/>
    </row>
    <row r="161" spans="1:1" s="493" customFormat="1" x14ac:dyDescent="0.25">
      <c r="A161" s="206"/>
    </row>
    <row r="162" spans="1:1" s="493" customFormat="1" x14ac:dyDescent="0.25">
      <c r="A162" s="206"/>
    </row>
    <row r="163" spans="1:1" s="493" customFormat="1" x14ac:dyDescent="0.25">
      <c r="A163" s="206"/>
    </row>
    <row r="164" spans="1:1" s="493" customFormat="1" x14ac:dyDescent="0.25">
      <c r="A164" s="206"/>
    </row>
    <row r="165" spans="1:1" s="493" customFormat="1" x14ac:dyDescent="0.25">
      <c r="A165" s="206"/>
    </row>
    <row r="166" spans="1:1" s="493" customFormat="1" x14ac:dyDescent="0.25">
      <c r="A166" s="206"/>
    </row>
    <row r="167" spans="1:1" s="493" customFormat="1" x14ac:dyDescent="0.25">
      <c r="A167" s="206"/>
    </row>
    <row r="168" spans="1:1" s="493" customFormat="1" x14ac:dyDescent="0.25">
      <c r="A168" s="206"/>
    </row>
    <row r="169" spans="1:1" s="493" customFormat="1" x14ac:dyDescent="0.25">
      <c r="A169" s="206"/>
    </row>
    <row r="170" spans="1:1" s="493" customFormat="1" x14ac:dyDescent="0.25">
      <c r="A170" s="206"/>
    </row>
    <row r="171" spans="1:1" s="493" customFormat="1" x14ac:dyDescent="0.25">
      <c r="A171" s="206"/>
    </row>
    <row r="172" spans="1:1" s="493" customFormat="1" x14ac:dyDescent="0.25">
      <c r="A172" s="206"/>
    </row>
    <row r="173" spans="1:1" s="493" customFormat="1" x14ac:dyDescent="0.25">
      <c r="A173" s="206"/>
    </row>
    <row r="174" spans="1:1" s="493" customFormat="1" x14ac:dyDescent="0.25">
      <c r="A174" s="206"/>
    </row>
    <row r="175" spans="1:1" s="493" customFormat="1" x14ac:dyDescent="0.25">
      <c r="A175" s="206"/>
    </row>
    <row r="176" spans="1:1" s="493" customFormat="1" x14ac:dyDescent="0.25">
      <c r="A176" s="206"/>
    </row>
    <row r="177" spans="1:1" s="493" customFormat="1" x14ac:dyDescent="0.25">
      <c r="A177" s="206"/>
    </row>
    <row r="178" spans="1:1" s="493" customFormat="1" x14ac:dyDescent="0.25">
      <c r="A178" s="206"/>
    </row>
    <row r="179" spans="1:1" s="493" customFormat="1" x14ac:dyDescent="0.25">
      <c r="A179" s="206"/>
    </row>
    <row r="180" spans="1:1" s="493" customFormat="1" x14ac:dyDescent="0.25">
      <c r="A180" s="206"/>
    </row>
    <row r="181" spans="1:1" s="493" customFormat="1" x14ac:dyDescent="0.25">
      <c r="A181" s="206"/>
    </row>
    <row r="182" spans="1:1" s="493" customFormat="1" x14ac:dyDescent="0.25">
      <c r="A182" s="206"/>
    </row>
    <row r="183" spans="1:1" s="493" customFormat="1" x14ac:dyDescent="0.25">
      <c r="A183" s="206"/>
    </row>
    <row r="184" spans="1:1" s="493" customFormat="1" x14ac:dyDescent="0.25">
      <c r="A184" s="206"/>
    </row>
    <row r="185" spans="1:1" s="493" customFormat="1" x14ac:dyDescent="0.25">
      <c r="A185" s="206"/>
    </row>
    <row r="186" spans="1:1" s="493" customFormat="1" x14ac:dyDescent="0.25">
      <c r="A186" s="206"/>
    </row>
    <row r="187" spans="1:1" s="493" customFormat="1" x14ac:dyDescent="0.25">
      <c r="A187" s="206"/>
    </row>
    <row r="188" spans="1:1" s="493" customFormat="1" x14ac:dyDescent="0.25">
      <c r="A188" s="206"/>
    </row>
    <row r="189" spans="1:1" s="493" customFormat="1" x14ac:dyDescent="0.25">
      <c r="A189" s="206"/>
    </row>
    <row r="190" spans="1:1" s="493" customFormat="1" x14ac:dyDescent="0.25">
      <c r="A190" s="206"/>
    </row>
    <row r="191" spans="1:1" s="493" customFormat="1" x14ac:dyDescent="0.25">
      <c r="A191" s="206"/>
    </row>
    <row r="192" spans="1:1" s="493" customFormat="1" x14ac:dyDescent="0.25">
      <c r="A192" s="206"/>
    </row>
    <row r="193" spans="1:1" s="493" customFormat="1" x14ac:dyDescent="0.25">
      <c r="A193" s="206"/>
    </row>
    <row r="194" spans="1:1" s="493" customFormat="1" x14ac:dyDescent="0.25">
      <c r="A194" s="206"/>
    </row>
    <row r="195" spans="1:1" s="493" customFormat="1" x14ac:dyDescent="0.25">
      <c r="A195" s="206"/>
    </row>
    <row r="196" spans="1:1" s="493" customFormat="1" x14ac:dyDescent="0.25">
      <c r="A196" s="206"/>
    </row>
    <row r="197" spans="1:1" s="493" customFormat="1" x14ac:dyDescent="0.25">
      <c r="A197" s="206"/>
    </row>
    <row r="198" spans="1:1" s="493" customFormat="1" x14ac:dyDescent="0.25">
      <c r="A198" s="206"/>
    </row>
    <row r="199" spans="1:1" s="493" customFormat="1" x14ac:dyDescent="0.25">
      <c r="A199" s="206"/>
    </row>
    <row r="200" spans="1:1" s="493" customFormat="1" x14ac:dyDescent="0.25">
      <c r="A200" s="206"/>
    </row>
    <row r="201" spans="1:1" s="493" customFormat="1" x14ac:dyDescent="0.25">
      <c r="A201" s="206"/>
    </row>
    <row r="202" spans="1:1" s="493" customFormat="1" x14ac:dyDescent="0.25">
      <c r="A202" s="206"/>
    </row>
    <row r="203" spans="1:1" s="493" customFormat="1" x14ac:dyDescent="0.25">
      <c r="A203" s="206"/>
    </row>
    <row r="204" spans="1:1" s="493" customFormat="1" x14ac:dyDescent="0.25">
      <c r="A204" s="206"/>
    </row>
    <row r="205" spans="1:1" s="493" customFormat="1" x14ac:dyDescent="0.25">
      <c r="A205" s="206"/>
    </row>
    <row r="206" spans="1:1" s="493" customFormat="1" x14ac:dyDescent="0.25">
      <c r="A206" s="206"/>
    </row>
    <row r="207" spans="1:1" s="493" customFormat="1" x14ac:dyDescent="0.25">
      <c r="A207" s="206"/>
    </row>
    <row r="208" spans="1:1" s="493" customFormat="1" x14ac:dyDescent="0.25">
      <c r="A208" s="206"/>
    </row>
    <row r="209" spans="1:1" s="493" customFormat="1" x14ac:dyDescent="0.25">
      <c r="A209" s="206"/>
    </row>
    <row r="210" spans="1:1" s="493" customFormat="1" x14ac:dyDescent="0.25">
      <c r="A210" s="206"/>
    </row>
    <row r="211" spans="1:1" s="493" customFormat="1" x14ac:dyDescent="0.25">
      <c r="A211" s="206"/>
    </row>
    <row r="212" spans="1:1" s="493" customFormat="1" x14ac:dyDescent="0.25">
      <c r="A212" s="206"/>
    </row>
    <row r="213" spans="1:1" s="493" customFormat="1" x14ac:dyDescent="0.25">
      <c r="A213" s="206"/>
    </row>
    <row r="214" spans="1:1" s="493" customFormat="1" x14ac:dyDescent="0.25">
      <c r="A214" s="206"/>
    </row>
    <row r="215" spans="1:1" s="493" customFormat="1" x14ac:dyDescent="0.25">
      <c r="A215" s="206"/>
    </row>
    <row r="216" spans="1:1" s="493" customFormat="1" x14ac:dyDescent="0.25">
      <c r="A216" s="206"/>
    </row>
    <row r="217" spans="1:1" s="493" customFormat="1" x14ac:dyDescent="0.25">
      <c r="A217" s="206"/>
    </row>
    <row r="218" spans="1:1" s="493" customFormat="1" x14ac:dyDescent="0.25">
      <c r="A218" s="206"/>
    </row>
    <row r="219" spans="1:1" s="493" customFormat="1" x14ac:dyDescent="0.25">
      <c r="A219" s="206"/>
    </row>
    <row r="220" spans="1:1" s="493" customFormat="1" x14ac:dyDescent="0.25">
      <c r="A220" s="206"/>
    </row>
    <row r="221" spans="1:1" s="493" customFormat="1" x14ac:dyDescent="0.25">
      <c r="A221" s="206"/>
    </row>
    <row r="222" spans="1:1" s="493" customFormat="1" x14ac:dyDescent="0.25">
      <c r="A222" s="206"/>
    </row>
    <row r="223" spans="1:1" s="493" customFormat="1" x14ac:dyDescent="0.25">
      <c r="A223" s="206"/>
    </row>
    <row r="224" spans="1:1" s="493" customFormat="1" x14ac:dyDescent="0.25">
      <c r="A224" s="206"/>
    </row>
    <row r="225" spans="1:1" s="493" customFormat="1" x14ac:dyDescent="0.25">
      <c r="A225" s="206"/>
    </row>
    <row r="226" spans="1:1" s="493" customFormat="1" x14ac:dyDescent="0.25">
      <c r="A226" s="206"/>
    </row>
    <row r="227" spans="1:1" s="493" customFormat="1" x14ac:dyDescent="0.25">
      <c r="A227" s="206"/>
    </row>
    <row r="228" spans="1:1" s="493" customFormat="1" x14ac:dyDescent="0.25">
      <c r="A228" s="206"/>
    </row>
    <row r="229" spans="1:1" s="493" customFormat="1" x14ac:dyDescent="0.25">
      <c r="A229" s="206"/>
    </row>
    <row r="230" spans="1:1" s="493" customFormat="1" x14ac:dyDescent="0.25">
      <c r="A230" s="206"/>
    </row>
    <row r="231" spans="1:1" s="493" customFormat="1" x14ac:dyDescent="0.25">
      <c r="A231" s="206"/>
    </row>
    <row r="232" spans="1:1" s="493" customFormat="1" x14ac:dyDescent="0.25">
      <c r="A232" s="206"/>
    </row>
    <row r="233" spans="1:1" s="493" customFormat="1" x14ac:dyDescent="0.25">
      <c r="A233" s="206"/>
    </row>
    <row r="234" spans="1:1" s="493" customFormat="1" x14ac:dyDescent="0.25">
      <c r="A234" s="206"/>
    </row>
    <row r="235" spans="1:1" s="493" customFormat="1" x14ac:dyDescent="0.25">
      <c r="A235" s="206"/>
    </row>
    <row r="236" spans="1:1" s="493" customFormat="1" x14ac:dyDescent="0.25">
      <c r="A236" s="206"/>
    </row>
    <row r="237" spans="1:1" s="493" customFormat="1" x14ac:dyDescent="0.25">
      <c r="A237" s="206"/>
    </row>
    <row r="238" spans="1:1" s="493" customFormat="1" x14ac:dyDescent="0.25">
      <c r="A238" s="206"/>
    </row>
    <row r="239" spans="1:1" s="493" customFormat="1" x14ac:dyDescent="0.25">
      <c r="A239" s="206"/>
    </row>
    <row r="240" spans="1:1" s="493" customFormat="1" x14ac:dyDescent="0.25">
      <c r="A240" s="206"/>
    </row>
    <row r="241" spans="1:1" s="493" customFormat="1" x14ac:dyDescent="0.25">
      <c r="A241" s="206"/>
    </row>
    <row r="242" spans="1:1" s="493" customFormat="1" x14ac:dyDescent="0.25">
      <c r="A242" s="206"/>
    </row>
    <row r="243" spans="1:1" s="493" customFormat="1" x14ac:dyDescent="0.25">
      <c r="A243" s="206"/>
    </row>
    <row r="244" spans="1:1" s="493" customFormat="1" x14ac:dyDescent="0.25">
      <c r="A244" s="206"/>
    </row>
    <row r="245" spans="1:1" s="493" customFormat="1" x14ac:dyDescent="0.25">
      <c r="A245" s="206"/>
    </row>
    <row r="246" spans="1:1" s="493" customFormat="1" x14ac:dyDescent="0.25">
      <c r="A246" s="206"/>
    </row>
    <row r="247" spans="1:1" s="493" customFormat="1" x14ac:dyDescent="0.25">
      <c r="A247" s="206"/>
    </row>
    <row r="248" spans="1:1" s="493" customFormat="1" x14ac:dyDescent="0.25">
      <c r="A248" s="206"/>
    </row>
    <row r="249" spans="1:1" s="493" customFormat="1" x14ac:dyDescent="0.25">
      <c r="A249" s="206"/>
    </row>
    <row r="250" spans="1:1" s="493" customFormat="1" x14ac:dyDescent="0.25">
      <c r="A250" s="206"/>
    </row>
    <row r="251" spans="1:1" s="493" customFormat="1" x14ac:dyDescent="0.25">
      <c r="A251" s="206"/>
    </row>
    <row r="252" spans="1:1" s="493" customFormat="1" x14ac:dyDescent="0.25">
      <c r="A252" s="206"/>
    </row>
    <row r="253" spans="1:1" s="493" customFormat="1" x14ac:dyDescent="0.25">
      <c r="A253" s="206"/>
    </row>
    <row r="254" spans="1:1" s="493" customFormat="1" x14ac:dyDescent="0.25">
      <c r="A254" s="206"/>
    </row>
    <row r="255" spans="1:1" s="493" customFormat="1" x14ac:dyDescent="0.25">
      <c r="A255" s="206"/>
    </row>
    <row r="256" spans="1:1" s="493" customFormat="1" x14ac:dyDescent="0.25">
      <c r="A256" s="206"/>
    </row>
    <row r="257" spans="1:1" s="493" customFormat="1" x14ac:dyDescent="0.25">
      <c r="A257" s="206"/>
    </row>
    <row r="258" spans="1:1" s="493" customFormat="1" x14ac:dyDescent="0.25">
      <c r="A258" s="206"/>
    </row>
    <row r="259" spans="1:1" s="493" customFormat="1" x14ac:dyDescent="0.25">
      <c r="A259" s="206"/>
    </row>
    <row r="260" spans="1:1" s="493" customFormat="1" x14ac:dyDescent="0.25">
      <c r="A260" s="206"/>
    </row>
    <row r="261" spans="1:1" s="493" customFormat="1" x14ac:dyDescent="0.25">
      <c r="A261" s="206"/>
    </row>
    <row r="262" spans="1:1" s="493" customFormat="1" x14ac:dyDescent="0.25">
      <c r="A262" s="206"/>
    </row>
    <row r="263" spans="1:1" s="493" customFormat="1" x14ac:dyDescent="0.25">
      <c r="A263" s="206"/>
    </row>
    <row r="264" spans="1:1" s="493" customFormat="1" x14ac:dyDescent="0.25">
      <c r="A264" s="206"/>
    </row>
    <row r="265" spans="1:1" s="493" customFormat="1" x14ac:dyDescent="0.25">
      <c r="A265" s="206"/>
    </row>
    <row r="266" spans="1:1" s="493" customFormat="1" x14ac:dyDescent="0.25">
      <c r="A266" s="206"/>
    </row>
    <row r="267" spans="1:1" s="493" customFormat="1" x14ac:dyDescent="0.25">
      <c r="A267" s="206"/>
    </row>
    <row r="268" spans="1:1" s="493" customFormat="1" x14ac:dyDescent="0.25">
      <c r="A268" s="206"/>
    </row>
    <row r="269" spans="1:1" s="493" customFormat="1" x14ac:dyDescent="0.25">
      <c r="A269" s="206"/>
    </row>
    <row r="270" spans="1:1" s="493" customFormat="1" x14ac:dyDescent="0.25">
      <c r="A270" s="206"/>
    </row>
    <row r="271" spans="1:1" s="493" customFormat="1" x14ac:dyDescent="0.25">
      <c r="A271" s="206"/>
    </row>
    <row r="272" spans="1:1" s="493" customFormat="1" x14ac:dyDescent="0.25">
      <c r="A272" s="206"/>
    </row>
    <row r="273" spans="1:1" s="493" customFormat="1" x14ac:dyDescent="0.25">
      <c r="A273" s="206"/>
    </row>
    <row r="274" spans="1:1" s="493" customFormat="1" x14ac:dyDescent="0.25">
      <c r="A274" s="206"/>
    </row>
    <row r="275" spans="1:1" s="493" customFormat="1" x14ac:dyDescent="0.25">
      <c r="A275" s="206"/>
    </row>
    <row r="276" spans="1:1" s="493" customFormat="1" x14ac:dyDescent="0.25">
      <c r="A276" s="206"/>
    </row>
    <row r="277" spans="1:1" s="493" customFormat="1" x14ac:dyDescent="0.25">
      <c r="A277" s="206"/>
    </row>
    <row r="278" spans="1:1" s="493" customFormat="1" x14ac:dyDescent="0.25">
      <c r="A278" s="206"/>
    </row>
    <row r="279" spans="1:1" s="493" customFormat="1" x14ac:dyDescent="0.25">
      <c r="A279" s="206"/>
    </row>
    <row r="280" spans="1:1" s="493" customFormat="1" x14ac:dyDescent="0.25">
      <c r="A280" s="206"/>
    </row>
    <row r="281" spans="1:1" s="493" customFormat="1" x14ac:dyDescent="0.25">
      <c r="A281" s="206"/>
    </row>
    <row r="282" spans="1:1" s="493" customFormat="1" x14ac:dyDescent="0.25">
      <c r="A282" s="206"/>
    </row>
    <row r="283" spans="1:1" s="493" customFormat="1" x14ac:dyDescent="0.25">
      <c r="A283" s="206"/>
    </row>
    <row r="284" spans="1:1" s="493" customFormat="1" x14ac:dyDescent="0.25">
      <c r="A284" s="206"/>
    </row>
    <row r="285" spans="1:1" s="493" customFormat="1" x14ac:dyDescent="0.25">
      <c r="A285" s="206"/>
    </row>
    <row r="286" spans="1:1" s="493" customFormat="1" x14ac:dyDescent="0.25">
      <c r="A286" s="206"/>
    </row>
    <row r="287" spans="1:1" s="493" customFormat="1" x14ac:dyDescent="0.25">
      <c r="A287" s="206"/>
    </row>
    <row r="288" spans="1:1" s="493" customFormat="1" x14ac:dyDescent="0.25">
      <c r="A288" s="206"/>
    </row>
    <row r="289" spans="1:1" s="493" customFormat="1" x14ac:dyDescent="0.25">
      <c r="A289" s="206"/>
    </row>
    <row r="290" spans="1:1" s="493" customFormat="1" x14ac:dyDescent="0.25">
      <c r="A290" s="206"/>
    </row>
    <row r="291" spans="1:1" s="493" customFormat="1" x14ac:dyDescent="0.25">
      <c r="A291" s="206"/>
    </row>
    <row r="292" spans="1:1" s="493" customFormat="1" x14ac:dyDescent="0.25">
      <c r="A292" s="206"/>
    </row>
    <row r="293" spans="1:1" s="493" customFormat="1" x14ac:dyDescent="0.25">
      <c r="A293" s="206"/>
    </row>
    <row r="294" spans="1:1" s="493" customFormat="1" x14ac:dyDescent="0.25">
      <c r="A294" s="206"/>
    </row>
    <row r="295" spans="1:1" s="493" customFormat="1" x14ac:dyDescent="0.25">
      <c r="A295" s="206"/>
    </row>
    <row r="296" spans="1:1" s="493" customFormat="1" x14ac:dyDescent="0.25">
      <c r="A296" s="206"/>
    </row>
    <row r="297" spans="1:1" s="493" customFormat="1" x14ac:dyDescent="0.25">
      <c r="A297" s="206"/>
    </row>
    <row r="298" spans="1:1" s="493" customFormat="1" x14ac:dyDescent="0.25">
      <c r="A298" s="206"/>
    </row>
    <row r="299" spans="1:1" s="493" customFormat="1" x14ac:dyDescent="0.25">
      <c r="A299" s="206"/>
    </row>
    <row r="300" spans="1:1" s="493" customFormat="1" x14ac:dyDescent="0.25">
      <c r="A300" s="206"/>
    </row>
    <row r="301" spans="1:1" s="493" customFormat="1" x14ac:dyDescent="0.25">
      <c r="A301" s="206"/>
    </row>
    <row r="302" spans="1:1" s="493" customFormat="1" x14ac:dyDescent="0.25">
      <c r="A302" s="206"/>
    </row>
    <row r="303" spans="1:1" s="493" customFormat="1" x14ac:dyDescent="0.25">
      <c r="A303" s="206"/>
    </row>
    <row r="304" spans="1:1" s="493" customFormat="1" x14ac:dyDescent="0.25">
      <c r="A304" s="206"/>
    </row>
    <row r="305" spans="1:1" s="493" customFormat="1" x14ac:dyDescent="0.25">
      <c r="A305" s="206"/>
    </row>
    <row r="306" spans="1:1" s="493" customFormat="1" x14ac:dyDescent="0.25">
      <c r="A306" s="206"/>
    </row>
    <row r="307" spans="1:1" s="493" customFormat="1" x14ac:dyDescent="0.25">
      <c r="A307" s="206"/>
    </row>
    <row r="308" spans="1:1" s="493" customFormat="1" x14ac:dyDescent="0.25">
      <c r="A308" s="206"/>
    </row>
    <row r="309" spans="1:1" s="493" customFormat="1" x14ac:dyDescent="0.25">
      <c r="A309" s="206"/>
    </row>
    <row r="310" spans="1:1" s="493" customFormat="1" x14ac:dyDescent="0.25">
      <c r="A310" s="206"/>
    </row>
    <row r="311" spans="1:1" s="493" customFormat="1" x14ac:dyDescent="0.25">
      <c r="A311" s="206"/>
    </row>
    <row r="312" spans="1:1" s="493" customFormat="1" x14ac:dyDescent="0.25">
      <c r="A312" s="206"/>
    </row>
    <row r="313" spans="1:1" s="493" customFormat="1" x14ac:dyDescent="0.25">
      <c r="A313" s="206"/>
    </row>
    <row r="314" spans="1:1" s="493" customFormat="1" x14ac:dyDescent="0.25">
      <c r="A314" s="206"/>
    </row>
    <row r="315" spans="1:1" s="493" customFormat="1" x14ac:dyDescent="0.25">
      <c r="A315" s="206"/>
    </row>
    <row r="316" spans="1:1" s="493" customFormat="1" x14ac:dyDescent="0.25">
      <c r="A316" s="206"/>
    </row>
    <row r="317" spans="1:1" s="493" customFormat="1" x14ac:dyDescent="0.25">
      <c r="A317" s="206"/>
    </row>
    <row r="318" spans="1:1" s="493" customFormat="1" x14ac:dyDescent="0.25">
      <c r="A318" s="206"/>
    </row>
    <row r="319" spans="1:1" s="493" customFormat="1" x14ac:dyDescent="0.25">
      <c r="A319" s="206"/>
    </row>
    <row r="320" spans="1:1" s="493" customFormat="1" x14ac:dyDescent="0.25">
      <c r="A320" s="206"/>
    </row>
    <row r="321" spans="1:1" s="493" customFormat="1" x14ac:dyDescent="0.25">
      <c r="A321" s="206"/>
    </row>
    <row r="322" spans="1:1" s="493" customFormat="1" x14ac:dyDescent="0.25">
      <c r="A322" s="206"/>
    </row>
    <row r="323" spans="1:1" s="493" customFormat="1" x14ac:dyDescent="0.25">
      <c r="A323" s="206"/>
    </row>
    <row r="324" spans="1:1" s="493" customFormat="1" x14ac:dyDescent="0.25">
      <c r="A324" s="206"/>
    </row>
    <row r="325" spans="1:1" s="493" customFormat="1" x14ac:dyDescent="0.25">
      <c r="A325" s="206"/>
    </row>
    <row r="326" spans="1:1" s="493" customFormat="1" x14ac:dyDescent="0.25">
      <c r="A326" s="206"/>
    </row>
    <row r="327" spans="1:1" s="493" customFormat="1" x14ac:dyDescent="0.25">
      <c r="A327" s="206"/>
    </row>
    <row r="328" spans="1:1" s="493" customFormat="1" x14ac:dyDescent="0.25">
      <c r="A328" s="206"/>
    </row>
    <row r="329" spans="1:1" s="493" customFormat="1" x14ac:dyDescent="0.25">
      <c r="A329" s="206"/>
    </row>
    <row r="330" spans="1:1" s="493" customFormat="1" x14ac:dyDescent="0.25">
      <c r="A330" s="206"/>
    </row>
    <row r="331" spans="1:1" s="493" customFormat="1" x14ac:dyDescent="0.25">
      <c r="A331" s="206"/>
    </row>
    <row r="332" spans="1:1" s="493" customFormat="1" x14ac:dyDescent="0.25">
      <c r="A332" s="206"/>
    </row>
    <row r="333" spans="1:1" s="493" customFormat="1" x14ac:dyDescent="0.25">
      <c r="A333" s="206"/>
    </row>
    <row r="334" spans="1:1" s="493" customFormat="1" x14ac:dyDescent="0.25">
      <c r="A334" s="206"/>
    </row>
    <row r="335" spans="1:1" s="493" customFormat="1" x14ac:dyDescent="0.25">
      <c r="A335" s="206"/>
    </row>
    <row r="336" spans="1:1" s="493" customFormat="1" x14ac:dyDescent="0.25">
      <c r="A336" s="206"/>
    </row>
    <row r="337" spans="1:1" s="493" customFormat="1" x14ac:dyDescent="0.25">
      <c r="A337" s="206"/>
    </row>
    <row r="338" spans="1:1" s="493" customFormat="1" x14ac:dyDescent="0.25">
      <c r="A338" s="206"/>
    </row>
    <row r="339" spans="1:1" s="493" customFormat="1" x14ac:dyDescent="0.25">
      <c r="A339" s="206"/>
    </row>
    <row r="340" spans="1:1" s="493" customFormat="1" x14ac:dyDescent="0.25">
      <c r="A340" s="206"/>
    </row>
    <row r="341" spans="1:1" s="493" customFormat="1" x14ac:dyDescent="0.25">
      <c r="A341" s="206"/>
    </row>
    <row r="342" spans="1:1" s="493" customFormat="1" x14ac:dyDescent="0.25">
      <c r="A342" s="206"/>
    </row>
    <row r="343" spans="1:1" s="493" customFormat="1" x14ac:dyDescent="0.25">
      <c r="A343" s="206"/>
    </row>
    <row r="344" spans="1:1" s="493" customFormat="1" x14ac:dyDescent="0.25">
      <c r="A344" s="206"/>
    </row>
    <row r="345" spans="1:1" s="493" customFormat="1" x14ac:dyDescent="0.25">
      <c r="A345" s="206"/>
    </row>
    <row r="346" spans="1:1" s="493" customFormat="1" x14ac:dyDescent="0.25">
      <c r="A346" s="206"/>
    </row>
    <row r="347" spans="1:1" s="493" customFormat="1" x14ac:dyDescent="0.25">
      <c r="A347" s="206"/>
    </row>
    <row r="348" spans="1:1" s="493" customFormat="1" x14ac:dyDescent="0.25">
      <c r="A348" s="206"/>
    </row>
    <row r="349" spans="1:1" s="493" customFormat="1" x14ac:dyDescent="0.25">
      <c r="A349" s="206"/>
    </row>
    <row r="350" spans="1:1" s="493" customFormat="1" x14ac:dyDescent="0.25">
      <c r="A350" s="206"/>
    </row>
    <row r="351" spans="1:1" s="493" customFormat="1" x14ac:dyDescent="0.25">
      <c r="A351" s="206"/>
    </row>
    <row r="352" spans="1:1" s="493" customFormat="1" x14ac:dyDescent="0.25">
      <c r="A352" s="206"/>
    </row>
    <row r="353" spans="1:1" s="493" customFormat="1" x14ac:dyDescent="0.25">
      <c r="A353" s="206"/>
    </row>
    <row r="354" spans="1:1" s="493" customFormat="1" x14ac:dyDescent="0.25">
      <c r="A354" s="206"/>
    </row>
    <row r="355" spans="1:1" s="493" customFormat="1" x14ac:dyDescent="0.25">
      <c r="A355" s="206"/>
    </row>
    <row r="356" spans="1:1" s="493" customFormat="1" x14ac:dyDescent="0.25">
      <c r="A356" s="206"/>
    </row>
    <row r="357" spans="1:1" s="493" customFormat="1" x14ac:dyDescent="0.25">
      <c r="A357" s="206"/>
    </row>
    <row r="358" spans="1:1" s="493" customFormat="1" x14ac:dyDescent="0.25">
      <c r="A358" s="206"/>
    </row>
    <row r="359" spans="1:1" s="493" customFormat="1" x14ac:dyDescent="0.25">
      <c r="A359" s="206"/>
    </row>
    <row r="360" spans="1:1" s="493" customFormat="1" x14ac:dyDescent="0.25">
      <c r="A360" s="206"/>
    </row>
    <row r="361" spans="1:1" s="493" customFormat="1" x14ac:dyDescent="0.25">
      <c r="A361" s="206"/>
    </row>
    <row r="362" spans="1:1" s="493" customFormat="1" x14ac:dyDescent="0.25">
      <c r="A362" s="206"/>
    </row>
    <row r="363" spans="1:1" s="493" customFormat="1" x14ac:dyDescent="0.25">
      <c r="A363" s="206"/>
    </row>
    <row r="364" spans="1:1" s="493" customFormat="1" x14ac:dyDescent="0.25">
      <c r="A364" s="206"/>
    </row>
    <row r="365" spans="1:1" s="493" customFormat="1" x14ac:dyDescent="0.25">
      <c r="A365" s="206"/>
    </row>
    <row r="366" spans="1:1" s="493" customFormat="1" x14ac:dyDescent="0.25">
      <c r="A366" s="206"/>
    </row>
    <row r="367" spans="1:1" s="493" customFormat="1" x14ac:dyDescent="0.25">
      <c r="A367" s="206"/>
    </row>
    <row r="368" spans="1:1" s="493" customFormat="1" x14ac:dyDescent="0.25">
      <c r="A368" s="206"/>
    </row>
    <row r="369" spans="1:1" s="493" customFormat="1" x14ac:dyDescent="0.25">
      <c r="A369" s="206"/>
    </row>
    <row r="370" spans="1:1" s="493" customFormat="1" x14ac:dyDescent="0.25">
      <c r="A370" s="206"/>
    </row>
    <row r="371" spans="1:1" s="493" customFormat="1" x14ac:dyDescent="0.25">
      <c r="A371" s="206"/>
    </row>
    <row r="372" spans="1:1" s="493" customFormat="1" x14ac:dyDescent="0.25">
      <c r="A372" s="206"/>
    </row>
    <row r="373" spans="1:1" s="493" customFormat="1" x14ac:dyDescent="0.25">
      <c r="A373" s="206"/>
    </row>
    <row r="374" spans="1:1" s="493" customFormat="1" x14ac:dyDescent="0.25">
      <c r="A374" s="206"/>
    </row>
    <row r="375" spans="1:1" s="493" customFormat="1" x14ac:dyDescent="0.25">
      <c r="A375" s="206"/>
    </row>
    <row r="376" spans="1:1" s="493" customFormat="1" x14ac:dyDescent="0.25">
      <c r="A376" s="206"/>
    </row>
    <row r="377" spans="1:1" s="493" customFormat="1" x14ac:dyDescent="0.25">
      <c r="A377" s="206"/>
    </row>
    <row r="378" spans="1:1" s="493" customFormat="1" x14ac:dyDescent="0.25">
      <c r="A378" s="206"/>
    </row>
    <row r="379" spans="1:1" s="493" customFormat="1" x14ac:dyDescent="0.25">
      <c r="A379" s="206"/>
    </row>
    <row r="380" spans="1:1" s="493" customFormat="1" x14ac:dyDescent="0.25">
      <c r="A380" s="206"/>
    </row>
    <row r="381" spans="1:1" s="493" customFormat="1" x14ac:dyDescent="0.25">
      <c r="A381" s="206"/>
    </row>
    <row r="382" spans="1:1" s="493" customFormat="1" x14ac:dyDescent="0.25">
      <c r="A382" s="206"/>
    </row>
    <row r="383" spans="1:1" s="493" customFormat="1" x14ac:dyDescent="0.25">
      <c r="A383" s="206"/>
    </row>
    <row r="384" spans="1:1" s="493" customFormat="1" x14ac:dyDescent="0.25">
      <c r="A384" s="206"/>
    </row>
    <row r="385" spans="1:1" s="493" customFormat="1" x14ac:dyDescent="0.25">
      <c r="A385" s="206"/>
    </row>
    <row r="386" spans="1:1" s="493" customFormat="1" x14ac:dyDescent="0.25">
      <c r="A386" s="206"/>
    </row>
    <row r="387" spans="1:1" s="493" customFormat="1" x14ac:dyDescent="0.25">
      <c r="A387" s="206"/>
    </row>
    <row r="388" spans="1:1" s="493" customFormat="1" x14ac:dyDescent="0.25">
      <c r="A388" s="206"/>
    </row>
    <row r="389" spans="1:1" s="493" customFormat="1" x14ac:dyDescent="0.25">
      <c r="A389" s="206"/>
    </row>
    <row r="390" spans="1:1" s="493" customFormat="1" x14ac:dyDescent="0.25">
      <c r="A390" s="206"/>
    </row>
    <row r="391" spans="1:1" s="493" customFormat="1" x14ac:dyDescent="0.25">
      <c r="A391" s="206"/>
    </row>
    <row r="392" spans="1:1" s="493" customFormat="1" x14ac:dyDescent="0.25">
      <c r="A392" s="206"/>
    </row>
    <row r="393" spans="1:1" s="493" customFormat="1" x14ac:dyDescent="0.25">
      <c r="A393" s="206"/>
    </row>
    <row r="394" spans="1:1" s="493" customFormat="1" x14ac:dyDescent="0.25">
      <c r="A394" s="206"/>
    </row>
    <row r="395" spans="1:1" s="493" customFormat="1" x14ac:dyDescent="0.25">
      <c r="A395" s="206"/>
    </row>
    <row r="396" spans="1:1" s="493" customFormat="1" x14ac:dyDescent="0.25">
      <c r="A396" s="206"/>
    </row>
    <row r="397" spans="1:1" s="493" customFormat="1" x14ac:dyDescent="0.25">
      <c r="A397" s="206"/>
    </row>
    <row r="398" spans="1:1" s="493" customFormat="1" x14ac:dyDescent="0.25">
      <c r="A398" s="206"/>
    </row>
    <row r="399" spans="1:1" s="493" customFormat="1" x14ac:dyDescent="0.25">
      <c r="A399" s="206"/>
    </row>
    <row r="400" spans="1:1" s="493" customFormat="1" x14ac:dyDescent="0.25">
      <c r="A400" s="206"/>
    </row>
    <row r="401" spans="1:1" s="493" customFormat="1" x14ac:dyDescent="0.25">
      <c r="A401" s="206"/>
    </row>
    <row r="402" spans="1:1" s="493" customFormat="1" x14ac:dyDescent="0.25">
      <c r="A402" s="206"/>
    </row>
    <row r="403" spans="1:1" s="493" customFormat="1" x14ac:dyDescent="0.25">
      <c r="A403" s="206"/>
    </row>
    <row r="404" spans="1:1" s="493" customFormat="1" x14ac:dyDescent="0.25">
      <c r="A404" s="206"/>
    </row>
    <row r="405" spans="1:1" s="493" customFormat="1" x14ac:dyDescent="0.25">
      <c r="A405" s="206"/>
    </row>
    <row r="406" spans="1:1" s="493" customFormat="1" x14ac:dyDescent="0.25">
      <c r="A406" s="206"/>
    </row>
    <row r="407" spans="1:1" s="493" customFormat="1" x14ac:dyDescent="0.25">
      <c r="A407" s="206"/>
    </row>
    <row r="408" spans="1:1" s="493" customFormat="1" x14ac:dyDescent="0.25">
      <c r="A408" s="206"/>
    </row>
    <row r="409" spans="1:1" s="493" customFormat="1" x14ac:dyDescent="0.25">
      <c r="A409" s="206"/>
    </row>
    <row r="410" spans="1:1" s="493" customFormat="1" x14ac:dyDescent="0.25">
      <c r="A410" s="206"/>
    </row>
    <row r="411" spans="1:1" s="493" customFormat="1" x14ac:dyDescent="0.25">
      <c r="A411" s="206"/>
    </row>
    <row r="412" spans="1:1" s="493" customFormat="1" x14ac:dyDescent="0.25">
      <c r="A412" s="206"/>
    </row>
    <row r="413" spans="1:1" s="493" customFormat="1" x14ac:dyDescent="0.25">
      <c r="A413" s="206"/>
    </row>
    <row r="414" spans="1:1" s="493" customFormat="1" x14ac:dyDescent="0.25">
      <c r="A414" s="206"/>
    </row>
    <row r="415" spans="1:1" s="493" customFormat="1" x14ac:dyDescent="0.25">
      <c r="A415" s="206"/>
    </row>
    <row r="416" spans="1:1" s="493" customFormat="1" x14ac:dyDescent="0.25">
      <c r="A416" s="206"/>
    </row>
    <row r="417" spans="1:1" s="493" customFormat="1" x14ac:dyDescent="0.25">
      <c r="A417" s="206"/>
    </row>
    <row r="418" spans="1:1" s="493" customFormat="1" x14ac:dyDescent="0.25">
      <c r="A418" s="206"/>
    </row>
    <row r="419" spans="1:1" s="493" customFormat="1" x14ac:dyDescent="0.25">
      <c r="A419" s="206"/>
    </row>
    <row r="420" spans="1:1" s="493" customFormat="1" x14ac:dyDescent="0.25">
      <c r="A420" s="206"/>
    </row>
    <row r="421" spans="1:1" s="493" customFormat="1" x14ac:dyDescent="0.25">
      <c r="A421" s="206"/>
    </row>
    <row r="422" spans="1:1" s="493" customFormat="1" x14ac:dyDescent="0.25">
      <c r="A422" s="206"/>
    </row>
    <row r="423" spans="1:1" s="493" customFormat="1" x14ac:dyDescent="0.25">
      <c r="A423" s="206"/>
    </row>
    <row r="424" spans="1:1" s="493" customFormat="1" x14ac:dyDescent="0.25">
      <c r="A424" s="206"/>
    </row>
    <row r="425" spans="1:1" s="493" customFormat="1" x14ac:dyDescent="0.25">
      <c r="A425" s="206"/>
    </row>
    <row r="426" spans="1:1" s="493" customFormat="1" x14ac:dyDescent="0.25">
      <c r="A426" s="206"/>
    </row>
    <row r="427" spans="1:1" s="493" customFormat="1" x14ac:dyDescent="0.25">
      <c r="A427" s="206"/>
    </row>
    <row r="428" spans="1:1" s="493" customFormat="1" x14ac:dyDescent="0.25">
      <c r="A428" s="206"/>
    </row>
    <row r="429" spans="1:1" s="493" customFormat="1" x14ac:dyDescent="0.25">
      <c r="A429" s="206"/>
    </row>
    <row r="430" spans="1:1" s="493" customFormat="1" x14ac:dyDescent="0.25">
      <c r="A430" s="206"/>
    </row>
    <row r="431" spans="1:1" s="493" customFormat="1" x14ac:dyDescent="0.25">
      <c r="A431" s="206"/>
    </row>
    <row r="432" spans="1:1" s="493" customFormat="1" x14ac:dyDescent="0.25">
      <c r="A432" s="206"/>
    </row>
    <row r="433" spans="1:1" s="493" customFormat="1" x14ac:dyDescent="0.25">
      <c r="A433" s="206"/>
    </row>
    <row r="434" spans="1:1" s="493" customFormat="1" x14ac:dyDescent="0.25">
      <c r="A434" s="206"/>
    </row>
    <row r="435" spans="1:1" s="493" customFormat="1" x14ac:dyDescent="0.25">
      <c r="A435" s="206"/>
    </row>
    <row r="436" spans="1:1" s="493" customFormat="1" x14ac:dyDescent="0.25">
      <c r="A436" s="206"/>
    </row>
    <row r="437" spans="1:1" s="493" customFormat="1" x14ac:dyDescent="0.25">
      <c r="A437" s="206"/>
    </row>
    <row r="438" spans="1:1" s="493" customFormat="1" x14ac:dyDescent="0.25">
      <c r="A438" s="206"/>
    </row>
    <row r="439" spans="1:1" s="493" customFormat="1" x14ac:dyDescent="0.25">
      <c r="A439" s="206"/>
    </row>
    <row r="440" spans="1:1" s="493" customFormat="1" x14ac:dyDescent="0.25">
      <c r="A440" s="206"/>
    </row>
    <row r="441" spans="1:1" s="493" customFormat="1" x14ac:dyDescent="0.25">
      <c r="A441" s="206"/>
    </row>
    <row r="442" spans="1:1" s="493" customFormat="1" x14ac:dyDescent="0.25">
      <c r="A442" s="206"/>
    </row>
    <row r="443" spans="1:1" s="493" customFormat="1" x14ac:dyDescent="0.25">
      <c r="A443" s="206"/>
    </row>
    <row r="444" spans="1:1" s="493" customFormat="1" x14ac:dyDescent="0.25">
      <c r="A444" s="206"/>
    </row>
    <row r="445" spans="1:1" s="493" customFormat="1" x14ac:dyDescent="0.25">
      <c r="A445" s="206"/>
    </row>
    <row r="446" spans="1:1" s="493" customFormat="1" x14ac:dyDescent="0.25">
      <c r="A446" s="206"/>
    </row>
    <row r="447" spans="1:1" s="493" customFormat="1" x14ac:dyDescent="0.25">
      <c r="A447" s="206"/>
    </row>
    <row r="448" spans="1:1" s="493" customFormat="1" x14ac:dyDescent="0.25">
      <c r="A448" s="206"/>
    </row>
    <row r="449" spans="1:1" s="493" customFormat="1" x14ac:dyDescent="0.25">
      <c r="A449" s="206"/>
    </row>
    <row r="450" spans="1:1" s="493" customFormat="1" x14ac:dyDescent="0.25">
      <c r="A450" s="206"/>
    </row>
    <row r="451" spans="1:1" s="493" customFormat="1" x14ac:dyDescent="0.25">
      <c r="A451" s="206"/>
    </row>
    <row r="452" spans="1:1" s="493" customFormat="1" x14ac:dyDescent="0.25">
      <c r="A452" s="206"/>
    </row>
    <row r="453" spans="1:1" s="493" customFormat="1" x14ac:dyDescent="0.25">
      <c r="A453" s="206"/>
    </row>
    <row r="454" spans="1:1" s="493" customFormat="1" x14ac:dyDescent="0.25">
      <c r="A454" s="206"/>
    </row>
    <row r="455" spans="1:1" s="493" customFormat="1" x14ac:dyDescent="0.25">
      <c r="A455" s="206"/>
    </row>
    <row r="456" spans="1:1" s="493" customFormat="1" x14ac:dyDescent="0.25">
      <c r="A456" s="206"/>
    </row>
    <row r="457" spans="1:1" s="493" customFormat="1" x14ac:dyDescent="0.25">
      <c r="A457" s="206"/>
    </row>
    <row r="458" spans="1:1" s="493" customFormat="1" x14ac:dyDescent="0.25">
      <c r="A458" s="206"/>
    </row>
  </sheetData>
  <sheetProtection sheet="1" algorithmName="SHA-512" hashValue="PUsrCzHmK8mFEsyLwFfzmvNcYe/0M1tPNTwG/l/CY+zsrUP2qDGQ6Z7sLmhVlLBvqttnM6pUiGMGy0XayIkUVg==" saltValue="bBSzv8oGo3T7PzwAw8ItRQ==" spinCount="100000" objects="1" scenarios="1"/>
  <mergeCells count="40">
    <mergeCell ref="A1:H1"/>
    <mergeCell ref="C9:G9"/>
    <mergeCell ref="A9:A11"/>
    <mergeCell ref="B9:B11"/>
    <mergeCell ref="C10:D10"/>
    <mergeCell ref="E10:F10"/>
    <mergeCell ref="H9:H11"/>
    <mergeCell ref="I9:I11"/>
    <mergeCell ref="G10:G11"/>
    <mergeCell ref="A26:I26"/>
    <mergeCell ref="C30:G30"/>
    <mergeCell ref="A30:A32"/>
    <mergeCell ref="B30:B32"/>
    <mergeCell ref="C31:D31"/>
    <mergeCell ref="E31:F31"/>
    <mergeCell ref="H30:H32"/>
    <mergeCell ref="I30:I32"/>
    <mergeCell ref="G31:G32"/>
    <mergeCell ref="A59:H59"/>
    <mergeCell ref="A61:H61"/>
    <mergeCell ref="C63:G64"/>
    <mergeCell ref="A63:A64"/>
    <mergeCell ref="B63:B64"/>
    <mergeCell ref="H63:H64"/>
    <mergeCell ref="C65:G65"/>
    <mergeCell ref="C66:G66"/>
    <mergeCell ref="C67:G67"/>
    <mergeCell ref="A68:H68"/>
    <mergeCell ref="A70:I70"/>
    <mergeCell ref="A72:A73"/>
    <mergeCell ref="B72:B73"/>
    <mergeCell ref="C72:C73"/>
    <mergeCell ref="D72:D73"/>
    <mergeCell ref="A74:B74"/>
    <mergeCell ref="A76:I76"/>
    <mergeCell ref="A78:I78"/>
    <mergeCell ref="A79:I79"/>
    <mergeCell ref="C80:D80"/>
    <mergeCell ref="A80:A81"/>
    <mergeCell ref="B80:B81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34" fitToWidth="1" fitToHeight="1" firstPageNumber="1" useFirstPageNumber="1" copies="1"/>
  <headerFooter>
    <oddFooter>&amp;R&amp;P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2"/>
  <sheetViews>
    <sheetView workbookViewId="0" zoomScale="100" zoomScaleNormal="60" view="pageBreakPreview">
      <selection activeCell="B15" sqref="B15"/>
    </sheetView>
  </sheetViews>
  <sheetFormatPr defaultRowHeight="17.25" outlineLevelRow="0" outlineLevelCol="0" x14ac:dyDescent="0" defaultColWidth="10" customHeight="1"/>
  <cols>
    <col min="1" max="1" width="11.7265625" style="318" customWidth="1"/>
    <col min="2" max="2" width="85.6328125" style="563" customWidth="1"/>
    <col min="3" max="3" width="21.81640625" style="341" customWidth="1"/>
    <col min="4" max="6" width="21.81640625" style="317" customWidth="1"/>
    <col min="7" max="7" width="25.08984375" style="317" customWidth="1"/>
    <col min="8" max="8" width="23.7265625" style="317" customWidth="1"/>
    <col min="9" max="9" width="24.1796875" style="317" customWidth="1"/>
    <col min="10" max="10" width="11.90625" style="317" customWidth="1"/>
    <col min="11" max="16384" width="10" style="317" customWidth="1"/>
  </cols>
  <sheetData>
    <row r="1" ht="29.25" customHeight="1" spans="1:9" x14ac:dyDescent="0.25">
      <c r="A1" s="119" t="s">
        <v>1323</v>
      </c>
      <c r="B1" s="119"/>
      <c r="C1" s="119"/>
      <c r="D1" s="119"/>
      <c r="E1" s="119"/>
      <c r="F1" s="119"/>
      <c r="G1" s="119"/>
      <c r="H1" s="119"/>
      <c r="I1" s="564" t="s">
        <v>84</v>
      </c>
    </row>
    <row r="2" ht="31.5" customHeight="1" spans="2:1024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3"/>
      <c r="K2" s="323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</row>
    <row r="3" ht="17.5" customHeight="1" spans="2:11" s="343" customFormat="1" x14ac:dyDescent="0.25">
      <c r="B3" s="344"/>
      <c r="E3" s="345"/>
      <c r="F3" s="345"/>
      <c r="G3" s="345"/>
      <c r="H3" s="345"/>
      <c r="I3" s="345"/>
      <c r="J3" s="345"/>
      <c r="K3" s="345"/>
    </row>
    <row r="4" ht="9.75" customHeight="1" spans="1:11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</row>
    <row r="5" ht="17.5" customHeight="1" spans="1:11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</row>
    <row r="6" ht="17.5" customHeight="1" spans="3:11" s="343" customFormat="1" x14ac:dyDescent="0.25">
      <c r="C6" s="345"/>
      <c r="E6" s="345"/>
      <c r="F6" s="345"/>
      <c r="G6" s="345"/>
      <c r="H6" s="345"/>
      <c r="I6" s="345"/>
      <c r="J6" s="345"/>
      <c r="K6" s="345"/>
    </row>
    <row r="7" ht="18" customHeight="1" spans="1:9" x14ac:dyDescent="0.25">
      <c r="A7" s="317"/>
      <c r="B7" s="317"/>
      <c r="C7" s="317"/>
      <c r="D7" s="317"/>
      <c r="E7" s="317"/>
      <c r="F7" s="317"/>
      <c r="G7" s="317"/>
      <c r="H7" s="317"/>
      <c r="I7" s="317"/>
    </row>
    <row r="8" ht="18" customHeight="1" spans="1:9" x14ac:dyDescent="0.25">
      <c r="A8" s="157" t="s">
        <v>1213</v>
      </c>
      <c r="B8" s="565"/>
      <c r="C8" s="117"/>
      <c r="D8" s="117"/>
      <c r="E8" s="117"/>
      <c r="F8" s="117"/>
      <c r="G8" s="117"/>
      <c r="H8" s="117"/>
      <c r="I8" s="117"/>
    </row>
    <row r="9" ht="17.25" customHeight="1" spans="1:9" s="17" customFormat="1" x14ac:dyDescent="0.25">
      <c r="A9" s="135" t="s">
        <v>113</v>
      </c>
      <c r="B9" s="135" t="s">
        <v>145</v>
      </c>
      <c r="C9" s="135" t="s">
        <v>1214</v>
      </c>
      <c r="D9" s="135"/>
      <c r="E9" s="135"/>
      <c r="F9" s="135"/>
      <c r="G9" s="135"/>
      <c r="H9" s="566" t="s">
        <v>1215</v>
      </c>
      <c r="I9" s="135" t="s">
        <v>1101</v>
      </c>
    </row>
    <row r="10" ht="25.5" customHeight="1" spans="1:9" s="17" customFormat="1" x14ac:dyDescent="0.25">
      <c r="A10" s="135"/>
      <c r="B10" s="135"/>
      <c r="C10" s="135" t="s">
        <v>1216</v>
      </c>
      <c r="D10" s="135"/>
      <c r="E10" s="135" t="s">
        <v>1217</v>
      </c>
      <c r="F10" s="135"/>
      <c r="G10" s="135" t="s">
        <v>1218</v>
      </c>
      <c r="H10" s="566"/>
      <c r="I10" s="566"/>
    </row>
    <row r="11" ht="51" customHeight="1" spans="1:9" s="17" customFormat="1" x14ac:dyDescent="0.25">
      <c r="A11" s="135"/>
      <c r="B11" s="135"/>
      <c r="C11" s="135" t="s">
        <v>1219</v>
      </c>
      <c r="D11" s="135" t="s">
        <v>1220</v>
      </c>
      <c r="E11" s="135" t="s">
        <v>1219</v>
      </c>
      <c r="F11" s="135" t="s">
        <v>1220</v>
      </c>
      <c r="G11" s="135"/>
      <c r="H11" s="566"/>
      <c r="I11" s="135"/>
    </row>
    <row r="12" ht="31.5" customHeight="1" spans="1:9" s="418" customFormat="1" x14ac:dyDescent="0.25">
      <c r="A12" s="62" t="s">
        <v>1324</v>
      </c>
      <c r="B12" s="139" t="s">
        <v>1325</v>
      </c>
      <c r="C12" s="567"/>
      <c r="D12" s="567"/>
      <c r="E12" s="567"/>
      <c r="F12" s="567"/>
      <c r="G12" s="567"/>
      <c r="H12" s="568">
        <v>0.04</v>
      </c>
      <c r="I12" s="567">
        <v>0</v>
      </c>
    </row>
    <row r="13" ht="31.5" customHeight="1" spans="1:9" s="418" customFormat="1" x14ac:dyDescent="0.25">
      <c r="A13" s="62" t="s">
        <v>1326</v>
      </c>
      <c r="B13" s="139" t="s">
        <v>1327</v>
      </c>
      <c r="C13" s="567"/>
      <c r="D13" s="567"/>
      <c r="E13" s="567"/>
      <c r="F13" s="567"/>
      <c r="G13" s="567"/>
      <c r="H13" s="568">
        <v>0.08</v>
      </c>
      <c r="I13" s="567">
        <v>0</v>
      </c>
    </row>
    <row r="14" ht="17.5" customHeight="1" spans="1:9" s="418" customFormat="1" x14ac:dyDescent="0.25">
      <c r="A14" s="569"/>
      <c r="B14" s="138"/>
      <c r="C14" s="138"/>
      <c r="D14" s="138"/>
      <c r="E14" s="138"/>
      <c r="F14" s="138"/>
      <c r="G14" s="570"/>
      <c r="H14" s="570"/>
      <c r="I14" s="571"/>
    </row>
    <row r="15" ht="27.75" customHeight="1" spans="1:9" s="17" customFormat="1" x14ac:dyDescent="0.25">
      <c r="A15" s="56" t="s">
        <v>1328</v>
      </c>
      <c r="B15" s="572" t="s">
        <v>1329</v>
      </c>
      <c r="C15" s="573"/>
      <c r="D15" s="573"/>
      <c r="E15" s="573"/>
      <c r="F15" s="573"/>
      <c r="G15" s="574"/>
      <c r="H15" s="574"/>
      <c r="I15" s="567">
        <v>0</v>
      </c>
    </row>
    <row r="16" ht="13.5" customHeight="1" spans="1:9" s="418" customFormat="1" x14ac:dyDescent="0.25">
      <c r="A16" s="575"/>
      <c r="B16" s="575"/>
      <c r="C16" s="575"/>
      <c r="D16" s="575"/>
      <c r="E16" s="575"/>
      <c r="F16" s="575"/>
      <c r="G16" s="575"/>
      <c r="H16" s="575"/>
      <c r="I16" s="575"/>
    </row>
    <row r="17" ht="18" customHeight="1" spans="1:9" x14ac:dyDescent="0.25">
      <c r="A17" s="157" t="s">
        <v>1251</v>
      </c>
      <c r="B17" s="576"/>
      <c r="C17" s="130"/>
      <c r="D17" s="130"/>
      <c r="E17" s="130"/>
      <c r="F17" s="130"/>
      <c r="G17" s="130"/>
      <c r="H17" s="130"/>
      <c r="I17" s="130"/>
    </row>
    <row r="18" ht="18" customHeight="1" spans="1:9" s="17" customFormat="1" x14ac:dyDescent="0.25">
      <c r="A18" s="135" t="s">
        <v>113</v>
      </c>
      <c r="B18" s="135" t="s">
        <v>145</v>
      </c>
      <c r="C18" s="135" t="s">
        <v>1214</v>
      </c>
      <c r="D18" s="135"/>
      <c r="E18" s="135"/>
      <c r="F18" s="135"/>
      <c r="G18" s="135"/>
      <c r="H18" s="135" t="s">
        <v>1215</v>
      </c>
      <c r="I18" s="135" t="s">
        <v>1101</v>
      </c>
    </row>
    <row r="19" ht="25.5" customHeight="1" spans="1:9" s="17" customFormat="1" x14ac:dyDescent="0.25">
      <c r="A19" s="135"/>
      <c r="B19" s="135"/>
      <c r="C19" s="135" t="s">
        <v>1216</v>
      </c>
      <c r="D19" s="135"/>
      <c r="E19" s="135" t="s">
        <v>1217</v>
      </c>
      <c r="F19" s="135"/>
      <c r="G19" s="135" t="s">
        <v>1218</v>
      </c>
      <c r="H19" s="135"/>
      <c r="I19" s="135"/>
    </row>
    <row r="20" ht="51" customHeight="1" spans="1:9" s="17" customFormat="1" x14ac:dyDescent="0.25">
      <c r="A20" s="135"/>
      <c r="B20" s="135"/>
      <c r="C20" s="135" t="s">
        <v>1219</v>
      </c>
      <c r="D20" s="135" t="s">
        <v>1220</v>
      </c>
      <c r="E20" s="135" t="s">
        <v>1219</v>
      </c>
      <c r="F20" s="135" t="s">
        <v>1220</v>
      </c>
      <c r="G20" s="135"/>
      <c r="H20" s="135"/>
      <c r="I20" s="135"/>
    </row>
    <row r="21" ht="39" customHeight="1" spans="1:9" s="418" customFormat="1" x14ac:dyDescent="0.25">
      <c r="A21" s="62" t="s">
        <v>1330</v>
      </c>
      <c r="B21" s="139" t="s">
        <v>1331</v>
      </c>
      <c r="C21" s="567"/>
      <c r="D21" s="567"/>
      <c r="E21" s="567"/>
      <c r="F21" s="567"/>
      <c r="G21" s="567"/>
      <c r="H21" s="568">
        <v>0.02</v>
      </c>
      <c r="I21" s="567">
        <v>0</v>
      </c>
    </row>
    <row r="22" ht="41.25" customHeight="1" spans="1:9" s="418" customFormat="1" x14ac:dyDescent="0.25">
      <c r="A22" s="62" t="s">
        <v>1332</v>
      </c>
      <c r="B22" s="139" t="s">
        <v>1333</v>
      </c>
      <c r="C22" s="567"/>
      <c r="D22" s="567"/>
      <c r="E22" s="567"/>
      <c r="F22" s="567"/>
      <c r="G22" s="567"/>
      <c r="H22" s="568">
        <v>0.08</v>
      </c>
      <c r="I22" s="567">
        <v>0</v>
      </c>
    </row>
    <row r="23" ht="13.5" customHeight="1" spans="1:9" s="418" customFormat="1" x14ac:dyDescent="0.25">
      <c r="A23" s="577"/>
      <c r="B23" s="577"/>
      <c r="C23" s="577"/>
      <c r="D23" s="577"/>
      <c r="E23" s="577"/>
      <c r="F23" s="577"/>
      <c r="G23" s="577"/>
      <c r="H23" s="577"/>
      <c r="I23" s="577"/>
    </row>
    <row r="24" ht="27.75" customHeight="1" spans="1:9" s="17" customFormat="1" x14ac:dyDescent="0.25">
      <c r="A24" s="56" t="s">
        <v>1334</v>
      </c>
      <c r="B24" s="572" t="s">
        <v>1306</v>
      </c>
      <c r="C24" s="573"/>
      <c r="D24" s="573"/>
      <c r="E24" s="573"/>
      <c r="F24" s="573"/>
      <c r="G24" s="574"/>
      <c r="H24" s="574"/>
      <c r="I24" s="567">
        <v>0</v>
      </c>
    </row>
    <row r="25" ht="13.5" customHeight="1" spans="1:9" s="418" customFormat="1" x14ac:dyDescent="0.25">
      <c r="A25" s="575"/>
      <c r="B25" s="575"/>
      <c r="C25" s="575"/>
      <c r="D25" s="575"/>
      <c r="E25" s="575"/>
      <c r="F25" s="575"/>
      <c r="G25" s="575"/>
      <c r="H25" s="575"/>
      <c r="I25" s="575"/>
    </row>
    <row r="26" ht="18" customHeight="1" spans="1:9" x14ac:dyDescent="0.25">
      <c r="A26" s="157" t="s">
        <v>1307</v>
      </c>
      <c r="B26" s="576"/>
      <c r="C26" s="130"/>
      <c r="D26" s="130"/>
      <c r="E26" s="130"/>
      <c r="F26" s="130"/>
      <c r="G26" s="130"/>
      <c r="H26" s="130"/>
      <c r="I26" s="130"/>
    </row>
    <row r="27" ht="18" customHeight="1" spans="1:9" s="17" customFormat="1" x14ac:dyDescent="0.25">
      <c r="A27" s="135" t="s">
        <v>113</v>
      </c>
      <c r="B27" s="158" t="s">
        <v>145</v>
      </c>
      <c r="C27" s="346"/>
      <c r="D27" s="346"/>
      <c r="E27" s="346"/>
      <c r="F27" s="346"/>
      <c r="G27" s="346"/>
      <c r="H27" s="346"/>
      <c r="I27" s="135" t="s">
        <v>1101</v>
      </c>
    </row>
    <row r="28" ht="38.25" customHeight="1" spans="1:9" s="17" customFormat="1" x14ac:dyDescent="0.25">
      <c r="A28" s="135"/>
      <c r="B28" s="158"/>
      <c r="C28" s="346"/>
      <c r="D28" s="346"/>
      <c r="E28" s="346"/>
      <c r="F28" s="346"/>
      <c r="G28" s="346"/>
      <c r="H28" s="346"/>
      <c r="I28" s="135"/>
    </row>
    <row r="29" ht="30" customHeight="1" spans="1:9" s="418" customFormat="1" x14ac:dyDescent="0.25">
      <c r="A29" s="62" t="s">
        <v>1335</v>
      </c>
      <c r="B29" s="142" t="s">
        <v>1309</v>
      </c>
      <c r="C29" s="178"/>
      <c r="D29" s="178"/>
      <c r="E29" s="178"/>
      <c r="F29" s="178"/>
      <c r="G29" s="178"/>
      <c r="H29" s="178"/>
      <c r="I29" s="567"/>
    </row>
    <row r="30" ht="30" customHeight="1" spans="1:9" s="418" customFormat="1" x14ac:dyDescent="0.25">
      <c r="A30" s="62" t="s">
        <v>1336</v>
      </c>
      <c r="B30" s="142" t="s">
        <v>1311</v>
      </c>
      <c r="C30" s="178"/>
      <c r="D30" s="178"/>
      <c r="E30" s="178"/>
      <c r="F30" s="178"/>
      <c r="G30" s="178"/>
      <c r="H30" s="178"/>
      <c r="I30" s="567"/>
    </row>
    <row r="31" ht="30" customHeight="1" spans="1:9" s="418" customFormat="1" x14ac:dyDescent="0.25">
      <c r="A31" s="62" t="s">
        <v>1337</v>
      </c>
      <c r="B31" s="142" t="s">
        <v>1313</v>
      </c>
      <c r="C31" s="178"/>
      <c r="D31" s="178"/>
      <c r="E31" s="178"/>
      <c r="F31" s="178"/>
      <c r="G31" s="178"/>
      <c r="H31" s="178"/>
      <c r="I31" s="567"/>
    </row>
    <row r="32" ht="13.5" customHeight="1" spans="1:9" s="418" customFormat="1" x14ac:dyDescent="0.25">
      <c r="A32" s="578"/>
      <c r="B32" s="578"/>
      <c r="C32" s="578"/>
      <c r="D32" s="578"/>
      <c r="E32" s="578"/>
      <c r="F32" s="578"/>
      <c r="G32" s="578"/>
      <c r="H32" s="578"/>
      <c r="I32" s="578"/>
    </row>
    <row r="33" ht="30" customHeight="1" spans="1:9" s="17" customFormat="1" x14ac:dyDescent="0.25">
      <c r="A33" s="56" t="s">
        <v>1338</v>
      </c>
      <c r="B33" s="572" t="s">
        <v>1315</v>
      </c>
      <c r="C33" s="346"/>
      <c r="D33" s="346"/>
      <c r="E33" s="346"/>
      <c r="F33" s="346"/>
      <c r="G33" s="346"/>
      <c r="H33" s="346"/>
      <c r="I33" s="567">
        <v>0</v>
      </c>
    </row>
    <row r="34" ht="13.5" customHeight="1" spans="1:9" s="418" customFormat="1" x14ac:dyDescent="0.25">
      <c r="A34" s="575"/>
      <c r="B34" s="575"/>
      <c r="C34" s="575"/>
      <c r="D34" s="575"/>
      <c r="E34" s="575"/>
      <c r="F34" s="575"/>
      <c r="G34" s="575"/>
      <c r="H34" s="575"/>
      <c r="I34" s="575"/>
    </row>
    <row r="35" ht="18" customHeight="1" spans="1:9" x14ac:dyDescent="0.25">
      <c r="A35" s="157" t="s">
        <v>1339</v>
      </c>
      <c r="B35" s="576"/>
      <c r="C35" s="130"/>
      <c r="D35" s="130"/>
      <c r="E35" s="117"/>
      <c r="F35" s="117"/>
      <c r="G35" s="117"/>
      <c r="H35" s="117"/>
      <c r="I35" s="117"/>
    </row>
    <row r="36" ht="20.25" customHeight="1" spans="1:9" s="455" customFormat="1" x14ac:dyDescent="0.25">
      <c r="A36" s="135" t="s">
        <v>113</v>
      </c>
      <c r="B36" s="158" t="s">
        <v>145</v>
      </c>
      <c r="C36" s="135" t="s">
        <v>1101</v>
      </c>
      <c r="D36" s="135" t="s">
        <v>825</v>
      </c>
      <c r="E36" s="579"/>
      <c r="F36" s="580"/>
      <c r="G36" s="580"/>
      <c r="H36" s="580"/>
      <c r="I36" s="581"/>
    </row>
    <row r="37" ht="42" customHeight="1" spans="1:9" s="455" customFormat="1" x14ac:dyDescent="0.25">
      <c r="A37" s="135"/>
      <c r="B37" s="158"/>
      <c r="C37" s="135"/>
      <c r="D37" s="135"/>
      <c r="E37" s="582"/>
      <c r="F37" s="466"/>
      <c r="G37" s="466"/>
      <c r="H37" s="466"/>
      <c r="I37" s="581"/>
    </row>
    <row r="38" ht="17.25" customHeight="1" spans="1:9" s="455" customFormat="1" x14ac:dyDescent="0.25">
      <c r="A38" s="135"/>
      <c r="B38" s="135"/>
      <c r="C38" s="566" t="s">
        <v>154</v>
      </c>
      <c r="D38" s="566" t="s">
        <v>1317</v>
      </c>
      <c r="E38" s="466"/>
      <c r="F38" s="466"/>
      <c r="G38" s="466"/>
      <c r="H38" s="466"/>
      <c r="I38" s="581"/>
    </row>
    <row r="39" ht="20" customHeight="1" spans="1:9" s="450" customFormat="1" x14ac:dyDescent="0.25">
      <c r="A39" s="147" t="s">
        <v>672</v>
      </c>
      <c r="B39" s="572" t="s">
        <v>818</v>
      </c>
      <c r="C39" s="567">
        <v>0</v>
      </c>
      <c r="D39" s="567">
        <v>0</v>
      </c>
      <c r="E39" s="582"/>
      <c r="F39" s="466"/>
      <c r="G39" s="466"/>
      <c r="H39" s="466"/>
      <c r="I39" s="467"/>
    </row>
    <row r="40" ht="20" customHeight="1" spans="1:9" s="583" customFormat="1" x14ac:dyDescent="0.25">
      <c r="A40" s="330"/>
      <c r="B40" s="584"/>
      <c r="C40" s="585"/>
      <c r="D40" s="585"/>
      <c r="E40" s="586"/>
      <c r="F40" s="586"/>
      <c r="G40" s="586"/>
      <c r="H40" s="586"/>
      <c r="I40" s="587"/>
    </row>
    <row r="41" ht="13.5" customHeight="1" spans="1:9" s="418" customFormat="1" x14ac:dyDescent="0.25">
      <c r="A41" s="588"/>
      <c r="B41" s="588"/>
      <c r="C41" s="588"/>
      <c r="D41" s="588"/>
      <c r="E41" s="588"/>
      <c r="F41" s="588"/>
      <c r="G41" s="588"/>
      <c r="H41" s="588"/>
      <c r="I41" s="588"/>
    </row>
    <row r="42" ht="17.25" customHeight="1" spans="1:9" s="418" customFormat="1" x14ac:dyDescent="0.25">
      <c r="A42" s="589" t="s">
        <v>1318</v>
      </c>
      <c r="B42" s="589"/>
      <c r="C42" s="589"/>
      <c r="D42" s="589"/>
      <c r="E42" s="589"/>
      <c r="F42" s="589"/>
      <c r="G42" s="589"/>
      <c r="H42" s="589"/>
      <c r="I42" s="60"/>
    </row>
    <row r="43" ht="13.5" customHeight="1" spans="1:9" s="418" customFormat="1" x14ac:dyDescent="0.25">
      <c r="A43" s="588"/>
      <c r="B43" s="588"/>
      <c r="C43" s="588"/>
      <c r="D43" s="588"/>
      <c r="E43" s="588"/>
      <c r="F43" s="588"/>
      <c r="G43" s="588"/>
      <c r="H43" s="588"/>
      <c r="I43" s="588"/>
    </row>
    <row r="44" ht="17.25" customHeight="1" spans="1:9" x14ac:dyDescent="0.25">
      <c r="A44" s="158" t="s">
        <v>113</v>
      </c>
      <c r="B44" s="135" t="s">
        <v>145</v>
      </c>
      <c r="C44" s="135" t="s">
        <v>1216</v>
      </c>
      <c r="D44" s="135"/>
      <c r="E44" s="565"/>
      <c r="F44" s="565"/>
      <c r="G44" s="565"/>
      <c r="H44" s="565"/>
      <c r="I44" s="50"/>
    </row>
    <row r="45" ht="18" customHeight="1" spans="1:9" x14ac:dyDescent="0.25">
      <c r="A45" s="158"/>
      <c r="B45" s="135"/>
      <c r="C45" s="135" t="s">
        <v>1219</v>
      </c>
      <c r="D45" s="135" t="s">
        <v>1220</v>
      </c>
      <c r="E45" s="565"/>
      <c r="F45" s="565"/>
      <c r="G45" s="565"/>
      <c r="H45" s="565"/>
      <c r="I45" s="50"/>
    </row>
    <row r="46" ht="23.25" customHeight="1" spans="1:9" x14ac:dyDescent="0.25">
      <c r="A46" s="590" t="s">
        <v>1340</v>
      </c>
      <c r="B46" s="145" t="s">
        <v>1341</v>
      </c>
      <c r="C46" s="567"/>
      <c r="D46" s="567"/>
      <c r="E46" s="50"/>
      <c r="F46" s="50"/>
      <c r="G46" s="50"/>
      <c r="H46" s="50"/>
      <c r="I46" s="50"/>
    </row>
    <row r="47" ht="23.25" customHeight="1" spans="1:9" x14ac:dyDescent="0.25">
      <c r="A47" s="590" t="s">
        <v>1342</v>
      </c>
      <c r="B47" s="145" t="s">
        <v>1322</v>
      </c>
      <c r="C47" s="567"/>
      <c r="D47" s="567"/>
      <c r="E47" s="50"/>
      <c r="F47" s="50"/>
      <c r="G47" s="50"/>
      <c r="H47" s="50"/>
      <c r="I47" s="50"/>
    </row>
    <row r="48" ht="17.5" customHeight="1" spans="2:3" x14ac:dyDescent="0.25">
      <c r="B48" s="591"/>
      <c r="C48" s="591"/>
    </row>
    <row r="49" ht="17.5" customHeight="1" spans="1:1" s="317" customFormat="1" x14ac:dyDescent="0.25">
      <c r="A49" s="318"/>
    </row>
    <row r="50" ht="17.5" customHeight="1" spans="1:1" s="317" customFormat="1" x14ac:dyDescent="0.25">
      <c r="A50" s="318"/>
    </row>
    <row r="51" ht="17.5" customHeight="1" spans="1:1" s="317" customFormat="1" x14ac:dyDescent="0.25">
      <c r="A51" s="318"/>
    </row>
    <row r="52" ht="17.5" customHeight="1" spans="1:1" s="317" customFormat="1" x14ac:dyDescent="0.25">
      <c r="A52" s="318"/>
    </row>
    <row r="53" ht="17.5" customHeight="1" spans="1:1" s="317" customFormat="1" x14ac:dyDescent="0.25">
      <c r="A53" s="318"/>
    </row>
    <row r="54" ht="17.5" customHeight="1" spans="1:1" s="317" customFormat="1" x14ac:dyDescent="0.25">
      <c r="A54" s="318"/>
    </row>
    <row r="55" ht="17.5" customHeight="1" spans="1:1" s="317" customFormat="1" x14ac:dyDescent="0.25">
      <c r="A55" s="318"/>
    </row>
    <row r="56" ht="17.5" customHeight="1" spans="1:1" s="317" customFormat="1" x14ac:dyDescent="0.25">
      <c r="A56" s="318"/>
    </row>
    <row r="57" ht="17.5" customHeight="1" spans="1:1" s="317" customFormat="1" x14ac:dyDescent="0.25">
      <c r="A57" s="318"/>
    </row>
    <row r="58" ht="17.5" customHeight="1" spans="1:1" s="317" customFormat="1" x14ac:dyDescent="0.25">
      <c r="A58" s="318"/>
    </row>
    <row r="59" ht="17.5" customHeight="1" spans="1:1" s="317" customFormat="1" x14ac:dyDescent="0.25">
      <c r="A59" s="318"/>
    </row>
    <row r="60" ht="17.5" customHeight="1" spans="1:1" s="317" customFormat="1" x14ac:dyDescent="0.25">
      <c r="A60" s="318"/>
    </row>
    <row r="61" ht="17.5" customHeight="1" spans="1:1" s="317" customFormat="1" x14ac:dyDescent="0.25">
      <c r="A61" s="318"/>
    </row>
    <row r="62" ht="17.5" customHeight="1" spans="1:1" s="317" customFormat="1" x14ac:dyDescent="0.25">
      <c r="A62" s="318"/>
    </row>
    <row r="63" ht="17.5" customHeight="1" spans="1:1" s="317" customFormat="1" x14ac:dyDescent="0.25">
      <c r="A63" s="318"/>
    </row>
    <row r="64" ht="17.5" customHeight="1" spans="1:1" s="317" customFormat="1" x14ac:dyDescent="0.25">
      <c r="A64" s="318"/>
    </row>
    <row r="65" ht="17.5" customHeight="1" spans="1:1" s="317" customFormat="1" x14ac:dyDescent="0.25">
      <c r="A65" s="318"/>
    </row>
    <row r="66" ht="17.5" customHeight="1" spans="1:1" s="317" customFormat="1" x14ac:dyDescent="0.25">
      <c r="A66" s="318"/>
    </row>
    <row r="67" ht="17.5" customHeight="1" spans="1:1" s="317" customFormat="1" x14ac:dyDescent="0.25">
      <c r="A67" s="318"/>
    </row>
    <row r="68" ht="17.5" customHeight="1" spans="1:1" s="317" customFormat="1" x14ac:dyDescent="0.25">
      <c r="A68" s="318"/>
    </row>
    <row r="69" ht="17.5" customHeight="1" spans="1:1" s="317" customFormat="1" x14ac:dyDescent="0.25">
      <c r="A69" s="318"/>
    </row>
    <row r="70" ht="17.5" customHeight="1" spans="1:1" s="317" customFormat="1" x14ac:dyDescent="0.25">
      <c r="A70" s="318"/>
    </row>
    <row r="71" ht="17.5" customHeight="1" spans="1:1" s="317" customFormat="1" x14ac:dyDescent="0.25">
      <c r="A71" s="318"/>
    </row>
    <row r="72" ht="17.5" customHeight="1" spans="1:1" s="317" customFormat="1" x14ac:dyDescent="0.25">
      <c r="A72" s="318"/>
    </row>
    <row r="73" ht="17.5" customHeight="1" spans="1:1" s="317" customFormat="1" x14ac:dyDescent="0.25">
      <c r="A73" s="318"/>
    </row>
    <row r="74" ht="17.5" customHeight="1" spans="1:1" s="317" customFormat="1" x14ac:dyDescent="0.25">
      <c r="A74" s="318"/>
    </row>
    <row r="75" ht="17.5" customHeight="1" spans="1:1" s="317" customFormat="1" x14ac:dyDescent="0.25">
      <c r="A75" s="318"/>
    </row>
    <row r="76" ht="17.5" customHeight="1" spans="1:1" s="317" customFormat="1" x14ac:dyDescent="0.25">
      <c r="A76" s="318"/>
    </row>
    <row r="77" ht="17.5" customHeight="1" spans="1:1" s="317" customFormat="1" x14ac:dyDescent="0.25">
      <c r="A77" s="318"/>
    </row>
    <row r="78" ht="17.5" customHeight="1" spans="1:1" s="317" customFormat="1" x14ac:dyDescent="0.25">
      <c r="A78" s="318"/>
    </row>
    <row r="79" ht="17.5" customHeight="1" spans="1:1" s="317" customFormat="1" x14ac:dyDescent="0.25">
      <c r="A79" s="318"/>
    </row>
    <row r="80" ht="17.5" customHeight="1" spans="1:1" s="317" customFormat="1" x14ac:dyDescent="0.25">
      <c r="A80" s="318"/>
    </row>
    <row r="81" ht="17.5" customHeight="1" spans="1:1" s="317" customFormat="1" x14ac:dyDescent="0.25">
      <c r="A81" s="318"/>
    </row>
    <row r="82" ht="17.5" customHeight="1" spans="1:1" s="317" customFormat="1" x14ac:dyDescent="0.25">
      <c r="A82" s="318"/>
    </row>
    <row r="83" ht="17.5" customHeight="1" spans="1:1" s="317" customFormat="1" x14ac:dyDescent="0.25">
      <c r="A83" s="318"/>
    </row>
    <row r="84" ht="17.5" customHeight="1" spans="1:1" s="317" customFormat="1" x14ac:dyDescent="0.25">
      <c r="A84" s="318"/>
    </row>
    <row r="85" ht="17.5" customHeight="1" spans="1:1" s="317" customFormat="1" x14ac:dyDescent="0.25">
      <c r="A85" s="318"/>
    </row>
    <row r="86" ht="17.5" customHeight="1" spans="1:1" s="317" customFormat="1" x14ac:dyDescent="0.25">
      <c r="A86" s="318"/>
    </row>
    <row r="87" ht="17.5" customHeight="1" spans="1:1" s="317" customFormat="1" x14ac:dyDescent="0.25">
      <c r="A87" s="318"/>
    </row>
    <row r="88" ht="17.5" customHeight="1" spans="1:1" s="317" customFormat="1" x14ac:dyDescent="0.25">
      <c r="A88" s="318"/>
    </row>
    <row r="89" ht="17.5" customHeight="1" spans="1:1" s="317" customFormat="1" x14ac:dyDescent="0.25">
      <c r="A89" s="318"/>
    </row>
    <row r="90" ht="17.5" customHeight="1" spans="1:1" s="317" customFormat="1" x14ac:dyDescent="0.25">
      <c r="A90" s="318"/>
    </row>
    <row r="91" ht="17.5" customHeight="1" spans="1:1" s="317" customFormat="1" x14ac:dyDescent="0.25">
      <c r="A91" s="318"/>
    </row>
    <row r="92" ht="17.5" customHeight="1" spans="1:1" s="317" customFormat="1" x14ac:dyDescent="0.25">
      <c r="A92" s="318"/>
    </row>
    <row r="93" ht="17.5" customHeight="1" spans="1:1" s="317" customFormat="1" x14ac:dyDescent="0.25">
      <c r="A93" s="318"/>
    </row>
    <row r="94" ht="17.5" customHeight="1" spans="1:1" s="317" customFormat="1" x14ac:dyDescent="0.25">
      <c r="A94" s="318"/>
    </row>
    <row r="95" ht="17.5" customHeight="1" spans="1:1" s="317" customFormat="1" x14ac:dyDescent="0.25">
      <c r="A95" s="318"/>
    </row>
    <row r="96" ht="17.5" customHeight="1" spans="1:1" s="317" customFormat="1" x14ac:dyDescent="0.25">
      <c r="A96" s="318"/>
    </row>
    <row r="97" ht="17.5" customHeight="1" spans="1:1" s="317" customFormat="1" x14ac:dyDescent="0.25">
      <c r="A97" s="318"/>
    </row>
    <row r="98" ht="17.5" customHeight="1" spans="1:1" s="317" customFormat="1" x14ac:dyDescent="0.25">
      <c r="A98" s="318"/>
    </row>
    <row r="99" ht="17.5" customHeight="1" spans="1:1" s="317" customFormat="1" x14ac:dyDescent="0.25">
      <c r="A99" s="318"/>
    </row>
    <row r="100" ht="17.5" customHeight="1" spans="1:1" s="317" customFormat="1" x14ac:dyDescent="0.25">
      <c r="A100" s="318"/>
    </row>
    <row r="101" ht="17.5" customHeight="1" spans="1:1" s="317" customFormat="1" x14ac:dyDescent="0.25">
      <c r="A101" s="318"/>
    </row>
    <row r="102" ht="17.5" customHeight="1" spans="1:1" s="317" customFormat="1" x14ac:dyDescent="0.25">
      <c r="A102" s="318"/>
    </row>
    <row r="103" ht="17.5" customHeight="1" spans="1:1" s="317" customFormat="1" x14ac:dyDescent="0.25">
      <c r="A103" s="318"/>
    </row>
    <row r="104" ht="17.5" customHeight="1" spans="1:1" s="317" customFormat="1" x14ac:dyDescent="0.25">
      <c r="A104" s="318"/>
    </row>
    <row r="105" ht="17.5" customHeight="1" spans="1:1" s="317" customFormat="1" x14ac:dyDescent="0.25">
      <c r="A105" s="318"/>
    </row>
    <row r="106" ht="17.5" customHeight="1" spans="1:1" s="317" customFormat="1" x14ac:dyDescent="0.25">
      <c r="A106" s="318"/>
    </row>
    <row r="107" ht="17.5" customHeight="1" spans="1:1" s="317" customFormat="1" x14ac:dyDescent="0.25">
      <c r="A107" s="318"/>
    </row>
    <row r="108" ht="17.5" customHeight="1" spans="1:1" s="317" customFormat="1" x14ac:dyDescent="0.25">
      <c r="A108" s="318"/>
    </row>
    <row r="109" ht="17.5" customHeight="1" spans="1:1" s="317" customFormat="1" x14ac:dyDescent="0.25">
      <c r="A109" s="318"/>
    </row>
    <row r="110" ht="17.5" customHeight="1" spans="1:1" s="317" customFormat="1" x14ac:dyDescent="0.25">
      <c r="A110" s="318"/>
    </row>
    <row r="111" ht="17.5" customHeight="1" spans="1:1" s="317" customFormat="1" x14ac:dyDescent="0.25">
      <c r="A111" s="318"/>
    </row>
    <row r="112" ht="17.5" customHeight="1" spans="1:1" s="317" customFormat="1" x14ac:dyDescent="0.25">
      <c r="A112" s="318"/>
    </row>
    <row r="113" ht="17.5" customHeight="1" spans="1:1" s="317" customFormat="1" x14ac:dyDescent="0.25">
      <c r="A113" s="318"/>
    </row>
    <row r="114" ht="17.5" customHeight="1" spans="1:1" s="317" customFormat="1" x14ac:dyDescent="0.25">
      <c r="A114" s="318"/>
    </row>
    <row r="115" ht="17.5" customHeight="1" spans="1:1" s="317" customFormat="1" x14ac:dyDescent="0.25">
      <c r="A115" s="318"/>
    </row>
    <row r="116" ht="17.5" customHeight="1" spans="1:1" s="317" customFormat="1" x14ac:dyDescent="0.25">
      <c r="A116" s="318"/>
    </row>
    <row r="117" ht="17.5" customHeight="1" spans="1:1" s="317" customFormat="1" x14ac:dyDescent="0.25">
      <c r="A117" s="318"/>
    </row>
    <row r="118" ht="17.5" customHeight="1" spans="1:1" s="317" customFormat="1" x14ac:dyDescent="0.25">
      <c r="A118" s="318"/>
    </row>
    <row r="119" ht="17.5" customHeight="1" spans="1:1" s="317" customFormat="1" x14ac:dyDescent="0.25">
      <c r="A119" s="318"/>
    </row>
    <row r="120" ht="17.5" customHeight="1" spans="1:1" s="317" customFormat="1" x14ac:dyDescent="0.25">
      <c r="A120" s="318"/>
    </row>
    <row r="121" ht="17.5" customHeight="1" spans="1:1" s="317" customFormat="1" x14ac:dyDescent="0.25">
      <c r="A121" s="318"/>
    </row>
    <row r="122" ht="17.5" customHeight="1" spans="1:1" s="317" customFormat="1" x14ac:dyDescent="0.25">
      <c r="A122" s="318"/>
    </row>
    <row r="123" ht="17.5" customHeight="1" spans="1:1" s="317" customFormat="1" x14ac:dyDescent="0.25">
      <c r="A123" s="318"/>
    </row>
    <row r="124" ht="17.5" customHeight="1" spans="1:1" s="317" customFormat="1" x14ac:dyDescent="0.25">
      <c r="A124" s="318"/>
    </row>
    <row r="125" ht="17.5" customHeight="1" spans="1:1" s="317" customFormat="1" x14ac:dyDescent="0.25">
      <c r="A125" s="318"/>
    </row>
    <row r="126" ht="17.5" customHeight="1" spans="1:1" s="317" customFormat="1" x14ac:dyDescent="0.25">
      <c r="A126" s="318"/>
    </row>
    <row r="127" ht="17.5" customHeight="1" spans="1:1" s="317" customFormat="1" x14ac:dyDescent="0.25">
      <c r="A127" s="318"/>
    </row>
    <row r="128" ht="17.5" customHeight="1" spans="1:1" s="317" customFormat="1" x14ac:dyDescent="0.25">
      <c r="A128" s="318"/>
    </row>
    <row r="129" ht="17.5" customHeight="1" spans="1:1" s="317" customFormat="1" x14ac:dyDescent="0.25">
      <c r="A129" s="318"/>
    </row>
    <row r="130" ht="17.5" customHeight="1" spans="1:1" s="317" customFormat="1" x14ac:dyDescent="0.25">
      <c r="A130" s="318"/>
    </row>
    <row r="131" ht="17.5" customHeight="1" spans="1:1" s="317" customFormat="1" x14ac:dyDescent="0.25">
      <c r="A131" s="318"/>
    </row>
    <row r="132" ht="17.5" customHeight="1" spans="1:1" s="317" customFormat="1" x14ac:dyDescent="0.25">
      <c r="A132" s="318"/>
    </row>
  </sheetData>
  <sheetProtection sheet="1" algorithmName="SHA-512" hashValue="xIZk9d5Bf/QpwZHUttlidxNDZPYrjRkolxpe/RRF/Dk17BoUnLzJQ2IdBzQW0kmGWxjxjVGZtoMhxj50+tyeTg==" saltValue="pjvH9e36X9fheOFGks+9Cw==" spinCount="100000" objects="1" scenarios="1"/>
  <mergeCells count="41">
    <mergeCell ref="A1:H1"/>
    <mergeCell ref="C9:G9"/>
    <mergeCell ref="A9:A11"/>
    <mergeCell ref="B9:B11"/>
    <mergeCell ref="C10:D10"/>
    <mergeCell ref="E10:F10"/>
    <mergeCell ref="H9:H11"/>
    <mergeCell ref="I9:I11"/>
    <mergeCell ref="G10:G11"/>
    <mergeCell ref="A16:I16"/>
    <mergeCell ref="C18:G18"/>
    <mergeCell ref="A18:A20"/>
    <mergeCell ref="B18:B20"/>
    <mergeCell ref="C19:D19"/>
    <mergeCell ref="E19:F19"/>
    <mergeCell ref="H18:H20"/>
    <mergeCell ref="I18:I20"/>
    <mergeCell ref="G19:G20"/>
    <mergeCell ref="A23:I23"/>
    <mergeCell ref="A25:I25"/>
    <mergeCell ref="C27:H28"/>
    <mergeCell ref="A27:A28"/>
    <mergeCell ref="B27:B28"/>
    <mergeCell ref="I27:I28"/>
    <mergeCell ref="C29:H29"/>
    <mergeCell ref="C30:H30"/>
    <mergeCell ref="C31:H31"/>
    <mergeCell ref="A32:I32"/>
    <mergeCell ref="C33:H33"/>
    <mergeCell ref="A34:I34"/>
    <mergeCell ref="A36:A37"/>
    <mergeCell ref="B36:B37"/>
    <mergeCell ref="C36:C37"/>
    <mergeCell ref="D36:D37"/>
    <mergeCell ref="A38:B38"/>
    <mergeCell ref="A41:I41"/>
    <mergeCell ref="A42:H42"/>
    <mergeCell ref="A43:I43"/>
    <mergeCell ref="C44:D44"/>
    <mergeCell ref="A44:A45"/>
    <mergeCell ref="B44:B45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3" fitToWidth="1" fitToHeight="1" firstPageNumber="1" useFirstPageNumber="1" copies="1"/>
  <headerFooter>
    <oddFooter>&amp;R&amp;P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64"/>
  <sheetViews>
    <sheetView workbookViewId="0" zoomScale="100" zoomScaleNormal="60" view="pageBreakPreview">
      <selection activeCell="B12" sqref="B12"/>
    </sheetView>
  </sheetViews>
  <sheetFormatPr defaultRowHeight="17.25" outlineLevelRow="0" outlineLevelCol="0" x14ac:dyDescent="0" defaultColWidth="10" customHeight="1"/>
  <cols>
    <col min="1" max="1" width="11.08984375" style="592" customWidth="1"/>
    <col min="2" max="2" width="77.26953125" style="593" customWidth="1"/>
    <col min="3" max="3" width="23" style="594" customWidth="1"/>
    <col min="4" max="8" width="23" style="595" customWidth="1"/>
    <col min="9" max="10" width="21.7265625" style="595" customWidth="1"/>
    <col min="11" max="12" width="11.90625" style="595" customWidth="1"/>
    <col min="13" max="16384" width="10" style="595" customWidth="1"/>
  </cols>
  <sheetData>
    <row r="1" ht="29.25" customHeight="1" spans="1:11" x14ac:dyDescent="0.25">
      <c r="A1" s="596" t="s">
        <v>1343</v>
      </c>
      <c r="B1" s="596"/>
      <c r="C1" s="596"/>
      <c r="D1" s="596"/>
      <c r="E1" s="596"/>
      <c r="F1" s="596"/>
      <c r="G1" s="596"/>
      <c r="H1" s="596"/>
      <c r="I1" s="596"/>
      <c r="J1" s="597" t="s">
        <v>86</v>
      </c>
      <c r="K1" s="598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8" customHeight="1" spans="1:10" x14ac:dyDescent="0.25">
      <c r="A7" s="595"/>
      <c r="B7" s="595"/>
      <c r="C7" s="595"/>
      <c r="D7" s="595"/>
      <c r="E7" s="595"/>
      <c r="F7" s="595"/>
      <c r="G7" s="595"/>
      <c r="H7" s="595"/>
      <c r="I7" s="595"/>
      <c r="J7" s="595"/>
    </row>
    <row r="8" ht="18" customHeight="1" spans="1:10" x14ac:dyDescent="0.25">
      <c r="A8" s="599" t="s">
        <v>1344</v>
      </c>
      <c r="B8" s="600"/>
      <c r="C8" s="601"/>
      <c r="D8" s="601"/>
      <c r="E8" s="601"/>
      <c r="F8" s="601"/>
      <c r="G8" s="601"/>
      <c r="H8" s="601"/>
      <c r="I8" s="601"/>
      <c r="J8" s="601"/>
    </row>
    <row r="9" ht="57.75" customHeight="1" spans="1:10" s="602" customFormat="1" x14ac:dyDescent="0.25">
      <c r="A9" s="603" t="s">
        <v>113</v>
      </c>
      <c r="B9" s="158" t="s">
        <v>145</v>
      </c>
      <c r="C9" s="603" t="s">
        <v>1216</v>
      </c>
      <c r="D9" s="603"/>
      <c r="E9" s="603" t="s">
        <v>1217</v>
      </c>
      <c r="F9" s="603"/>
      <c r="G9" s="604" t="s">
        <v>1218</v>
      </c>
      <c r="H9" s="604"/>
      <c r="I9" s="605" t="s">
        <v>1215</v>
      </c>
      <c r="J9" s="605" t="s">
        <v>1101</v>
      </c>
    </row>
    <row r="10" ht="25.5" customHeight="1" spans="1:10" s="602" customFormat="1" x14ac:dyDescent="0.25">
      <c r="A10" s="603"/>
      <c r="B10" s="158"/>
      <c r="C10" s="603" t="s">
        <v>1219</v>
      </c>
      <c r="D10" s="603" t="s">
        <v>1220</v>
      </c>
      <c r="E10" s="603" t="s">
        <v>1219</v>
      </c>
      <c r="F10" s="603" t="s">
        <v>1220</v>
      </c>
      <c r="G10" s="606" t="s">
        <v>1219</v>
      </c>
      <c r="H10" s="606" t="s">
        <v>1220</v>
      </c>
      <c r="I10" s="607"/>
      <c r="J10" s="607"/>
    </row>
    <row r="11" ht="30" customHeight="1" spans="1:10" x14ac:dyDescent="0.25">
      <c r="A11" s="201" t="s">
        <v>1345</v>
      </c>
      <c r="B11" s="176" t="s">
        <v>1346</v>
      </c>
      <c r="C11" s="567"/>
      <c r="D11" s="567"/>
      <c r="E11" s="567"/>
      <c r="F11" s="567"/>
      <c r="G11" s="567"/>
      <c r="H11" s="567"/>
      <c r="I11" s="608">
        <v>0.08</v>
      </c>
      <c r="J11" s="567">
        <v>0</v>
      </c>
    </row>
    <row r="12" ht="30" customHeight="1" spans="1:10" x14ac:dyDescent="0.25">
      <c r="A12" s="201" t="s">
        <v>1347</v>
      </c>
      <c r="B12" s="609" t="s">
        <v>1348</v>
      </c>
      <c r="C12" s="567"/>
      <c r="D12" s="567"/>
      <c r="E12" s="567"/>
      <c r="F12" s="567"/>
      <c r="G12" s="567"/>
      <c r="H12" s="567"/>
      <c r="I12" s="608">
        <v>0.08</v>
      </c>
      <c r="J12" s="567">
        <v>0</v>
      </c>
    </row>
    <row r="13" ht="13.5" customHeight="1" spans="1:10" s="418" customFormat="1" x14ac:dyDescent="0.25">
      <c r="A13" s="578"/>
      <c r="B13" s="578"/>
      <c r="C13" s="578"/>
      <c r="D13" s="578"/>
      <c r="E13" s="578"/>
      <c r="F13" s="578"/>
      <c r="G13" s="578"/>
      <c r="H13" s="578"/>
      <c r="I13" s="578"/>
      <c r="J13" s="610"/>
    </row>
    <row r="14" ht="30" customHeight="1" spans="1:10" x14ac:dyDescent="0.25">
      <c r="A14" s="201" t="s">
        <v>1349</v>
      </c>
      <c r="B14" s="611" t="s">
        <v>1306</v>
      </c>
      <c r="C14" s="612"/>
      <c r="D14" s="612"/>
      <c r="E14" s="612"/>
      <c r="F14" s="612"/>
      <c r="G14" s="613"/>
      <c r="H14" s="613"/>
      <c r="I14" s="613"/>
      <c r="J14" s="567">
        <v>0</v>
      </c>
    </row>
    <row r="15" ht="17.5" customHeight="1" spans="1:10" x14ac:dyDescent="0.25">
      <c r="A15" s="614"/>
      <c r="B15" s="601"/>
      <c r="C15" s="601"/>
      <c r="D15" s="601"/>
      <c r="E15" s="601"/>
      <c r="F15" s="601"/>
      <c r="G15" s="615"/>
      <c r="H15" s="615"/>
      <c r="I15" s="615"/>
      <c r="J15" s="616"/>
    </row>
    <row r="16" ht="25.5" customHeight="1" spans="1:10" s="17" customFormat="1" x14ac:dyDescent="0.25">
      <c r="A16" s="617" t="s">
        <v>1350</v>
      </c>
      <c r="B16" s="617"/>
      <c r="C16" s="618"/>
      <c r="D16" s="619"/>
      <c r="E16" s="618"/>
      <c r="F16" s="618"/>
      <c r="G16" s="618"/>
      <c r="H16" s="618"/>
      <c r="I16" s="618"/>
      <c r="J16" s="618"/>
    </row>
    <row r="17" ht="18" customHeight="1" spans="1:10" s="17" customFormat="1" x14ac:dyDescent="0.25">
      <c r="A17" s="135" t="s">
        <v>113</v>
      </c>
      <c r="B17" s="158" t="s">
        <v>145</v>
      </c>
      <c r="C17" s="346"/>
      <c r="D17" s="346"/>
      <c r="E17" s="346"/>
      <c r="F17" s="346"/>
      <c r="G17" s="346"/>
      <c r="H17" s="346"/>
      <c r="I17" s="346"/>
      <c r="J17" s="135" t="s">
        <v>1101</v>
      </c>
    </row>
    <row r="18" ht="38.25" customHeight="1" spans="1:10" s="17" customFormat="1" x14ac:dyDescent="0.25">
      <c r="A18" s="135"/>
      <c r="B18" s="158"/>
      <c r="C18" s="346"/>
      <c r="D18" s="346"/>
      <c r="E18" s="346"/>
      <c r="F18" s="346"/>
      <c r="G18" s="346"/>
      <c r="H18" s="346"/>
      <c r="I18" s="346"/>
      <c r="J18" s="135"/>
    </row>
    <row r="19" ht="30" customHeight="1" spans="1:10" s="418" customFormat="1" x14ac:dyDescent="0.25">
      <c r="A19" s="62" t="s">
        <v>1351</v>
      </c>
      <c r="B19" s="142" t="s">
        <v>1309</v>
      </c>
      <c r="C19" s="178"/>
      <c r="D19" s="178"/>
      <c r="E19" s="178"/>
      <c r="F19" s="178"/>
      <c r="G19" s="178"/>
      <c r="H19" s="178"/>
      <c r="I19" s="178"/>
      <c r="J19" s="567"/>
    </row>
    <row r="20" ht="30" customHeight="1" spans="1:10" s="418" customFormat="1" x14ac:dyDescent="0.25">
      <c r="A20" s="62" t="s">
        <v>1352</v>
      </c>
      <c r="B20" s="142" t="s">
        <v>1311</v>
      </c>
      <c r="C20" s="178"/>
      <c r="D20" s="178"/>
      <c r="E20" s="178"/>
      <c r="F20" s="178"/>
      <c r="G20" s="178"/>
      <c r="H20" s="178"/>
      <c r="I20" s="178"/>
      <c r="J20" s="567"/>
    </row>
    <row r="21" ht="30" customHeight="1" spans="1:10" s="418" customFormat="1" x14ac:dyDescent="0.25">
      <c r="A21" s="62" t="s">
        <v>1353</v>
      </c>
      <c r="B21" s="142" t="s">
        <v>1313</v>
      </c>
      <c r="C21" s="178"/>
      <c r="D21" s="178"/>
      <c r="E21" s="178"/>
      <c r="F21" s="178"/>
      <c r="G21" s="178"/>
      <c r="H21" s="178"/>
      <c r="I21" s="178"/>
      <c r="J21" s="567"/>
    </row>
    <row r="22" ht="13.5" customHeight="1" spans="1:10" s="418" customFormat="1" x14ac:dyDescent="0.25">
      <c r="A22" s="578"/>
      <c r="B22" s="578"/>
      <c r="C22" s="578"/>
      <c r="D22" s="578"/>
      <c r="E22" s="578"/>
      <c r="F22" s="578"/>
      <c r="G22" s="578"/>
      <c r="H22" s="578"/>
      <c r="I22" s="578"/>
      <c r="J22" s="578"/>
    </row>
    <row r="23" ht="30" customHeight="1" spans="1:10" s="17" customFormat="1" x14ac:dyDescent="0.25">
      <c r="A23" s="56" t="s">
        <v>1354</v>
      </c>
      <c r="B23" s="572" t="s">
        <v>1315</v>
      </c>
      <c r="C23" s="346"/>
      <c r="D23" s="346"/>
      <c r="E23" s="346"/>
      <c r="F23" s="346"/>
      <c r="G23" s="346"/>
      <c r="H23" s="346"/>
      <c r="I23" s="346"/>
      <c r="J23" s="567">
        <v>0</v>
      </c>
    </row>
    <row r="24" ht="13.5" customHeight="1" spans="1:10" s="418" customFormat="1" x14ac:dyDescent="0.25">
      <c r="A24" s="588"/>
      <c r="B24" s="588"/>
      <c r="C24" s="588"/>
      <c r="D24" s="588"/>
      <c r="E24" s="588"/>
      <c r="F24" s="588"/>
      <c r="G24" s="588"/>
      <c r="H24" s="588"/>
      <c r="I24" s="588"/>
      <c r="J24" s="60"/>
    </row>
    <row r="25" ht="38.25" customHeight="1" spans="1:10" s="17" customFormat="1" x14ac:dyDescent="0.25">
      <c r="A25" s="620" t="s">
        <v>1355</v>
      </c>
      <c r="B25" s="620"/>
      <c r="C25" s="618"/>
      <c r="D25" s="618"/>
      <c r="E25" s="618"/>
      <c r="F25" s="618"/>
      <c r="G25" s="618"/>
      <c r="H25" s="618"/>
      <c r="I25" s="618"/>
      <c r="J25" s="618"/>
    </row>
    <row r="26" ht="20.25" customHeight="1" spans="1:10" s="455" customFormat="1" x14ac:dyDescent="0.25">
      <c r="A26" s="135" t="s">
        <v>113</v>
      </c>
      <c r="B26" s="158" t="s">
        <v>145</v>
      </c>
      <c r="C26" s="135" t="s">
        <v>1101</v>
      </c>
      <c r="D26" s="135" t="s">
        <v>825</v>
      </c>
      <c r="E26" s="579"/>
      <c r="F26" s="580"/>
      <c r="G26" s="580"/>
      <c r="H26" s="580"/>
      <c r="I26" s="581"/>
      <c r="J26" s="581"/>
    </row>
    <row r="27" ht="42" customHeight="1" spans="1:10" s="455" customFormat="1" x14ac:dyDescent="0.25">
      <c r="A27" s="135"/>
      <c r="B27" s="158"/>
      <c r="C27" s="135"/>
      <c r="D27" s="135"/>
      <c r="E27" s="582"/>
      <c r="F27" s="466"/>
      <c r="G27" s="466"/>
      <c r="H27" s="466"/>
      <c r="I27" s="581"/>
      <c r="J27" s="581"/>
    </row>
    <row r="28" ht="17.25" customHeight="1" spans="1:10" s="455" customFormat="1" x14ac:dyDescent="0.25">
      <c r="A28" s="135"/>
      <c r="B28" s="135"/>
      <c r="C28" s="566" t="s">
        <v>154</v>
      </c>
      <c r="D28" s="566" t="s">
        <v>1317</v>
      </c>
      <c r="E28" s="466"/>
      <c r="F28" s="466"/>
      <c r="G28" s="466"/>
      <c r="H28" s="466"/>
      <c r="I28" s="581"/>
      <c r="J28" s="581"/>
    </row>
    <row r="29" ht="20" customHeight="1" spans="1:10" s="450" customFormat="1" x14ac:dyDescent="0.25">
      <c r="A29" s="147" t="s">
        <v>674</v>
      </c>
      <c r="B29" s="572" t="s">
        <v>818</v>
      </c>
      <c r="C29" s="567">
        <v>0</v>
      </c>
      <c r="D29" s="567">
        <v>0</v>
      </c>
      <c r="E29" s="582"/>
      <c r="F29" s="466"/>
      <c r="G29" s="466"/>
      <c r="H29" s="466"/>
      <c r="I29" s="467"/>
      <c r="J29" s="467"/>
    </row>
    <row r="30" ht="17.5" customHeight="1" spans="1:10" x14ac:dyDescent="0.25">
      <c r="A30" s="621"/>
      <c r="B30" s="614"/>
      <c r="C30" s="614"/>
      <c r="D30" s="614"/>
      <c r="E30" s="614"/>
      <c r="F30" s="614"/>
      <c r="G30" s="614"/>
      <c r="H30" s="614"/>
      <c r="I30" s="614"/>
      <c r="J30" s="614"/>
    </row>
    <row r="31" ht="18" customHeight="1" spans="1:10" x14ac:dyDescent="0.25">
      <c r="A31" s="156" t="s">
        <v>1356</v>
      </c>
      <c r="B31" s="156"/>
      <c r="C31" s="156"/>
      <c r="D31" s="156"/>
      <c r="E31" s="156"/>
      <c r="F31" s="156"/>
      <c r="G31" s="156"/>
      <c r="H31" s="156"/>
      <c r="I31" s="614"/>
      <c r="J31" s="614"/>
    </row>
    <row r="32" ht="17.5" customHeight="1" spans="1:10" x14ac:dyDescent="0.25">
      <c r="A32" s="622"/>
      <c r="B32" s="622"/>
      <c r="C32" s="622"/>
      <c r="D32" s="622"/>
      <c r="E32" s="622"/>
      <c r="F32" s="622"/>
      <c r="G32" s="622"/>
      <c r="H32" s="622"/>
      <c r="I32" s="614"/>
      <c r="J32" s="614"/>
    </row>
    <row r="33" ht="45" customHeight="1" spans="1:10" x14ac:dyDescent="0.25">
      <c r="A33" s="604" t="s">
        <v>113</v>
      </c>
      <c r="B33" s="135" t="s">
        <v>145</v>
      </c>
      <c r="C33" s="603" t="s">
        <v>1216</v>
      </c>
      <c r="D33" s="603"/>
      <c r="E33" s="565"/>
      <c r="F33" s="565"/>
      <c r="G33" s="565"/>
      <c r="H33" s="565"/>
      <c r="I33" s="133"/>
      <c r="J33" s="614"/>
    </row>
    <row r="34" ht="18" customHeight="1" spans="1:10" x14ac:dyDescent="0.25">
      <c r="A34" s="604"/>
      <c r="B34" s="135"/>
      <c r="C34" s="603" t="s">
        <v>1219</v>
      </c>
      <c r="D34" s="603" t="s">
        <v>1220</v>
      </c>
      <c r="E34" s="565"/>
      <c r="F34" s="565"/>
      <c r="G34" s="565"/>
      <c r="H34" s="565"/>
      <c r="I34" s="133"/>
      <c r="J34" s="614"/>
    </row>
    <row r="35" ht="41.25" customHeight="1" spans="1:10" x14ac:dyDescent="0.25">
      <c r="A35" s="623" t="s">
        <v>1357</v>
      </c>
      <c r="B35" s="202" t="s">
        <v>1358</v>
      </c>
      <c r="C35" s="567"/>
      <c r="D35" s="567"/>
      <c r="E35" s="50"/>
      <c r="F35" s="50"/>
      <c r="G35" s="50"/>
      <c r="H35" s="50"/>
      <c r="I35" s="50"/>
      <c r="J35" s="614"/>
    </row>
    <row r="36" ht="24.75" customHeight="1" spans="1:10" x14ac:dyDescent="0.25">
      <c r="A36" s="623" t="s">
        <v>1359</v>
      </c>
      <c r="B36" s="201" t="s">
        <v>1360</v>
      </c>
      <c r="C36" s="567"/>
      <c r="D36" s="567"/>
      <c r="E36" s="50"/>
      <c r="F36" s="50"/>
      <c r="G36" s="50"/>
      <c r="H36" s="50"/>
      <c r="I36" s="50"/>
      <c r="J36" s="614"/>
    </row>
    <row r="37" ht="24.75" customHeight="1" spans="1:10" x14ac:dyDescent="0.25">
      <c r="A37" s="623" t="s">
        <v>1361</v>
      </c>
      <c r="B37" s="201" t="s">
        <v>1362</v>
      </c>
      <c r="C37" s="567"/>
      <c r="D37" s="567"/>
      <c r="E37" s="50"/>
      <c r="F37" s="50"/>
      <c r="G37" s="50"/>
      <c r="H37" s="50"/>
      <c r="I37" s="50"/>
      <c r="J37" s="614"/>
    </row>
    <row r="38" ht="17.5" customHeight="1" spans="1:10" x14ac:dyDescent="0.25">
      <c r="A38" s="621"/>
      <c r="B38" s="624"/>
      <c r="C38" s="624"/>
      <c r="D38" s="614"/>
      <c r="E38" s="614"/>
      <c r="F38" s="614"/>
      <c r="G38" s="614"/>
      <c r="H38" s="614"/>
      <c r="I38" s="614"/>
      <c r="J38" s="614"/>
    </row>
    <row r="39" ht="17.5" customHeight="1" spans="1:10" x14ac:dyDescent="0.25">
      <c r="A39" s="621"/>
      <c r="B39" s="614"/>
      <c r="C39" s="614"/>
      <c r="D39" s="614"/>
      <c r="E39" s="614"/>
      <c r="F39" s="614"/>
      <c r="G39" s="614"/>
      <c r="H39" s="614"/>
      <c r="I39" s="614"/>
      <c r="J39" s="614"/>
    </row>
    <row r="40" ht="18" customHeight="1" spans="1:10" x14ac:dyDescent="0.25">
      <c r="A40" s="156" t="s">
        <v>1363</v>
      </c>
      <c r="B40" s="156"/>
      <c r="C40" s="156"/>
      <c r="D40" s="156"/>
      <c r="E40" s="156"/>
      <c r="F40" s="156"/>
      <c r="G40" s="156"/>
      <c r="H40" s="156"/>
      <c r="I40" s="614"/>
      <c r="J40" s="614"/>
    </row>
    <row r="41" ht="17.5" customHeight="1" spans="1:10" x14ac:dyDescent="0.25">
      <c r="A41" s="614"/>
      <c r="B41" s="614"/>
      <c r="C41" s="614"/>
      <c r="D41" s="614"/>
      <c r="E41" s="614"/>
      <c r="F41" s="614"/>
      <c r="G41" s="614"/>
      <c r="H41" s="614"/>
      <c r="I41" s="614"/>
      <c r="J41" s="614"/>
    </row>
    <row r="42" ht="45" customHeight="1" spans="1:10" s="625" customFormat="1" x14ac:dyDescent="0.25">
      <c r="A42" s="603" t="s">
        <v>113</v>
      </c>
      <c r="B42" s="135" t="s">
        <v>1364</v>
      </c>
      <c r="C42" s="626" t="s">
        <v>1365</v>
      </c>
      <c r="D42" s="603" t="s">
        <v>1216</v>
      </c>
      <c r="E42" s="603"/>
      <c r="F42" s="603" t="s">
        <v>1217</v>
      </c>
      <c r="G42" s="603"/>
      <c r="H42" s="565"/>
      <c r="I42" s="133"/>
      <c r="J42" s="627"/>
    </row>
    <row r="43" ht="18" customHeight="1" spans="1:10" x14ac:dyDescent="0.25">
      <c r="A43" s="603"/>
      <c r="B43" s="135"/>
      <c r="C43" s="201"/>
      <c r="D43" s="603" t="s">
        <v>1219</v>
      </c>
      <c r="E43" s="603" t="s">
        <v>1220</v>
      </c>
      <c r="F43" s="603" t="s">
        <v>1219</v>
      </c>
      <c r="G43" s="603" t="s">
        <v>1220</v>
      </c>
      <c r="H43" s="565"/>
      <c r="I43" s="133"/>
      <c r="J43" s="614"/>
    </row>
    <row r="44" ht="18" customHeight="1" spans="1:10" x14ac:dyDescent="0.25">
      <c r="A44" s="603" t="s">
        <v>1366</v>
      </c>
      <c r="B44" s="628" t="s">
        <v>1367</v>
      </c>
      <c r="C44" s="629" t="s">
        <v>1368</v>
      </c>
      <c r="D44" s="567"/>
      <c r="E44" s="567"/>
      <c r="F44" s="567"/>
      <c r="G44" s="567"/>
      <c r="H44" s="565"/>
      <c r="I44" s="133"/>
      <c r="J44" s="614"/>
    </row>
    <row r="45" ht="18" customHeight="1" spans="1:10" x14ac:dyDescent="0.25">
      <c r="A45" s="603" t="s">
        <v>1369</v>
      </c>
      <c r="B45" s="628" t="s">
        <v>1370</v>
      </c>
      <c r="C45" s="629" t="s">
        <v>1371</v>
      </c>
      <c r="D45" s="567"/>
      <c r="E45" s="567"/>
      <c r="F45" s="567"/>
      <c r="G45" s="567"/>
      <c r="H45" s="565"/>
      <c r="I45" s="133"/>
      <c r="J45" s="614"/>
    </row>
    <row r="46" ht="18" customHeight="1" spans="1:10" x14ac:dyDescent="0.25">
      <c r="A46" s="603" t="s">
        <v>1372</v>
      </c>
      <c r="B46" s="628" t="s">
        <v>1373</v>
      </c>
      <c r="C46" s="629" t="s">
        <v>1374</v>
      </c>
      <c r="D46" s="567"/>
      <c r="E46" s="567"/>
      <c r="F46" s="567"/>
      <c r="G46" s="567"/>
      <c r="H46" s="565"/>
      <c r="I46" s="133"/>
      <c r="J46" s="614"/>
    </row>
    <row r="47" ht="18" customHeight="1" spans="1:10" x14ac:dyDescent="0.25">
      <c r="A47" s="603" t="s">
        <v>1375</v>
      </c>
      <c r="B47" s="628" t="s">
        <v>1376</v>
      </c>
      <c r="C47" s="629" t="s">
        <v>1377</v>
      </c>
      <c r="D47" s="567"/>
      <c r="E47" s="567"/>
      <c r="F47" s="567"/>
      <c r="G47" s="567"/>
      <c r="H47" s="565"/>
      <c r="I47" s="133"/>
      <c r="J47" s="614"/>
    </row>
    <row r="48" ht="18" customHeight="1" spans="1:10" x14ac:dyDescent="0.25">
      <c r="A48" s="603" t="s">
        <v>1378</v>
      </c>
      <c r="B48" s="628" t="s">
        <v>1379</v>
      </c>
      <c r="C48" s="629" t="s">
        <v>1380</v>
      </c>
      <c r="D48" s="567"/>
      <c r="E48" s="567"/>
      <c r="F48" s="567"/>
      <c r="G48" s="567"/>
      <c r="H48" s="565"/>
      <c r="I48" s="133"/>
      <c r="J48" s="614"/>
    </row>
    <row r="49" ht="18" customHeight="1" spans="1:10" x14ac:dyDescent="0.25">
      <c r="A49" s="603" t="s">
        <v>1381</v>
      </c>
      <c r="B49" s="628" t="s">
        <v>1382</v>
      </c>
      <c r="C49" s="629" t="s">
        <v>1383</v>
      </c>
      <c r="D49" s="567"/>
      <c r="E49" s="567"/>
      <c r="F49" s="567"/>
      <c r="G49" s="567"/>
      <c r="H49" s="565"/>
      <c r="I49" s="133"/>
      <c r="J49" s="614"/>
    </row>
    <row r="50" ht="18" customHeight="1" spans="1:10" x14ac:dyDescent="0.25">
      <c r="A50" s="603" t="s">
        <v>1384</v>
      </c>
      <c r="B50" s="628" t="s">
        <v>1385</v>
      </c>
      <c r="C50" s="629" t="s">
        <v>1386</v>
      </c>
      <c r="D50" s="567"/>
      <c r="E50" s="567"/>
      <c r="F50" s="567"/>
      <c r="G50" s="567"/>
      <c r="H50" s="565"/>
      <c r="I50" s="133"/>
      <c r="J50" s="614"/>
    </row>
    <row r="51" ht="18" customHeight="1" spans="1:10" x14ac:dyDescent="0.25">
      <c r="A51" s="603" t="s">
        <v>1387</v>
      </c>
      <c r="B51" s="628" t="s">
        <v>1388</v>
      </c>
      <c r="C51" s="629" t="s">
        <v>1389</v>
      </c>
      <c r="D51" s="567"/>
      <c r="E51" s="567"/>
      <c r="F51" s="567"/>
      <c r="G51" s="567"/>
      <c r="H51" s="565"/>
      <c r="I51" s="133"/>
      <c r="J51" s="614"/>
    </row>
    <row r="52" ht="18" customHeight="1" spans="1:10" x14ac:dyDescent="0.25">
      <c r="A52" s="603" t="s">
        <v>1390</v>
      </c>
      <c r="B52" s="628" t="s">
        <v>1391</v>
      </c>
      <c r="C52" s="629" t="s">
        <v>1392</v>
      </c>
      <c r="D52" s="567"/>
      <c r="E52" s="567"/>
      <c r="F52" s="567"/>
      <c r="G52" s="567"/>
      <c r="H52" s="565"/>
      <c r="I52" s="133"/>
      <c r="J52" s="614"/>
    </row>
    <row r="53" ht="18" customHeight="1" spans="1:10" x14ac:dyDescent="0.25">
      <c r="A53" s="603" t="s">
        <v>1393</v>
      </c>
      <c r="B53" s="628" t="s">
        <v>1394</v>
      </c>
      <c r="C53" s="629" t="s">
        <v>1395</v>
      </c>
      <c r="D53" s="567"/>
      <c r="E53" s="567"/>
      <c r="F53" s="567"/>
      <c r="G53" s="567"/>
      <c r="H53" s="565"/>
      <c r="I53" s="133"/>
      <c r="J53" s="614"/>
    </row>
    <row r="54" ht="18" customHeight="1" spans="1:10" x14ac:dyDescent="0.25">
      <c r="A54" s="603" t="s">
        <v>1396</v>
      </c>
      <c r="B54" s="628" t="s">
        <v>1397</v>
      </c>
      <c r="C54" s="629" t="s">
        <v>1398</v>
      </c>
      <c r="D54" s="567"/>
      <c r="E54" s="567"/>
      <c r="F54" s="567"/>
      <c r="G54" s="567"/>
      <c r="H54" s="565"/>
      <c r="I54" s="133"/>
      <c r="J54" s="614"/>
    </row>
    <row r="55" ht="18" customHeight="1" spans="1:10" x14ac:dyDescent="0.25">
      <c r="A55" s="603" t="s">
        <v>1399</v>
      </c>
      <c r="B55" s="628" t="s">
        <v>1400</v>
      </c>
      <c r="C55" s="629" t="s">
        <v>1401</v>
      </c>
      <c r="D55" s="567"/>
      <c r="E55" s="567"/>
      <c r="F55" s="567"/>
      <c r="G55" s="567"/>
      <c r="H55" s="565"/>
      <c r="I55" s="133"/>
      <c r="J55" s="614"/>
    </row>
    <row r="56" ht="18" customHeight="1" spans="1:10" x14ac:dyDescent="0.25">
      <c r="A56" s="603" t="s">
        <v>1402</v>
      </c>
      <c r="B56" s="628" t="s">
        <v>1403</v>
      </c>
      <c r="C56" s="629" t="s">
        <v>1404</v>
      </c>
      <c r="D56" s="567"/>
      <c r="E56" s="567"/>
      <c r="F56" s="567"/>
      <c r="G56" s="567"/>
      <c r="H56" s="565"/>
      <c r="I56" s="133"/>
      <c r="J56" s="614"/>
    </row>
    <row r="57" ht="18" customHeight="1" spans="1:10" x14ac:dyDescent="0.25">
      <c r="A57" s="603" t="s">
        <v>1405</v>
      </c>
      <c r="B57" s="628" t="s">
        <v>1406</v>
      </c>
      <c r="C57" s="629" t="s">
        <v>1407</v>
      </c>
      <c r="D57" s="567"/>
      <c r="E57" s="567"/>
      <c r="F57" s="567"/>
      <c r="G57" s="567"/>
      <c r="H57" s="565"/>
      <c r="I57" s="133"/>
      <c r="J57" s="614"/>
    </row>
    <row r="58" ht="18" customHeight="1" spans="1:10" x14ac:dyDescent="0.25">
      <c r="A58" s="603" t="s">
        <v>1408</v>
      </c>
      <c r="B58" s="628" t="s">
        <v>1409</v>
      </c>
      <c r="C58" s="629" t="s">
        <v>1410</v>
      </c>
      <c r="D58" s="567"/>
      <c r="E58" s="567"/>
      <c r="F58" s="567"/>
      <c r="G58" s="567"/>
      <c r="H58" s="565"/>
      <c r="I58" s="133"/>
      <c r="J58" s="614"/>
    </row>
    <row r="59" ht="18" customHeight="1" spans="1:10" x14ac:dyDescent="0.25">
      <c r="A59" s="603" t="s">
        <v>1411</v>
      </c>
      <c r="B59" s="628" t="s">
        <v>1412</v>
      </c>
      <c r="C59" s="629" t="s">
        <v>1413</v>
      </c>
      <c r="D59" s="567"/>
      <c r="E59" s="567"/>
      <c r="F59" s="567"/>
      <c r="G59" s="567"/>
      <c r="H59" s="565"/>
      <c r="I59" s="133"/>
      <c r="J59" s="614"/>
    </row>
    <row r="60" ht="18" customHeight="1" spans="1:10" x14ac:dyDescent="0.25">
      <c r="A60" s="603" t="s">
        <v>1414</v>
      </c>
      <c r="B60" s="628" t="s">
        <v>1415</v>
      </c>
      <c r="C60" s="629" t="s">
        <v>1416</v>
      </c>
      <c r="D60" s="567"/>
      <c r="E60" s="567"/>
      <c r="F60" s="567"/>
      <c r="G60" s="567"/>
      <c r="H60" s="565"/>
      <c r="I60" s="133"/>
      <c r="J60" s="614"/>
    </row>
    <row r="61" ht="18" customHeight="1" spans="1:10" x14ac:dyDescent="0.25">
      <c r="A61" s="603" t="s">
        <v>1417</v>
      </c>
      <c r="B61" s="628" t="s">
        <v>1418</v>
      </c>
      <c r="C61" s="629" t="s">
        <v>1419</v>
      </c>
      <c r="D61" s="567"/>
      <c r="E61" s="567"/>
      <c r="F61" s="567"/>
      <c r="G61" s="567"/>
      <c r="H61" s="565"/>
      <c r="I61" s="133"/>
      <c r="J61" s="614"/>
    </row>
    <row r="62" ht="18" customHeight="1" spans="1:10" x14ac:dyDescent="0.25">
      <c r="A62" s="603" t="s">
        <v>1420</v>
      </c>
      <c r="B62" s="628" t="s">
        <v>1421</v>
      </c>
      <c r="C62" s="629" t="s">
        <v>1422</v>
      </c>
      <c r="D62" s="567"/>
      <c r="E62" s="567"/>
      <c r="F62" s="567"/>
      <c r="G62" s="567"/>
      <c r="H62" s="565"/>
      <c r="I62" s="133"/>
      <c r="J62" s="614"/>
    </row>
    <row r="63" ht="18" customHeight="1" spans="1:10" x14ac:dyDescent="0.25">
      <c r="A63" s="603" t="s">
        <v>1423</v>
      </c>
      <c r="B63" s="628" t="s">
        <v>1424</v>
      </c>
      <c r="C63" s="629" t="s">
        <v>1425</v>
      </c>
      <c r="D63" s="567"/>
      <c r="E63" s="567"/>
      <c r="F63" s="567"/>
      <c r="G63" s="567"/>
      <c r="H63" s="565"/>
      <c r="I63" s="133"/>
      <c r="J63" s="614"/>
    </row>
    <row r="64" ht="18" customHeight="1" spans="1:10" x14ac:dyDescent="0.25">
      <c r="A64" s="603" t="s">
        <v>1426</v>
      </c>
      <c r="B64" s="628" t="s">
        <v>1427</v>
      </c>
      <c r="C64" s="629" t="s">
        <v>1428</v>
      </c>
      <c r="D64" s="567"/>
      <c r="E64" s="567"/>
      <c r="F64" s="567"/>
      <c r="G64" s="567"/>
      <c r="H64" s="565"/>
      <c r="I64" s="133"/>
      <c r="J64" s="614"/>
    </row>
    <row r="65" ht="18" customHeight="1" spans="1:10" x14ac:dyDescent="0.25">
      <c r="A65" s="603" t="s">
        <v>1429</v>
      </c>
      <c r="B65" s="628" t="s">
        <v>1430</v>
      </c>
      <c r="C65" s="629" t="s">
        <v>1431</v>
      </c>
      <c r="D65" s="567"/>
      <c r="E65" s="567"/>
      <c r="F65" s="567"/>
      <c r="G65" s="567"/>
      <c r="H65" s="50"/>
      <c r="I65" s="50"/>
      <c r="J65" s="614"/>
    </row>
    <row r="66" ht="18" customHeight="1" spans="1:10" x14ac:dyDescent="0.25">
      <c r="A66" s="603" t="s">
        <v>1432</v>
      </c>
      <c r="B66" s="628" t="s">
        <v>1433</v>
      </c>
      <c r="C66" s="629" t="s">
        <v>1434</v>
      </c>
      <c r="D66" s="567"/>
      <c r="E66" s="567"/>
      <c r="F66" s="567"/>
      <c r="G66" s="567"/>
      <c r="H66" s="50"/>
      <c r="I66" s="50"/>
      <c r="J66" s="614"/>
    </row>
    <row r="67" ht="18" customHeight="1" spans="1:10" x14ac:dyDescent="0.25">
      <c r="A67" s="603" t="s">
        <v>1435</v>
      </c>
      <c r="B67" s="628" t="s">
        <v>1436</v>
      </c>
      <c r="C67" s="629" t="s">
        <v>1437</v>
      </c>
      <c r="D67" s="567"/>
      <c r="E67" s="567"/>
      <c r="F67" s="567"/>
      <c r="G67" s="567"/>
      <c r="H67" s="50"/>
      <c r="I67" s="50"/>
      <c r="J67" s="614"/>
    </row>
    <row r="68" ht="18" customHeight="1" spans="1:10" x14ac:dyDescent="0.25">
      <c r="A68" s="603" t="s">
        <v>1438</v>
      </c>
      <c r="B68" s="628" t="s">
        <v>1439</v>
      </c>
      <c r="C68" s="629" t="s">
        <v>1440</v>
      </c>
      <c r="D68" s="567"/>
      <c r="E68" s="567"/>
      <c r="F68" s="567"/>
      <c r="G68" s="567"/>
      <c r="H68" s="614"/>
      <c r="I68" s="614"/>
      <c r="J68" s="614"/>
    </row>
    <row r="69" ht="18" customHeight="1" spans="1:10" x14ac:dyDescent="0.25">
      <c r="A69" s="603" t="s">
        <v>1441</v>
      </c>
      <c r="B69" s="628" t="s">
        <v>1442</v>
      </c>
      <c r="C69" s="629" t="s">
        <v>1443</v>
      </c>
      <c r="D69" s="567"/>
      <c r="E69" s="567"/>
      <c r="F69" s="567"/>
      <c r="G69" s="567"/>
      <c r="H69" s="614"/>
      <c r="I69" s="614"/>
      <c r="J69" s="614"/>
    </row>
    <row r="70" ht="18" customHeight="1" spans="1:10" x14ac:dyDescent="0.25">
      <c r="A70" s="603" t="s">
        <v>1444</v>
      </c>
      <c r="B70" s="628" t="s">
        <v>1445</v>
      </c>
      <c r="C70" s="629" t="s">
        <v>1446</v>
      </c>
      <c r="D70" s="567"/>
      <c r="E70" s="567"/>
      <c r="F70" s="567"/>
      <c r="G70" s="567"/>
      <c r="H70" s="614"/>
      <c r="I70" s="614"/>
      <c r="J70" s="614"/>
    </row>
    <row r="71" ht="18" customHeight="1" spans="1:10" x14ac:dyDescent="0.25">
      <c r="A71" s="603" t="s">
        <v>1447</v>
      </c>
      <c r="B71" s="628" t="s">
        <v>1448</v>
      </c>
      <c r="C71" s="629" t="s">
        <v>1449</v>
      </c>
      <c r="D71" s="567"/>
      <c r="E71" s="567"/>
      <c r="F71" s="567"/>
      <c r="G71" s="567"/>
      <c r="H71" s="614"/>
      <c r="I71" s="614"/>
      <c r="J71" s="614"/>
    </row>
    <row r="72" ht="18" customHeight="1" spans="1:10" x14ac:dyDescent="0.25">
      <c r="A72" s="603" t="s">
        <v>1450</v>
      </c>
      <c r="B72" s="628" t="s">
        <v>1451</v>
      </c>
      <c r="C72" s="629" t="s">
        <v>1452</v>
      </c>
      <c r="D72" s="567"/>
      <c r="E72" s="567"/>
      <c r="F72" s="567"/>
      <c r="G72" s="567"/>
      <c r="H72" s="614"/>
      <c r="I72" s="614"/>
      <c r="J72" s="614"/>
    </row>
    <row r="73" ht="18" customHeight="1" spans="1:10" x14ac:dyDescent="0.25">
      <c r="A73" s="603" t="s">
        <v>1453</v>
      </c>
      <c r="B73" s="628" t="s">
        <v>1454</v>
      </c>
      <c r="C73" s="629" t="s">
        <v>1455</v>
      </c>
      <c r="D73" s="567"/>
      <c r="E73" s="567"/>
      <c r="F73" s="567"/>
      <c r="G73" s="567"/>
      <c r="H73" s="614"/>
      <c r="I73" s="614"/>
      <c r="J73" s="614"/>
    </row>
    <row r="74" ht="18" customHeight="1" spans="1:10" x14ac:dyDescent="0.25">
      <c r="A74" s="603" t="s">
        <v>1456</v>
      </c>
      <c r="B74" s="628" t="s">
        <v>1457</v>
      </c>
      <c r="C74" s="629" t="s">
        <v>1458</v>
      </c>
      <c r="D74" s="567"/>
      <c r="E74" s="567"/>
      <c r="F74" s="567"/>
      <c r="G74" s="567"/>
      <c r="H74" s="614"/>
      <c r="I74" s="614"/>
      <c r="J74" s="614"/>
    </row>
    <row r="75" ht="18" customHeight="1" spans="1:10" x14ac:dyDescent="0.25">
      <c r="A75" s="603" t="s">
        <v>1459</v>
      </c>
      <c r="B75" s="628" t="s">
        <v>1460</v>
      </c>
      <c r="C75" s="629" t="s">
        <v>1461</v>
      </c>
      <c r="D75" s="567"/>
      <c r="E75" s="567"/>
      <c r="F75" s="567"/>
      <c r="G75" s="567"/>
      <c r="H75" s="614"/>
      <c r="I75" s="614"/>
      <c r="J75" s="614"/>
    </row>
    <row r="76" ht="18" customHeight="1" spans="1:10" x14ac:dyDescent="0.25">
      <c r="A76" s="603" t="s">
        <v>1462</v>
      </c>
      <c r="B76" s="628" t="s">
        <v>1463</v>
      </c>
      <c r="C76" s="629" t="s">
        <v>1464</v>
      </c>
      <c r="D76" s="567"/>
      <c r="E76" s="567"/>
      <c r="F76" s="567"/>
      <c r="G76" s="567"/>
      <c r="H76" s="614"/>
      <c r="I76" s="614"/>
      <c r="J76" s="614"/>
    </row>
    <row r="77" ht="18" customHeight="1" spans="1:10" x14ac:dyDescent="0.25">
      <c r="A77" s="603" t="s">
        <v>1465</v>
      </c>
      <c r="B77" s="628" t="s">
        <v>1466</v>
      </c>
      <c r="C77" s="629" t="s">
        <v>1467</v>
      </c>
      <c r="D77" s="567"/>
      <c r="E77" s="567"/>
      <c r="F77" s="567"/>
      <c r="G77" s="567"/>
      <c r="H77" s="614"/>
      <c r="I77" s="614"/>
      <c r="J77" s="614"/>
    </row>
    <row r="78" ht="18" customHeight="1" spans="1:10" x14ac:dyDescent="0.25">
      <c r="A78" s="603" t="s">
        <v>1468</v>
      </c>
      <c r="B78" s="628" t="s">
        <v>1469</v>
      </c>
      <c r="C78" s="629" t="s">
        <v>1470</v>
      </c>
      <c r="D78" s="567"/>
      <c r="E78" s="567"/>
      <c r="F78" s="567"/>
      <c r="G78" s="567"/>
      <c r="H78" s="614"/>
      <c r="I78" s="614"/>
      <c r="J78" s="614"/>
    </row>
    <row r="79" ht="18" customHeight="1" spans="1:10" x14ac:dyDescent="0.25">
      <c r="A79" s="603" t="s">
        <v>1471</v>
      </c>
      <c r="B79" s="628" t="s">
        <v>1472</v>
      </c>
      <c r="C79" s="629" t="s">
        <v>1473</v>
      </c>
      <c r="D79" s="567"/>
      <c r="E79" s="567"/>
      <c r="F79" s="567"/>
      <c r="G79" s="567"/>
      <c r="H79" s="614"/>
      <c r="I79" s="614"/>
      <c r="J79" s="614"/>
    </row>
    <row r="80" ht="18" customHeight="1" spans="1:10" x14ac:dyDescent="0.25">
      <c r="A80" s="603" t="s">
        <v>1474</v>
      </c>
      <c r="B80" s="628" t="s">
        <v>1475</v>
      </c>
      <c r="C80" s="629" t="s">
        <v>1476</v>
      </c>
      <c r="D80" s="567"/>
      <c r="E80" s="567"/>
      <c r="F80" s="567"/>
      <c r="G80" s="567"/>
      <c r="H80" s="614"/>
      <c r="I80" s="614"/>
      <c r="J80" s="614"/>
    </row>
    <row r="81" ht="18" customHeight="1" spans="1:10" x14ac:dyDescent="0.25">
      <c r="A81" s="603" t="s">
        <v>1477</v>
      </c>
      <c r="B81" s="628" t="s">
        <v>1478</v>
      </c>
      <c r="C81" s="629" t="s">
        <v>1479</v>
      </c>
      <c r="D81" s="567"/>
      <c r="E81" s="567"/>
      <c r="F81" s="567"/>
      <c r="G81" s="567"/>
      <c r="H81" s="614"/>
      <c r="I81" s="614"/>
      <c r="J81" s="614"/>
    </row>
    <row r="82" ht="18" customHeight="1" spans="1:10" x14ac:dyDescent="0.25">
      <c r="A82" s="603" t="s">
        <v>1480</v>
      </c>
      <c r="B82" s="628" t="s">
        <v>1481</v>
      </c>
      <c r="C82" s="629"/>
      <c r="D82" s="567"/>
      <c r="E82" s="567"/>
      <c r="F82" s="567"/>
      <c r="G82" s="567"/>
      <c r="H82" s="614"/>
      <c r="I82" s="614"/>
      <c r="J82" s="614"/>
    </row>
    <row r="83" ht="17.5" customHeight="1" spans="2:3" x14ac:dyDescent="0.25">
      <c r="B83" s="630"/>
      <c r="C83" s="630"/>
    </row>
    <row r="84" ht="17.5" customHeight="1" spans="2:3" x14ac:dyDescent="0.25">
      <c r="B84" s="595"/>
      <c r="C84" s="595"/>
    </row>
    <row r="85" ht="17.5" customHeight="1" spans="2:3" x14ac:dyDescent="0.25">
      <c r="B85" s="595"/>
      <c r="C85" s="595"/>
    </row>
    <row r="86" ht="17.5" customHeight="1" spans="2:3" x14ac:dyDescent="0.25">
      <c r="B86" s="595"/>
      <c r="C86" s="595"/>
    </row>
    <row r="87" ht="17.5" customHeight="1" spans="2:3" x14ac:dyDescent="0.25">
      <c r="B87" s="595"/>
      <c r="C87" s="595"/>
    </row>
    <row r="88" ht="17.5" customHeight="1" spans="2:3" x14ac:dyDescent="0.25">
      <c r="B88" s="595"/>
      <c r="C88" s="595"/>
    </row>
    <row r="89" ht="17.5" customHeight="1" spans="2:3" x14ac:dyDescent="0.25">
      <c r="B89" s="595"/>
      <c r="C89" s="595"/>
    </row>
    <row r="90" ht="17.5" customHeight="1" spans="2:3" x14ac:dyDescent="0.25">
      <c r="B90" s="595"/>
      <c r="C90" s="595"/>
    </row>
    <row r="91" ht="17.5" customHeight="1" spans="2:3" x14ac:dyDescent="0.25">
      <c r="B91" s="595"/>
      <c r="C91" s="595"/>
    </row>
    <row r="92" ht="17.5" customHeight="1" spans="2:3" x14ac:dyDescent="0.25">
      <c r="B92" s="595"/>
      <c r="C92" s="595"/>
    </row>
    <row r="93" ht="17.5" customHeight="1" spans="2:3" x14ac:dyDescent="0.25">
      <c r="B93" s="595"/>
      <c r="C93" s="595"/>
    </row>
    <row r="94" ht="17.5" customHeight="1" spans="2:3" x14ac:dyDescent="0.25">
      <c r="B94" s="595"/>
      <c r="C94" s="595"/>
    </row>
    <row r="95" ht="17.5" customHeight="1" spans="2:3" x14ac:dyDescent="0.25">
      <c r="B95" s="595"/>
      <c r="C95" s="595"/>
    </row>
    <row r="96" ht="17.5" customHeight="1" spans="2:3" x14ac:dyDescent="0.25">
      <c r="B96" s="595"/>
      <c r="C96" s="595"/>
    </row>
    <row r="97" ht="17.5" customHeight="1" spans="1:1" s="595" customFormat="1" x14ac:dyDescent="0.25">
      <c r="A97" s="592"/>
    </row>
    <row r="98" ht="17.5" customHeight="1" spans="1:1" s="595" customFormat="1" x14ac:dyDescent="0.25">
      <c r="A98" s="592"/>
    </row>
    <row r="99" ht="17.5" customHeight="1" spans="1:1" s="595" customFormat="1" x14ac:dyDescent="0.25">
      <c r="A99" s="592"/>
    </row>
    <row r="100" ht="17.5" customHeight="1" spans="1:1" s="595" customFormat="1" x14ac:dyDescent="0.25">
      <c r="A100" s="592"/>
    </row>
    <row r="101" ht="17.5" customHeight="1" spans="1:1" s="595" customFormat="1" x14ac:dyDescent="0.25">
      <c r="A101" s="592"/>
    </row>
    <row r="102" ht="17.5" customHeight="1" spans="1:1" s="595" customFormat="1" x14ac:dyDescent="0.25">
      <c r="A102" s="592"/>
    </row>
    <row r="103" ht="17.5" customHeight="1" spans="1:1" s="595" customFormat="1" x14ac:dyDescent="0.25">
      <c r="A103" s="592"/>
    </row>
    <row r="104" ht="17.5" customHeight="1" spans="1:1" s="595" customFormat="1" x14ac:dyDescent="0.25">
      <c r="A104" s="592"/>
    </row>
    <row r="105" ht="17.5" customHeight="1" spans="1:1" s="595" customFormat="1" x14ac:dyDescent="0.25">
      <c r="A105" s="592"/>
    </row>
    <row r="106" ht="17.5" customHeight="1" spans="1:1" s="595" customFormat="1" x14ac:dyDescent="0.25">
      <c r="A106" s="592"/>
    </row>
    <row r="107" ht="17.5" customHeight="1" spans="1:1" s="595" customFormat="1" x14ac:dyDescent="0.25">
      <c r="A107" s="592"/>
    </row>
    <row r="108" ht="17.5" customHeight="1" spans="1:1" s="595" customFormat="1" x14ac:dyDescent="0.25">
      <c r="A108" s="592"/>
    </row>
    <row r="109" ht="17.5" customHeight="1" spans="1:1" s="595" customFormat="1" x14ac:dyDescent="0.25">
      <c r="A109" s="592"/>
    </row>
    <row r="110" ht="17.5" customHeight="1" spans="1:1" s="595" customFormat="1" x14ac:dyDescent="0.25">
      <c r="A110" s="592"/>
    </row>
    <row r="111" ht="17.5" customHeight="1" spans="1:1" s="595" customFormat="1" x14ac:dyDescent="0.25">
      <c r="A111" s="592"/>
    </row>
    <row r="112" ht="17.5" customHeight="1" spans="1:1" s="595" customFormat="1" x14ac:dyDescent="0.25">
      <c r="A112" s="592"/>
    </row>
    <row r="113" ht="17.5" customHeight="1" spans="1:1" s="595" customFormat="1" x14ac:dyDescent="0.25">
      <c r="A113" s="592"/>
    </row>
    <row r="114" ht="17.5" customHeight="1" spans="1:1" s="595" customFormat="1" x14ac:dyDescent="0.25">
      <c r="A114" s="592"/>
    </row>
    <row r="115" ht="17.5" customHeight="1" spans="1:1" s="595" customFormat="1" x14ac:dyDescent="0.25">
      <c r="A115" s="592"/>
    </row>
    <row r="116" ht="17.5" customHeight="1" spans="1:1" s="595" customFormat="1" x14ac:dyDescent="0.25">
      <c r="A116" s="592"/>
    </row>
    <row r="117" ht="17.5" customHeight="1" spans="1:1" s="595" customFormat="1" x14ac:dyDescent="0.25">
      <c r="A117" s="592"/>
    </row>
    <row r="118" ht="17.5" customHeight="1" spans="1:1" s="595" customFormat="1" x14ac:dyDescent="0.25">
      <c r="A118" s="592"/>
    </row>
    <row r="119" ht="17.5" customHeight="1" spans="1:1" s="595" customFormat="1" x14ac:dyDescent="0.25">
      <c r="A119" s="592"/>
    </row>
    <row r="120" ht="17.5" customHeight="1" spans="1:1" s="595" customFormat="1" x14ac:dyDescent="0.25">
      <c r="A120" s="592"/>
    </row>
    <row r="121" ht="17.5" customHeight="1" spans="1:1" s="595" customFormat="1" x14ac:dyDescent="0.25">
      <c r="A121" s="592"/>
    </row>
    <row r="122" ht="17.5" customHeight="1" spans="1:1" s="595" customFormat="1" x14ac:dyDescent="0.25">
      <c r="A122" s="592"/>
    </row>
    <row r="123" ht="17.5" customHeight="1" spans="1:1" s="595" customFormat="1" x14ac:dyDescent="0.25">
      <c r="A123" s="592"/>
    </row>
    <row r="124" ht="17.5" customHeight="1" spans="1:1" s="595" customFormat="1" x14ac:dyDescent="0.25">
      <c r="A124" s="592"/>
    </row>
    <row r="125" ht="17.5" customHeight="1" spans="1:1" s="595" customFormat="1" x14ac:dyDescent="0.25">
      <c r="A125" s="592"/>
    </row>
    <row r="126" ht="17.5" customHeight="1" spans="1:1" s="595" customFormat="1" x14ac:dyDescent="0.25">
      <c r="A126" s="592"/>
    </row>
    <row r="127" ht="17.5" customHeight="1" spans="1:1" s="595" customFormat="1" x14ac:dyDescent="0.25">
      <c r="A127" s="592"/>
    </row>
    <row r="128" ht="17.5" customHeight="1" spans="1:1" s="595" customFormat="1" x14ac:dyDescent="0.25">
      <c r="A128" s="592"/>
    </row>
    <row r="129" ht="17.5" customHeight="1" spans="1:1" s="595" customFormat="1" x14ac:dyDescent="0.25">
      <c r="A129" s="592"/>
    </row>
    <row r="130" ht="17.5" customHeight="1" spans="1:1" s="595" customFormat="1" x14ac:dyDescent="0.25">
      <c r="A130" s="592"/>
    </row>
    <row r="131" ht="17.5" customHeight="1" spans="1:1" s="595" customFormat="1" x14ac:dyDescent="0.25">
      <c r="A131" s="592"/>
    </row>
    <row r="132" ht="17.5" customHeight="1" spans="1:1" s="595" customFormat="1" x14ac:dyDescent="0.25">
      <c r="A132" s="592"/>
    </row>
    <row r="133" ht="17.5" customHeight="1" spans="1:1" s="595" customFormat="1" x14ac:dyDescent="0.25">
      <c r="A133" s="592"/>
    </row>
    <row r="134" ht="17.5" customHeight="1" spans="1:1" s="595" customFormat="1" x14ac:dyDescent="0.25">
      <c r="A134" s="592"/>
    </row>
    <row r="135" ht="17.5" customHeight="1" spans="1:1" s="595" customFormat="1" x14ac:dyDescent="0.25">
      <c r="A135" s="592"/>
    </row>
    <row r="136" ht="17.5" customHeight="1" spans="1:1" s="595" customFormat="1" x14ac:dyDescent="0.25">
      <c r="A136" s="592"/>
    </row>
    <row r="137" ht="17.5" customHeight="1" spans="1:1" s="595" customFormat="1" x14ac:dyDescent="0.25">
      <c r="A137" s="592"/>
    </row>
    <row r="138" ht="17.5" customHeight="1" spans="1:1" s="595" customFormat="1" x14ac:dyDescent="0.25">
      <c r="A138" s="592"/>
    </row>
    <row r="139" ht="17.5" customHeight="1" spans="1:1" s="595" customFormat="1" x14ac:dyDescent="0.25">
      <c r="A139" s="592"/>
    </row>
    <row r="140" ht="17.5" customHeight="1" spans="1:1" s="595" customFormat="1" x14ac:dyDescent="0.25">
      <c r="A140" s="592"/>
    </row>
    <row r="141" ht="17.5" customHeight="1" spans="1:1" s="595" customFormat="1" x14ac:dyDescent="0.25">
      <c r="A141" s="592"/>
    </row>
    <row r="142" ht="17.5" customHeight="1" spans="1:1" s="595" customFormat="1" x14ac:dyDescent="0.25">
      <c r="A142" s="592"/>
    </row>
    <row r="143" ht="17.5" customHeight="1" spans="1:1" s="595" customFormat="1" x14ac:dyDescent="0.25">
      <c r="A143" s="592"/>
    </row>
    <row r="144" ht="17.5" customHeight="1" spans="1:1" s="595" customFormat="1" x14ac:dyDescent="0.25">
      <c r="A144" s="592"/>
    </row>
    <row r="145" ht="17.5" customHeight="1" spans="1:1" s="595" customFormat="1" x14ac:dyDescent="0.25">
      <c r="A145" s="592"/>
    </row>
    <row r="146" ht="17.5" customHeight="1" spans="1:1" s="595" customFormat="1" x14ac:dyDescent="0.25">
      <c r="A146" s="592"/>
    </row>
    <row r="147" ht="17.5" customHeight="1" spans="1:1" s="595" customFormat="1" x14ac:dyDescent="0.25">
      <c r="A147" s="592"/>
    </row>
    <row r="148" ht="17.5" customHeight="1" spans="1:1" s="595" customFormat="1" x14ac:dyDescent="0.25">
      <c r="A148" s="592"/>
    </row>
    <row r="149" ht="17.5" customHeight="1" spans="1:1" s="595" customFormat="1" x14ac:dyDescent="0.25">
      <c r="A149" s="592"/>
    </row>
    <row r="150" ht="17.5" customHeight="1" spans="1:1" s="595" customFormat="1" x14ac:dyDescent="0.25">
      <c r="A150" s="592"/>
    </row>
    <row r="151" ht="17.5" customHeight="1" spans="1:1" s="595" customFormat="1" x14ac:dyDescent="0.25">
      <c r="A151" s="592"/>
    </row>
    <row r="152" ht="17.5" customHeight="1" spans="1:1" s="595" customFormat="1" x14ac:dyDescent="0.25">
      <c r="A152" s="592"/>
    </row>
    <row r="153" ht="17.5" customHeight="1" spans="1:1" s="595" customFormat="1" x14ac:dyDescent="0.25">
      <c r="A153" s="592"/>
    </row>
    <row r="154" ht="17.5" customHeight="1" spans="1:1" s="595" customFormat="1" x14ac:dyDescent="0.25">
      <c r="A154" s="592"/>
    </row>
    <row r="155" ht="17.5" customHeight="1" spans="1:1" s="595" customFormat="1" x14ac:dyDescent="0.25">
      <c r="A155" s="592"/>
    </row>
    <row r="156" ht="17.5" customHeight="1" spans="1:1" s="595" customFormat="1" x14ac:dyDescent="0.25">
      <c r="A156" s="592"/>
    </row>
    <row r="157" ht="17.5" customHeight="1" spans="1:1" s="595" customFormat="1" x14ac:dyDescent="0.25">
      <c r="A157" s="592"/>
    </row>
    <row r="158" ht="17.5" customHeight="1" spans="1:1" s="595" customFormat="1" x14ac:dyDescent="0.25">
      <c r="A158" s="592"/>
    </row>
    <row r="159" ht="17.5" customHeight="1" spans="1:1" s="595" customFormat="1" x14ac:dyDescent="0.25">
      <c r="A159" s="592"/>
    </row>
    <row r="160" ht="17.5" customHeight="1" spans="1:1" s="595" customFormat="1" x14ac:dyDescent="0.25">
      <c r="A160" s="592"/>
    </row>
    <row r="161" ht="17.5" customHeight="1" spans="1:1" s="595" customFormat="1" x14ac:dyDescent="0.25">
      <c r="A161" s="592"/>
    </row>
    <row r="162" ht="17.5" customHeight="1" spans="1:1" s="595" customFormat="1" x14ac:dyDescent="0.25">
      <c r="A162" s="592"/>
    </row>
    <row r="163" ht="17.5" customHeight="1" spans="1:1" s="595" customFormat="1" x14ac:dyDescent="0.25">
      <c r="A163" s="592"/>
    </row>
    <row r="164" ht="17.5" customHeight="1" spans="1:1" s="595" customFormat="1" x14ac:dyDescent="0.25">
      <c r="A164" s="592"/>
    </row>
  </sheetData>
  <sheetProtection sheet="1" algorithmName="SHA-512" hashValue="KyJJb+cpB2Nkd5+n7FFKtMYqWCdqCUoBzXuI/OvygfFOhrYboSLARK3BxW2J3b1HJ9R0m19VQqlztJTdJ/MhhA==" saltValue="UgUIyFcfaCbFHFt5lZIOGg==" spinCount="100000" objects="1" scenarios="1"/>
  <mergeCells count="35">
    <mergeCell ref="A1:I1"/>
    <mergeCell ref="C9:D9"/>
    <mergeCell ref="E9:F9"/>
    <mergeCell ref="G9:H9"/>
    <mergeCell ref="A9:A10"/>
    <mergeCell ref="B9:B10"/>
    <mergeCell ref="A13:I13"/>
    <mergeCell ref="A16:B16"/>
    <mergeCell ref="C17:I18"/>
    <mergeCell ref="A17:A18"/>
    <mergeCell ref="B17:B18"/>
    <mergeCell ref="J17:J18"/>
    <mergeCell ref="C19:I19"/>
    <mergeCell ref="C20:I20"/>
    <mergeCell ref="C21:I21"/>
    <mergeCell ref="A22:J22"/>
    <mergeCell ref="C23:I23"/>
    <mergeCell ref="A24:I24"/>
    <mergeCell ref="A25:B25"/>
    <mergeCell ref="A26:A27"/>
    <mergeCell ref="B26:B27"/>
    <mergeCell ref="C26:C27"/>
    <mergeCell ref="D26:D27"/>
    <mergeCell ref="A28:B28"/>
    <mergeCell ref="A31:H31"/>
    <mergeCell ref="A32:H32"/>
    <mergeCell ref="C33:D33"/>
    <mergeCell ref="A33:A34"/>
    <mergeCell ref="B33:B34"/>
    <mergeCell ref="A40:H40"/>
    <mergeCell ref="A41:H41"/>
    <mergeCell ref="D42:E42"/>
    <mergeCell ref="F42:G42"/>
    <mergeCell ref="A42:A43"/>
    <mergeCell ref="B42:B43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3" fitToWidth="1" fitToHeight="1" firstPageNumber="1" useFirstPageNumber="1" copies="1"/>
  <headerFooter>
    <oddFooter>&amp;R&amp;P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15"/>
  <sheetViews>
    <sheetView workbookViewId="0" zoomScale="70" zoomScaleNormal="60" view="pageBreakPreview">
      <selection activeCell="B18" sqref="B18"/>
    </sheetView>
  </sheetViews>
  <sheetFormatPr defaultRowHeight="17.25" outlineLevelRow="0" outlineLevelCol="0" x14ac:dyDescent="0" defaultColWidth="10" customHeight="1"/>
  <cols>
    <col min="1" max="1" width="11.6328125" style="318" customWidth="1"/>
    <col min="2" max="2" width="105.7265625" style="563" customWidth="1"/>
    <col min="3" max="3" width="37.1796875" style="341" customWidth="1"/>
    <col min="4" max="5" width="37.1796875" style="317" customWidth="1"/>
    <col min="6" max="16384" width="10" style="317" customWidth="1"/>
  </cols>
  <sheetData>
    <row r="1" ht="29.25" customHeight="1" spans="1:5" x14ac:dyDescent="0.25">
      <c r="A1" s="319" t="s">
        <v>1482</v>
      </c>
      <c r="B1" s="319"/>
      <c r="C1" s="319"/>
      <c r="D1" s="319"/>
      <c r="E1" s="597" t="s">
        <v>88</v>
      </c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1:12" x14ac:dyDescent="0.25">
      <c r="A3" s="317"/>
      <c r="B3" s="631"/>
      <c r="C3" s="317"/>
      <c r="E3" s="324"/>
      <c r="F3" s="324"/>
      <c r="G3" s="324"/>
      <c r="H3" s="324"/>
      <c r="I3" s="324"/>
      <c r="J3" s="324"/>
      <c r="K3" s="324"/>
      <c r="L3" s="324"/>
    </row>
    <row r="4" ht="9.75" customHeight="1" spans="1:12" x14ac:dyDescent="0.25">
      <c r="A4" s="631"/>
      <c r="B4" s="317"/>
      <c r="C4" s="324"/>
      <c r="E4" s="324"/>
      <c r="F4" s="324"/>
      <c r="G4" s="324"/>
      <c r="H4" s="324"/>
      <c r="I4" s="324"/>
      <c r="J4" s="324"/>
      <c r="K4" s="324"/>
      <c r="L4" s="324"/>
    </row>
    <row r="5" ht="17.5" customHeight="1" spans="1:12" x14ac:dyDescent="0.25">
      <c r="A5" s="631"/>
      <c r="B5" s="317"/>
      <c r="C5" s="324"/>
      <c r="E5" s="324"/>
      <c r="F5" s="324"/>
      <c r="G5" s="324"/>
      <c r="H5" s="324"/>
      <c r="I5" s="324"/>
      <c r="J5" s="324"/>
      <c r="K5" s="324"/>
      <c r="L5" s="324"/>
    </row>
    <row r="6" ht="17.5" customHeight="1" spans="1:12" x14ac:dyDescent="0.25">
      <c r="A6" s="317"/>
      <c r="B6" s="317"/>
      <c r="C6" s="324"/>
      <c r="E6" s="324"/>
      <c r="F6" s="324"/>
      <c r="G6" s="324"/>
      <c r="H6" s="324"/>
      <c r="I6" s="324"/>
      <c r="J6" s="324"/>
      <c r="K6" s="324"/>
      <c r="L6" s="324"/>
    </row>
    <row r="7" ht="18" customHeight="1" spans="1:5" x14ac:dyDescent="0.25">
      <c r="A7" s="317"/>
      <c r="B7" s="317"/>
      <c r="C7" s="317"/>
      <c r="D7" s="317"/>
      <c r="E7" s="317"/>
    </row>
    <row r="8" ht="18" customHeight="1" spans="1:5" x14ac:dyDescent="0.25">
      <c r="A8" s="632" t="s">
        <v>1483</v>
      </c>
      <c r="B8" s="565"/>
      <c r="C8" s="117"/>
      <c r="D8" s="117"/>
      <c r="E8" s="117"/>
    </row>
    <row r="9" ht="17.25" customHeight="1" spans="1:5" s="17" customFormat="1" x14ac:dyDescent="0.25">
      <c r="A9" s="135" t="s">
        <v>113</v>
      </c>
      <c r="B9" s="135" t="s">
        <v>145</v>
      </c>
      <c r="C9" s="158" t="s">
        <v>1252</v>
      </c>
      <c r="D9" s="158"/>
      <c r="E9" s="158"/>
    </row>
    <row r="10" ht="18" customHeight="1" spans="1:5" s="17" customFormat="1" x14ac:dyDescent="0.25">
      <c r="A10" s="135"/>
      <c r="B10" s="135"/>
      <c r="C10" s="135" t="s">
        <v>1216</v>
      </c>
      <c r="D10" s="135"/>
      <c r="E10" s="135" t="s">
        <v>1217</v>
      </c>
    </row>
    <row r="11" ht="25.5" customHeight="1" spans="1:5" s="17" customFormat="1" x14ac:dyDescent="0.25">
      <c r="A11" s="135"/>
      <c r="B11" s="135"/>
      <c r="C11" s="135" t="s">
        <v>1219</v>
      </c>
      <c r="D11" s="135" t="s">
        <v>1220</v>
      </c>
      <c r="E11" s="135" t="s">
        <v>1484</v>
      </c>
    </row>
    <row r="12" ht="30.75" customHeight="1" spans="1:5" x14ac:dyDescent="0.25">
      <c r="A12" s="145" t="s">
        <v>1485</v>
      </c>
      <c r="B12" s="590" t="s">
        <v>1486</v>
      </c>
      <c r="C12" s="567"/>
      <c r="D12" s="567"/>
      <c r="E12" s="567"/>
    </row>
    <row r="13" ht="30.75" customHeight="1" spans="1:5" x14ac:dyDescent="0.25">
      <c r="A13" s="145" t="s">
        <v>1487</v>
      </c>
      <c r="B13" s="590" t="s">
        <v>1488</v>
      </c>
      <c r="C13" s="567"/>
      <c r="D13" s="567"/>
      <c r="E13" s="567"/>
    </row>
    <row r="14" ht="30.75" customHeight="1" spans="1:5" x14ac:dyDescent="0.25">
      <c r="A14" s="145" t="s">
        <v>1489</v>
      </c>
      <c r="B14" s="590" t="s">
        <v>1490</v>
      </c>
      <c r="C14" s="567"/>
      <c r="D14" s="567"/>
      <c r="E14" s="567"/>
    </row>
    <row r="15" ht="30.75" customHeight="1" spans="1:5" x14ac:dyDescent="0.25">
      <c r="A15" s="145" t="s">
        <v>1491</v>
      </c>
      <c r="B15" s="590" t="s">
        <v>1492</v>
      </c>
      <c r="C15" s="567"/>
      <c r="D15" s="567"/>
      <c r="E15" s="567"/>
    </row>
    <row r="16" ht="30.75" customHeight="1" spans="1:5" x14ac:dyDescent="0.25">
      <c r="A16" s="145" t="s">
        <v>1493</v>
      </c>
      <c r="B16" s="590" t="s">
        <v>1494</v>
      </c>
      <c r="C16" s="567"/>
      <c r="D16" s="567"/>
      <c r="E16" s="567"/>
    </row>
    <row r="17" ht="17.5" customHeight="1" spans="1:5" x14ac:dyDescent="0.25">
      <c r="A17" s="145"/>
      <c r="B17" s="117"/>
      <c r="C17" s="117"/>
      <c r="D17" s="117"/>
      <c r="E17" s="117"/>
    </row>
    <row r="18" ht="30" customHeight="1" spans="1:5" x14ac:dyDescent="0.25">
      <c r="A18" s="145" t="s">
        <v>1495</v>
      </c>
      <c r="B18" s="633" t="s">
        <v>1496</v>
      </c>
      <c r="C18" s="567">
        <v>0</v>
      </c>
      <c r="D18" s="567">
        <v>0</v>
      </c>
      <c r="E18" s="567">
        <v>0</v>
      </c>
    </row>
    <row r="19" ht="17.5" customHeight="1" spans="1:5" x14ac:dyDescent="0.25">
      <c r="A19" s="634"/>
      <c r="B19" s="635"/>
      <c r="C19" s="50"/>
      <c r="D19" s="635"/>
      <c r="E19" s="50"/>
    </row>
    <row r="20" ht="18" customHeight="1" spans="1:5" x14ac:dyDescent="0.25">
      <c r="A20" s="157" t="s">
        <v>1251</v>
      </c>
      <c r="B20" s="565"/>
      <c r="C20" s="117"/>
      <c r="D20" s="117"/>
      <c r="E20" s="117"/>
    </row>
    <row r="21" ht="12.75" customHeight="1" spans="1:5" s="17" customFormat="1" x14ac:dyDescent="0.25">
      <c r="A21" s="135" t="s">
        <v>113</v>
      </c>
      <c r="B21" s="135" t="s">
        <v>145</v>
      </c>
      <c r="C21" s="135" t="s">
        <v>166</v>
      </c>
      <c r="D21" s="135" t="s">
        <v>1215</v>
      </c>
      <c r="E21" s="135" t="s">
        <v>1101</v>
      </c>
    </row>
    <row r="22" ht="12.75" customHeight="1" spans="1:5" s="17" customFormat="1" x14ac:dyDescent="0.25">
      <c r="A22" s="135"/>
      <c r="B22" s="135"/>
      <c r="C22" s="135"/>
      <c r="D22" s="135"/>
      <c r="E22" s="135"/>
    </row>
    <row r="23" ht="25.5" customHeight="1" spans="1:5" s="17" customFormat="1" x14ac:dyDescent="0.25">
      <c r="A23" s="135"/>
      <c r="B23" s="135"/>
      <c r="C23" s="135"/>
      <c r="D23" s="135"/>
      <c r="E23" s="135"/>
    </row>
    <row r="24" ht="30" customHeight="1" spans="1:5" x14ac:dyDescent="0.25">
      <c r="A24" s="145" t="s">
        <v>1497</v>
      </c>
      <c r="B24" s="176" t="s">
        <v>1217</v>
      </c>
      <c r="C24" s="567"/>
      <c r="D24" s="335">
        <v>0.15</v>
      </c>
      <c r="E24" s="567">
        <v>0</v>
      </c>
    </row>
    <row r="25" ht="30" customHeight="1" spans="1:5" x14ac:dyDescent="0.25">
      <c r="A25" s="145" t="s">
        <v>1498</v>
      </c>
      <c r="B25" s="145" t="s">
        <v>1499</v>
      </c>
      <c r="C25" s="567"/>
      <c r="D25" s="335">
        <v>0.03</v>
      </c>
      <c r="E25" s="567">
        <v>0</v>
      </c>
    </row>
    <row r="26" ht="17.5" customHeight="1" spans="1:5" x14ac:dyDescent="0.25">
      <c r="A26" s="636"/>
      <c r="B26" s="117"/>
      <c r="C26" s="117"/>
      <c r="D26" s="117"/>
      <c r="E26" s="117"/>
    </row>
    <row r="27" ht="30" customHeight="1" spans="1:5" s="337" customFormat="1" x14ac:dyDescent="0.25">
      <c r="A27" s="147" t="s">
        <v>1500</v>
      </c>
      <c r="B27" s="637" t="s">
        <v>1306</v>
      </c>
      <c r="C27" s="638"/>
      <c r="D27" s="638"/>
      <c r="E27" s="567">
        <v>0</v>
      </c>
    </row>
    <row r="28" ht="17.5" customHeight="1" spans="1:5" x14ac:dyDescent="0.25">
      <c r="A28" s="50"/>
      <c r="B28" s="117"/>
      <c r="C28" s="117"/>
      <c r="D28" s="117"/>
      <c r="E28" s="117"/>
    </row>
    <row r="29" ht="13.5" customHeight="1" spans="1:5" s="418" customFormat="1" x14ac:dyDescent="0.25">
      <c r="A29" s="588"/>
      <c r="B29" s="588"/>
      <c r="C29" s="588"/>
      <c r="D29" s="588"/>
      <c r="E29" s="588"/>
    </row>
    <row r="30" ht="25.5" customHeight="1" spans="1:5" s="17" customFormat="1" x14ac:dyDescent="0.25">
      <c r="A30" s="617" t="s">
        <v>1307</v>
      </c>
      <c r="B30" s="617"/>
      <c r="C30" s="618"/>
      <c r="D30" s="619"/>
      <c r="E30" s="618"/>
    </row>
    <row r="31" ht="18" customHeight="1" spans="1:5" s="17" customFormat="1" x14ac:dyDescent="0.25">
      <c r="A31" s="135" t="s">
        <v>113</v>
      </c>
      <c r="B31" s="158" t="s">
        <v>145</v>
      </c>
      <c r="C31" s="158"/>
      <c r="D31" s="346"/>
      <c r="E31" s="135" t="s">
        <v>1101</v>
      </c>
    </row>
    <row r="32" ht="38.25" customHeight="1" spans="1:5" s="17" customFormat="1" x14ac:dyDescent="0.25">
      <c r="A32" s="135"/>
      <c r="B32" s="158"/>
      <c r="C32" s="158"/>
      <c r="D32" s="346"/>
      <c r="E32" s="135"/>
    </row>
    <row r="33" ht="30" customHeight="1" spans="1:5" s="418" customFormat="1" x14ac:dyDescent="0.25">
      <c r="A33" s="62" t="s">
        <v>1501</v>
      </c>
      <c r="B33" s="142" t="s">
        <v>1309</v>
      </c>
      <c r="C33" s="639"/>
      <c r="D33" s="640"/>
      <c r="E33" s="567"/>
    </row>
    <row r="34" ht="30" customHeight="1" spans="1:5" s="418" customFormat="1" x14ac:dyDescent="0.25">
      <c r="A34" s="62" t="s">
        <v>1502</v>
      </c>
      <c r="B34" s="142" t="s">
        <v>1311</v>
      </c>
      <c r="C34" s="639"/>
      <c r="D34" s="640"/>
      <c r="E34" s="567"/>
    </row>
    <row r="35" ht="30" customHeight="1" spans="1:5" s="418" customFormat="1" x14ac:dyDescent="0.25">
      <c r="A35" s="62" t="s">
        <v>1503</v>
      </c>
      <c r="B35" s="142" t="s">
        <v>1313</v>
      </c>
      <c r="C35" s="639"/>
      <c r="D35" s="640"/>
      <c r="E35" s="567"/>
    </row>
    <row r="36" ht="13.5" customHeight="1" spans="1:5" s="418" customFormat="1" x14ac:dyDescent="0.25">
      <c r="A36" s="641"/>
      <c r="B36" s="641"/>
      <c r="C36" s="641"/>
      <c r="D36" s="641"/>
      <c r="E36" s="641"/>
    </row>
    <row r="37" ht="30" customHeight="1" spans="1:5" s="17" customFormat="1" x14ac:dyDescent="0.25">
      <c r="A37" s="56" t="s">
        <v>676</v>
      </c>
      <c r="B37" s="572" t="s">
        <v>1315</v>
      </c>
      <c r="C37" s="573"/>
      <c r="D37" s="640"/>
      <c r="E37" s="567">
        <v>0</v>
      </c>
    </row>
    <row r="38" ht="13.5" customHeight="1" spans="1:5" s="418" customFormat="1" x14ac:dyDescent="0.25">
      <c r="A38" s="588"/>
      <c r="B38" s="588"/>
      <c r="C38" s="588"/>
      <c r="D38" s="588"/>
      <c r="E38" s="588"/>
    </row>
    <row r="39" ht="38.25" customHeight="1" spans="1:5" s="17" customFormat="1" x14ac:dyDescent="0.25">
      <c r="A39" s="620" t="s">
        <v>1504</v>
      </c>
      <c r="B39" s="620"/>
      <c r="C39" s="618"/>
      <c r="D39" s="618"/>
      <c r="E39" s="618"/>
    </row>
    <row r="40" ht="20.25" customHeight="1" spans="1:8" s="455" customFormat="1" x14ac:dyDescent="0.25">
      <c r="A40" s="135" t="s">
        <v>113</v>
      </c>
      <c r="B40" s="158" t="s">
        <v>145</v>
      </c>
      <c r="C40" s="135" t="s">
        <v>1101</v>
      </c>
      <c r="D40" s="135" t="s">
        <v>825</v>
      </c>
      <c r="E40" s="579"/>
      <c r="F40" s="642"/>
      <c r="G40" s="642"/>
      <c r="H40" s="642"/>
    </row>
    <row r="41" ht="42" customHeight="1" spans="1:8" s="455" customFormat="1" x14ac:dyDescent="0.25">
      <c r="A41" s="135"/>
      <c r="B41" s="158"/>
      <c r="C41" s="135"/>
      <c r="D41" s="135"/>
      <c r="E41" s="582"/>
      <c r="F41" s="439"/>
      <c r="G41" s="439"/>
      <c r="H41" s="439"/>
    </row>
    <row r="42" ht="17.25" customHeight="1" spans="1:8" s="455" customFormat="1" x14ac:dyDescent="0.25">
      <c r="A42" s="135"/>
      <c r="B42" s="135"/>
      <c r="C42" s="566" t="s">
        <v>154</v>
      </c>
      <c r="D42" s="566" t="s">
        <v>1317</v>
      </c>
      <c r="E42" s="466"/>
      <c r="F42" s="439"/>
      <c r="G42" s="439"/>
      <c r="H42" s="439"/>
    </row>
    <row r="43" ht="20" customHeight="1" spans="1:8" s="450" customFormat="1" x14ac:dyDescent="0.25">
      <c r="A43" s="147" t="s">
        <v>1505</v>
      </c>
      <c r="B43" s="572" t="s">
        <v>818</v>
      </c>
      <c r="C43" s="567">
        <v>0</v>
      </c>
      <c r="D43" s="567">
        <v>0</v>
      </c>
      <c r="E43" s="582"/>
      <c r="F43" s="439"/>
      <c r="G43" s="439"/>
      <c r="H43" s="439"/>
    </row>
    <row r="44" ht="17.5" customHeight="1" spans="2:3" x14ac:dyDescent="0.25">
      <c r="B44" s="317"/>
      <c r="C44" s="317"/>
    </row>
    <row r="45" ht="17.5" customHeight="1" spans="2:3" x14ac:dyDescent="0.25">
      <c r="B45" s="317"/>
      <c r="C45" s="317"/>
    </row>
    <row r="46" ht="17.5" customHeight="1" spans="2:3" x14ac:dyDescent="0.25">
      <c r="B46" s="317"/>
      <c r="C46" s="317"/>
    </row>
    <row r="47" ht="17.5" customHeight="1" spans="2:3" x14ac:dyDescent="0.25">
      <c r="B47" s="317"/>
      <c r="C47" s="317"/>
    </row>
    <row r="48" ht="17.5" customHeight="1" spans="2:3" x14ac:dyDescent="0.25">
      <c r="B48" s="317"/>
      <c r="C48" s="317"/>
    </row>
    <row r="49" ht="17.5" customHeight="1" spans="1:1" s="317" customFormat="1" x14ac:dyDescent="0.25">
      <c r="A49" s="318"/>
    </row>
    <row r="50" ht="17.5" customHeight="1" spans="1:1" s="317" customFormat="1" x14ac:dyDescent="0.25">
      <c r="A50" s="318"/>
    </row>
    <row r="51" ht="17.5" customHeight="1" spans="1:1" s="317" customFormat="1" x14ac:dyDescent="0.25">
      <c r="A51" s="318"/>
    </row>
    <row r="52" ht="17.5" customHeight="1" spans="1:1" s="317" customFormat="1" x14ac:dyDescent="0.25">
      <c r="A52" s="318"/>
    </row>
    <row r="53" ht="17.5" customHeight="1" spans="1:1" s="317" customFormat="1" x14ac:dyDescent="0.25">
      <c r="A53" s="318"/>
    </row>
    <row r="54" ht="17.5" customHeight="1" spans="1:1" s="317" customFormat="1" x14ac:dyDescent="0.25">
      <c r="A54" s="318"/>
    </row>
    <row r="55" ht="17.5" customHeight="1" spans="1:1" s="317" customFormat="1" x14ac:dyDescent="0.25">
      <c r="A55" s="318"/>
    </row>
    <row r="56" ht="17.5" customHeight="1" spans="1:1" s="317" customFormat="1" x14ac:dyDescent="0.25">
      <c r="A56" s="318"/>
    </row>
    <row r="57" ht="17.5" customHeight="1" spans="1:1" s="317" customFormat="1" x14ac:dyDescent="0.25">
      <c r="A57" s="318"/>
    </row>
    <row r="58" ht="17.5" customHeight="1" spans="1:1" s="317" customFormat="1" x14ac:dyDescent="0.25">
      <c r="A58" s="318"/>
    </row>
    <row r="59" ht="17.5" customHeight="1" spans="1:1" s="317" customFormat="1" x14ac:dyDescent="0.25">
      <c r="A59" s="318"/>
    </row>
    <row r="60" ht="17.5" customHeight="1" spans="1:1" s="317" customFormat="1" x14ac:dyDescent="0.25">
      <c r="A60" s="318"/>
    </row>
    <row r="61" ht="17.5" customHeight="1" spans="1:1" s="317" customFormat="1" x14ac:dyDescent="0.25">
      <c r="A61" s="318"/>
    </row>
    <row r="62" ht="17.5" customHeight="1" spans="1:1" s="317" customFormat="1" x14ac:dyDescent="0.25">
      <c r="A62" s="318"/>
    </row>
    <row r="63" ht="17.5" customHeight="1" spans="1:1" s="317" customFormat="1" x14ac:dyDescent="0.25">
      <c r="A63" s="318"/>
    </row>
    <row r="64" ht="17.5" customHeight="1" spans="1:1" s="317" customFormat="1" x14ac:dyDescent="0.25">
      <c r="A64" s="318"/>
    </row>
    <row r="65" ht="17.5" customHeight="1" spans="1:1" s="317" customFormat="1" x14ac:dyDescent="0.25">
      <c r="A65" s="318"/>
    </row>
    <row r="66" ht="17.5" customHeight="1" spans="1:1" s="317" customFormat="1" x14ac:dyDescent="0.25">
      <c r="A66" s="318"/>
    </row>
    <row r="67" ht="17.5" customHeight="1" spans="1:1" s="317" customFormat="1" x14ac:dyDescent="0.25">
      <c r="A67" s="318"/>
    </row>
    <row r="68" ht="17.5" customHeight="1" spans="1:1" s="317" customFormat="1" x14ac:dyDescent="0.25">
      <c r="A68" s="318"/>
    </row>
    <row r="69" ht="17.5" customHeight="1" spans="1:1" s="317" customFormat="1" x14ac:dyDescent="0.25">
      <c r="A69" s="318"/>
    </row>
    <row r="70" ht="17.5" customHeight="1" spans="1:1" s="317" customFormat="1" x14ac:dyDescent="0.25">
      <c r="A70" s="318"/>
    </row>
    <row r="71" ht="17.5" customHeight="1" spans="1:1" s="317" customFormat="1" x14ac:dyDescent="0.25">
      <c r="A71" s="318"/>
    </row>
    <row r="72" ht="17.5" customHeight="1" spans="1:1" s="317" customFormat="1" x14ac:dyDescent="0.25">
      <c r="A72" s="318"/>
    </row>
    <row r="73" ht="17.5" customHeight="1" spans="1:1" s="317" customFormat="1" x14ac:dyDescent="0.25">
      <c r="A73" s="318"/>
    </row>
    <row r="74" ht="17.5" customHeight="1" spans="1:1" s="317" customFormat="1" x14ac:dyDescent="0.25">
      <c r="A74" s="318"/>
    </row>
    <row r="75" ht="17.5" customHeight="1" spans="1:1" s="317" customFormat="1" x14ac:dyDescent="0.25">
      <c r="A75" s="318"/>
    </row>
    <row r="76" ht="17.5" customHeight="1" spans="1:1" s="317" customFormat="1" x14ac:dyDescent="0.25">
      <c r="A76" s="318"/>
    </row>
    <row r="77" ht="17.5" customHeight="1" spans="1:1" s="317" customFormat="1" x14ac:dyDescent="0.25">
      <c r="A77" s="318"/>
    </row>
    <row r="78" ht="17.5" customHeight="1" spans="1:1" s="317" customFormat="1" x14ac:dyDescent="0.25">
      <c r="A78" s="318"/>
    </row>
    <row r="79" ht="17.5" customHeight="1" spans="1:1" s="317" customFormat="1" x14ac:dyDescent="0.25">
      <c r="A79" s="318"/>
    </row>
    <row r="80" ht="17.5" customHeight="1" spans="1:1" s="317" customFormat="1" x14ac:dyDescent="0.25">
      <c r="A80" s="318"/>
    </row>
    <row r="81" ht="17.5" customHeight="1" spans="1:1" s="317" customFormat="1" x14ac:dyDescent="0.25">
      <c r="A81" s="318"/>
    </row>
    <row r="82" ht="17.5" customHeight="1" spans="1:1" s="317" customFormat="1" x14ac:dyDescent="0.25">
      <c r="A82" s="318"/>
    </row>
    <row r="83" ht="17.5" customHeight="1" spans="1:1" s="317" customFormat="1" x14ac:dyDescent="0.25">
      <c r="A83" s="318"/>
    </row>
    <row r="84" ht="17.5" customHeight="1" spans="1:1" s="317" customFormat="1" x14ac:dyDescent="0.25">
      <c r="A84" s="318"/>
    </row>
    <row r="85" ht="17.5" customHeight="1" spans="1:1" s="317" customFormat="1" x14ac:dyDescent="0.25">
      <c r="A85" s="318"/>
    </row>
    <row r="86" ht="17.5" customHeight="1" spans="1:1" s="317" customFormat="1" x14ac:dyDescent="0.25">
      <c r="A86" s="318"/>
    </row>
    <row r="87" ht="17.5" customHeight="1" spans="1:1" s="317" customFormat="1" x14ac:dyDescent="0.25">
      <c r="A87" s="318"/>
    </row>
    <row r="88" ht="17.5" customHeight="1" spans="1:1" s="317" customFormat="1" x14ac:dyDescent="0.25">
      <c r="A88" s="318"/>
    </row>
    <row r="89" ht="17.5" customHeight="1" spans="1:1" s="317" customFormat="1" x14ac:dyDescent="0.25">
      <c r="A89" s="318"/>
    </row>
    <row r="90" ht="17.5" customHeight="1" spans="1:1" s="317" customFormat="1" x14ac:dyDescent="0.25">
      <c r="A90" s="318"/>
    </row>
    <row r="91" ht="17.5" customHeight="1" spans="1:1" s="317" customFormat="1" x14ac:dyDescent="0.25">
      <c r="A91" s="318"/>
    </row>
    <row r="92" ht="17.5" customHeight="1" spans="1:1" s="317" customFormat="1" x14ac:dyDescent="0.25">
      <c r="A92" s="318"/>
    </row>
    <row r="93" ht="17.5" customHeight="1" spans="1:1" s="317" customFormat="1" x14ac:dyDescent="0.25">
      <c r="A93" s="318"/>
    </row>
    <row r="94" ht="17.5" customHeight="1" spans="1:1" s="317" customFormat="1" x14ac:dyDescent="0.25">
      <c r="A94" s="318"/>
    </row>
    <row r="95" ht="17.5" customHeight="1" spans="1:1" s="317" customFormat="1" x14ac:dyDescent="0.25">
      <c r="A95" s="318"/>
    </row>
    <row r="96" ht="17.5" customHeight="1" spans="1:1" s="317" customFormat="1" x14ac:dyDescent="0.25">
      <c r="A96" s="318"/>
    </row>
    <row r="97" ht="17.5" customHeight="1" spans="1:1" s="317" customFormat="1" x14ac:dyDescent="0.25">
      <c r="A97" s="318"/>
    </row>
    <row r="98" ht="17.5" customHeight="1" spans="1:1" s="317" customFormat="1" x14ac:dyDescent="0.25">
      <c r="A98" s="318"/>
    </row>
    <row r="99" ht="17.5" customHeight="1" spans="1:1" s="317" customFormat="1" x14ac:dyDescent="0.25">
      <c r="A99" s="318"/>
    </row>
    <row r="100" ht="17.5" customHeight="1" spans="1:1" s="317" customFormat="1" x14ac:dyDescent="0.25">
      <c r="A100" s="318"/>
    </row>
    <row r="101" ht="17.5" customHeight="1" spans="1:1" s="317" customFormat="1" x14ac:dyDescent="0.25">
      <c r="A101" s="318"/>
    </row>
    <row r="102" ht="17.5" customHeight="1" spans="1:1" s="317" customFormat="1" x14ac:dyDescent="0.25">
      <c r="A102" s="318"/>
    </row>
    <row r="103" ht="17.5" customHeight="1" spans="1:1" s="317" customFormat="1" x14ac:dyDescent="0.25">
      <c r="A103" s="318"/>
    </row>
    <row r="104" ht="17.5" customHeight="1" spans="1:1" s="317" customFormat="1" x14ac:dyDescent="0.25">
      <c r="A104" s="318"/>
    </row>
    <row r="105" ht="17.5" customHeight="1" spans="1:1" s="317" customFormat="1" x14ac:dyDescent="0.25">
      <c r="A105" s="318"/>
    </row>
    <row r="106" ht="17.5" customHeight="1" spans="1:1" s="317" customFormat="1" x14ac:dyDescent="0.25">
      <c r="A106" s="318"/>
    </row>
    <row r="107" ht="17.5" customHeight="1" spans="1:1" s="317" customFormat="1" x14ac:dyDescent="0.25">
      <c r="A107" s="318"/>
    </row>
    <row r="108" ht="17.5" customHeight="1" spans="1:1" s="317" customFormat="1" x14ac:dyDescent="0.25">
      <c r="A108" s="318"/>
    </row>
    <row r="109" ht="17.5" customHeight="1" spans="1:1" s="317" customFormat="1" x14ac:dyDescent="0.25">
      <c r="A109" s="318"/>
    </row>
    <row r="110" ht="17.5" customHeight="1" spans="1:1" s="317" customFormat="1" x14ac:dyDescent="0.25">
      <c r="A110" s="318"/>
    </row>
    <row r="111" ht="17.5" customHeight="1" spans="1:1" s="317" customFormat="1" x14ac:dyDescent="0.25">
      <c r="A111" s="318"/>
    </row>
    <row r="112" ht="17.5" customHeight="1" spans="1:1" s="317" customFormat="1" x14ac:dyDescent="0.25">
      <c r="A112" s="318"/>
    </row>
    <row r="113" ht="17.5" customHeight="1" spans="1:1" s="317" customFormat="1" x14ac:dyDescent="0.25">
      <c r="A113" s="318"/>
    </row>
    <row r="114" ht="17.5" customHeight="1" spans="1:1" s="317" customFormat="1" x14ac:dyDescent="0.25">
      <c r="A114" s="318"/>
    </row>
    <row r="115" ht="17.5" customHeight="1" spans="1:1" s="317" customFormat="1" x14ac:dyDescent="0.25">
      <c r="A115" s="318"/>
    </row>
    <row r="116" ht="17.5" customHeight="1" spans="1:1" s="317" customFormat="1" x14ac:dyDescent="0.25">
      <c r="A116" s="318"/>
    </row>
    <row r="117" ht="17.5" customHeight="1" spans="1:1" s="317" customFormat="1" x14ac:dyDescent="0.25">
      <c r="A117" s="318"/>
    </row>
    <row r="118" ht="17.5" customHeight="1" spans="1:1" s="317" customFormat="1" x14ac:dyDescent="0.25">
      <c r="A118" s="318"/>
    </row>
    <row r="119" ht="17.5" customHeight="1" spans="1:1" s="317" customFormat="1" x14ac:dyDescent="0.25">
      <c r="A119" s="318"/>
    </row>
    <row r="120" ht="17.5" customHeight="1" spans="1:1" s="317" customFormat="1" x14ac:dyDescent="0.25">
      <c r="A120" s="318"/>
    </row>
    <row r="121" ht="17.5" customHeight="1" spans="1:1" s="317" customFormat="1" x14ac:dyDescent="0.25">
      <c r="A121" s="318"/>
    </row>
    <row r="122" ht="17.5" customHeight="1" spans="1:1" s="317" customFormat="1" x14ac:dyDescent="0.25">
      <c r="A122" s="318"/>
    </row>
    <row r="123" ht="17.5" customHeight="1" spans="1:1" s="317" customFormat="1" x14ac:dyDescent="0.25">
      <c r="A123" s="318"/>
    </row>
    <row r="124" ht="17.5" customHeight="1" spans="1:1" s="317" customFormat="1" x14ac:dyDescent="0.25">
      <c r="A124" s="318"/>
    </row>
    <row r="125" ht="17.5" customHeight="1" spans="1:1" s="317" customFormat="1" x14ac:dyDescent="0.25">
      <c r="A125" s="318"/>
    </row>
    <row r="126" ht="17.5" customHeight="1" spans="1:1" s="317" customFormat="1" x14ac:dyDescent="0.25">
      <c r="A126" s="318"/>
    </row>
    <row r="127" ht="17.5" customHeight="1" spans="1:1" s="317" customFormat="1" x14ac:dyDescent="0.25">
      <c r="A127" s="318"/>
    </row>
    <row r="128" ht="17.5" customHeight="1" spans="1:1" s="317" customFormat="1" x14ac:dyDescent="0.25">
      <c r="A128" s="318"/>
    </row>
    <row r="129" ht="17.5" customHeight="1" spans="1:1" s="317" customFormat="1" x14ac:dyDescent="0.25">
      <c r="A129" s="318"/>
    </row>
    <row r="130" ht="17.5" customHeight="1" spans="1:1" s="317" customFormat="1" x14ac:dyDescent="0.25">
      <c r="A130" s="318"/>
    </row>
    <row r="131" ht="17.5" customHeight="1" spans="1:1" s="317" customFormat="1" x14ac:dyDescent="0.25">
      <c r="A131" s="318"/>
    </row>
    <row r="132" ht="17.5" customHeight="1" spans="1:1" s="317" customFormat="1" x14ac:dyDescent="0.25">
      <c r="A132" s="318"/>
    </row>
    <row r="133" ht="17.5" customHeight="1" spans="1:1" s="317" customFormat="1" x14ac:dyDescent="0.25">
      <c r="A133" s="318"/>
    </row>
    <row r="134" ht="17.5" customHeight="1" spans="1:1" s="317" customFormat="1" x14ac:dyDescent="0.25">
      <c r="A134" s="318"/>
    </row>
    <row r="135" ht="17.5" customHeight="1" spans="1:1" s="317" customFormat="1" x14ac:dyDescent="0.25">
      <c r="A135" s="318"/>
    </row>
    <row r="136" ht="17.5" customHeight="1" spans="1:1" s="317" customFormat="1" x14ac:dyDescent="0.25">
      <c r="A136" s="318"/>
    </row>
    <row r="137" ht="17.5" customHeight="1" spans="1:1" s="317" customFormat="1" x14ac:dyDescent="0.25">
      <c r="A137" s="318"/>
    </row>
    <row r="138" ht="17.5" customHeight="1" spans="1:1" s="317" customFormat="1" x14ac:dyDescent="0.25">
      <c r="A138" s="318"/>
    </row>
    <row r="139" ht="17.5" customHeight="1" spans="1:1" s="317" customFormat="1" x14ac:dyDescent="0.25">
      <c r="A139" s="318"/>
    </row>
    <row r="140" ht="17.5" customHeight="1" spans="1:1" s="317" customFormat="1" x14ac:dyDescent="0.25">
      <c r="A140" s="318"/>
    </row>
    <row r="141" ht="17.5" customHeight="1" spans="1:1" s="317" customFormat="1" x14ac:dyDescent="0.25">
      <c r="A141" s="318"/>
    </row>
    <row r="142" ht="17.5" customHeight="1" spans="1:1" s="317" customFormat="1" x14ac:dyDescent="0.25">
      <c r="A142" s="318"/>
    </row>
    <row r="143" ht="17.5" customHeight="1" spans="1:1" s="317" customFormat="1" x14ac:dyDescent="0.25">
      <c r="A143" s="318"/>
    </row>
    <row r="144" ht="17.5" customHeight="1" spans="1:1" s="317" customFormat="1" x14ac:dyDescent="0.25">
      <c r="A144" s="318"/>
    </row>
    <row r="145" ht="17.5" customHeight="1" spans="1:1" s="317" customFormat="1" x14ac:dyDescent="0.25">
      <c r="A145" s="318"/>
    </row>
    <row r="146" ht="17.5" customHeight="1" spans="1:1" s="317" customFormat="1" x14ac:dyDescent="0.25">
      <c r="A146" s="318"/>
    </row>
    <row r="147" ht="17.5" customHeight="1" spans="1:1" s="317" customFormat="1" x14ac:dyDescent="0.25">
      <c r="A147" s="318"/>
    </row>
    <row r="148" ht="17.5" customHeight="1" spans="1:1" s="317" customFormat="1" x14ac:dyDescent="0.25">
      <c r="A148" s="318"/>
    </row>
    <row r="149" ht="17.5" customHeight="1" spans="1:1" s="317" customFormat="1" x14ac:dyDescent="0.25">
      <c r="A149" s="318"/>
    </row>
    <row r="150" ht="17.5" customHeight="1" spans="1:1" s="317" customFormat="1" x14ac:dyDescent="0.25">
      <c r="A150" s="318"/>
    </row>
    <row r="151" ht="17.5" customHeight="1" spans="1:1" s="317" customFormat="1" x14ac:dyDescent="0.25">
      <c r="A151" s="318"/>
    </row>
    <row r="152" ht="17.5" customHeight="1" spans="1:1" s="317" customFormat="1" x14ac:dyDescent="0.25">
      <c r="A152" s="318"/>
    </row>
    <row r="153" ht="17.5" customHeight="1" spans="1:1" s="317" customFormat="1" x14ac:dyDescent="0.25">
      <c r="A153" s="318"/>
    </row>
    <row r="154" ht="17.5" customHeight="1" spans="1:1" s="317" customFormat="1" x14ac:dyDescent="0.25">
      <c r="A154" s="318"/>
    </row>
    <row r="155" ht="17.5" customHeight="1" spans="1:1" s="317" customFormat="1" x14ac:dyDescent="0.25">
      <c r="A155" s="318"/>
    </row>
    <row r="156" ht="17.5" customHeight="1" spans="1:1" s="317" customFormat="1" x14ac:dyDescent="0.25">
      <c r="A156" s="318"/>
    </row>
    <row r="157" ht="17.5" customHeight="1" spans="1:1" s="317" customFormat="1" x14ac:dyDescent="0.25">
      <c r="A157" s="318"/>
    </row>
    <row r="158" ht="17.5" customHeight="1" spans="1:1" s="317" customFormat="1" x14ac:dyDescent="0.25">
      <c r="A158" s="318"/>
    </row>
    <row r="159" ht="17.5" customHeight="1" spans="1:1" s="317" customFormat="1" x14ac:dyDescent="0.25">
      <c r="A159" s="318"/>
    </row>
    <row r="160" ht="17.5" customHeight="1" spans="1:1" s="317" customFormat="1" x14ac:dyDescent="0.25">
      <c r="A160" s="318"/>
    </row>
    <row r="161" ht="17.5" customHeight="1" spans="1:1" s="317" customFormat="1" x14ac:dyDescent="0.25">
      <c r="A161" s="318"/>
    </row>
    <row r="162" ht="17.5" customHeight="1" spans="1:1" s="317" customFormat="1" x14ac:dyDescent="0.25">
      <c r="A162" s="318"/>
    </row>
    <row r="163" ht="17.5" customHeight="1" spans="1:1" s="317" customFormat="1" x14ac:dyDescent="0.25">
      <c r="A163" s="318"/>
    </row>
    <row r="164" ht="17.5" customHeight="1" spans="1:1" s="317" customFormat="1" x14ac:dyDescent="0.25">
      <c r="A164" s="318"/>
    </row>
    <row r="165" ht="17.5" customHeight="1" spans="1:1" s="317" customFormat="1" x14ac:dyDescent="0.25">
      <c r="A165" s="318"/>
    </row>
    <row r="166" ht="17.5" customHeight="1" spans="1:1" s="317" customFormat="1" x14ac:dyDescent="0.25">
      <c r="A166" s="318"/>
    </row>
    <row r="167" ht="17.5" customHeight="1" spans="1:1" s="317" customFormat="1" x14ac:dyDescent="0.25">
      <c r="A167" s="318"/>
    </row>
    <row r="168" ht="17.5" customHeight="1" spans="1:1" s="317" customFormat="1" x14ac:dyDescent="0.25">
      <c r="A168" s="318"/>
    </row>
    <row r="169" ht="17.5" customHeight="1" spans="1:1" s="317" customFormat="1" x14ac:dyDescent="0.25">
      <c r="A169" s="318"/>
    </row>
    <row r="170" ht="17.5" customHeight="1" spans="1:1" s="317" customFormat="1" x14ac:dyDescent="0.25">
      <c r="A170" s="318"/>
    </row>
    <row r="171" ht="17.5" customHeight="1" spans="1:1" s="317" customFormat="1" x14ac:dyDescent="0.25">
      <c r="A171" s="318"/>
    </row>
    <row r="172" ht="17.5" customHeight="1" spans="1:1" s="317" customFormat="1" x14ac:dyDescent="0.25">
      <c r="A172" s="318"/>
    </row>
    <row r="173" ht="17.5" customHeight="1" spans="1:1" s="317" customFormat="1" x14ac:dyDescent="0.25">
      <c r="A173" s="318"/>
    </row>
    <row r="174" ht="17.5" customHeight="1" spans="1:1" s="317" customFormat="1" x14ac:dyDescent="0.25">
      <c r="A174" s="318"/>
    </row>
    <row r="175" ht="17.5" customHeight="1" spans="1:1" s="317" customFormat="1" x14ac:dyDescent="0.25">
      <c r="A175" s="318"/>
    </row>
    <row r="176" ht="17.5" customHeight="1" spans="1:1" s="317" customFormat="1" x14ac:dyDescent="0.25">
      <c r="A176" s="318"/>
    </row>
    <row r="177" ht="17.5" customHeight="1" spans="1:1" s="317" customFormat="1" x14ac:dyDescent="0.25">
      <c r="A177" s="318"/>
    </row>
    <row r="178" ht="17.5" customHeight="1" spans="1:1" s="317" customFormat="1" x14ac:dyDescent="0.25">
      <c r="A178" s="318"/>
    </row>
    <row r="179" ht="17.5" customHeight="1" spans="1:1" s="317" customFormat="1" x14ac:dyDescent="0.25">
      <c r="A179" s="318"/>
    </row>
    <row r="180" ht="17.5" customHeight="1" spans="1:1" s="317" customFormat="1" x14ac:dyDescent="0.25">
      <c r="A180" s="318"/>
    </row>
    <row r="181" ht="17.5" customHeight="1" spans="1:1" s="317" customFormat="1" x14ac:dyDescent="0.25">
      <c r="A181" s="318"/>
    </row>
    <row r="182" ht="17.5" customHeight="1" spans="1:1" s="317" customFormat="1" x14ac:dyDescent="0.25">
      <c r="A182" s="318"/>
    </row>
    <row r="183" ht="17.5" customHeight="1" spans="1:1" s="317" customFormat="1" x14ac:dyDescent="0.25">
      <c r="A183" s="318"/>
    </row>
    <row r="184" ht="17.5" customHeight="1" spans="1:1" s="317" customFormat="1" x14ac:dyDescent="0.25">
      <c r="A184" s="318"/>
    </row>
    <row r="185" ht="17.5" customHeight="1" spans="1:1" s="317" customFormat="1" x14ac:dyDescent="0.25">
      <c r="A185" s="318"/>
    </row>
    <row r="186" ht="17.5" customHeight="1" spans="1:1" s="317" customFormat="1" x14ac:dyDescent="0.25">
      <c r="A186" s="318"/>
    </row>
    <row r="187" ht="17.5" customHeight="1" spans="1:1" s="317" customFormat="1" x14ac:dyDescent="0.25">
      <c r="A187" s="318"/>
    </row>
    <row r="188" ht="17.5" customHeight="1" spans="1:1" s="317" customFormat="1" x14ac:dyDescent="0.25">
      <c r="A188" s="318"/>
    </row>
    <row r="189" ht="17.5" customHeight="1" spans="1:1" s="317" customFormat="1" x14ac:dyDescent="0.25">
      <c r="A189" s="318"/>
    </row>
    <row r="190" ht="17.5" customHeight="1" spans="1:1" s="317" customFormat="1" x14ac:dyDescent="0.25">
      <c r="A190" s="318"/>
    </row>
    <row r="191" ht="17.5" customHeight="1" spans="1:1" s="317" customFormat="1" x14ac:dyDescent="0.25">
      <c r="A191" s="318"/>
    </row>
    <row r="192" ht="17.5" customHeight="1" spans="1:1" s="317" customFormat="1" x14ac:dyDescent="0.25">
      <c r="A192" s="318"/>
    </row>
    <row r="193" ht="17.5" customHeight="1" spans="1:1" s="317" customFormat="1" x14ac:dyDescent="0.25">
      <c r="A193" s="318"/>
    </row>
    <row r="194" ht="17.5" customHeight="1" spans="1:1" s="317" customFormat="1" x14ac:dyDescent="0.25">
      <c r="A194" s="318"/>
    </row>
    <row r="195" ht="17.5" customHeight="1" spans="1:1" s="317" customFormat="1" x14ac:dyDescent="0.25">
      <c r="A195" s="318"/>
    </row>
    <row r="196" ht="17.5" customHeight="1" spans="1:1" s="317" customFormat="1" x14ac:dyDescent="0.25">
      <c r="A196" s="318"/>
    </row>
    <row r="197" ht="17.5" customHeight="1" spans="1:1" s="317" customFormat="1" x14ac:dyDescent="0.25">
      <c r="A197" s="318"/>
    </row>
    <row r="198" ht="17.5" customHeight="1" spans="1:1" s="317" customFormat="1" x14ac:dyDescent="0.25">
      <c r="A198" s="318"/>
    </row>
    <row r="199" ht="17.5" customHeight="1" spans="1:1" s="317" customFormat="1" x14ac:dyDescent="0.25">
      <c r="A199" s="318"/>
    </row>
    <row r="200" ht="17.5" customHeight="1" spans="1:1" s="317" customFormat="1" x14ac:dyDescent="0.25">
      <c r="A200" s="318"/>
    </row>
    <row r="201" ht="17.5" customHeight="1" spans="1:1" s="317" customFormat="1" x14ac:dyDescent="0.25">
      <c r="A201" s="318"/>
    </row>
    <row r="202" ht="17.5" customHeight="1" spans="1:1" s="317" customFormat="1" x14ac:dyDescent="0.25">
      <c r="A202" s="318"/>
    </row>
    <row r="203" ht="17.5" customHeight="1" spans="1:1" s="317" customFormat="1" x14ac:dyDescent="0.25">
      <c r="A203" s="318"/>
    </row>
    <row r="204" ht="17.5" customHeight="1" spans="1:1" s="317" customFormat="1" x14ac:dyDescent="0.25">
      <c r="A204" s="318"/>
    </row>
    <row r="205" ht="17.5" customHeight="1" spans="1:1" s="317" customFormat="1" x14ac:dyDescent="0.25">
      <c r="A205" s="318"/>
    </row>
    <row r="206" ht="17.5" customHeight="1" spans="1:1" s="317" customFormat="1" x14ac:dyDescent="0.25">
      <c r="A206" s="318"/>
    </row>
    <row r="207" ht="17.5" customHeight="1" spans="1:1" s="317" customFormat="1" x14ac:dyDescent="0.25">
      <c r="A207" s="318"/>
    </row>
    <row r="208" ht="17.5" customHeight="1" spans="1:1" s="317" customFormat="1" x14ac:dyDescent="0.25">
      <c r="A208" s="318"/>
    </row>
    <row r="209" ht="17.5" customHeight="1" spans="1:1" s="317" customFormat="1" x14ac:dyDescent="0.25">
      <c r="A209" s="318"/>
    </row>
    <row r="210" ht="17.5" customHeight="1" spans="1:1" s="317" customFormat="1" x14ac:dyDescent="0.25">
      <c r="A210" s="318"/>
    </row>
    <row r="211" ht="17.5" customHeight="1" spans="1:1" s="317" customFormat="1" x14ac:dyDescent="0.25">
      <c r="A211" s="318"/>
    </row>
    <row r="212" ht="17.5" customHeight="1" spans="1:1" s="317" customFormat="1" x14ac:dyDescent="0.25">
      <c r="A212" s="318"/>
    </row>
    <row r="213" ht="17.5" customHeight="1" spans="1:1" s="317" customFormat="1" x14ac:dyDescent="0.25">
      <c r="A213" s="318"/>
    </row>
    <row r="214" ht="17.5" customHeight="1" spans="1:1" s="317" customFormat="1" x14ac:dyDescent="0.25">
      <c r="A214" s="318"/>
    </row>
    <row r="215" ht="17.5" customHeight="1" spans="1:1" s="317" customFormat="1" x14ac:dyDescent="0.25">
      <c r="A215" s="318"/>
    </row>
    <row r="216" ht="17.5" customHeight="1" spans="1:1" s="317" customFormat="1" x14ac:dyDescent="0.25">
      <c r="A216" s="318"/>
    </row>
    <row r="217" ht="17.5" customHeight="1" spans="1:1" s="317" customFormat="1" x14ac:dyDescent="0.25">
      <c r="A217" s="318"/>
    </row>
    <row r="218" ht="17.5" customHeight="1" spans="1:1" s="317" customFormat="1" x14ac:dyDescent="0.25">
      <c r="A218" s="318"/>
    </row>
    <row r="219" ht="17.5" customHeight="1" spans="1:1" s="317" customFormat="1" x14ac:dyDescent="0.25">
      <c r="A219" s="318"/>
    </row>
    <row r="220" ht="17.5" customHeight="1" spans="1:1" s="317" customFormat="1" x14ac:dyDescent="0.25">
      <c r="A220" s="318"/>
    </row>
    <row r="221" ht="17.5" customHeight="1" spans="1:1" s="317" customFormat="1" x14ac:dyDescent="0.25">
      <c r="A221" s="318"/>
    </row>
    <row r="222" ht="17.5" customHeight="1" spans="1:1" s="317" customFormat="1" x14ac:dyDescent="0.25">
      <c r="A222" s="318"/>
    </row>
    <row r="223" ht="17.5" customHeight="1" spans="1:1" s="317" customFormat="1" x14ac:dyDescent="0.25">
      <c r="A223" s="318"/>
    </row>
    <row r="224" ht="17.5" customHeight="1" spans="1:1" s="317" customFormat="1" x14ac:dyDescent="0.25">
      <c r="A224" s="318"/>
    </row>
    <row r="225" ht="17.5" customHeight="1" spans="1:1" s="317" customFormat="1" x14ac:dyDescent="0.25">
      <c r="A225" s="318"/>
    </row>
    <row r="226" ht="17.5" customHeight="1" spans="1:1" s="317" customFormat="1" x14ac:dyDescent="0.25">
      <c r="A226" s="318"/>
    </row>
    <row r="227" ht="17.5" customHeight="1" spans="1:1" s="317" customFormat="1" x14ac:dyDescent="0.25">
      <c r="A227" s="318"/>
    </row>
    <row r="228" ht="17.5" customHeight="1" spans="1:1" s="317" customFormat="1" x14ac:dyDescent="0.25">
      <c r="A228" s="318"/>
    </row>
    <row r="229" ht="17.5" customHeight="1" spans="1:1" s="317" customFormat="1" x14ac:dyDescent="0.25">
      <c r="A229" s="318"/>
    </row>
    <row r="230" ht="17.5" customHeight="1" spans="1:1" s="317" customFormat="1" x14ac:dyDescent="0.25">
      <c r="A230" s="318"/>
    </row>
    <row r="231" ht="17.5" customHeight="1" spans="1:1" s="317" customFormat="1" x14ac:dyDescent="0.25">
      <c r="A231" s="318"/>
    </row>
    <row r="232" ht="17.5" customHeight="1" spans="1:1" s="317" customFormat="1" x14ac:dyDescent="0.25">
      <c r="A232" s="318"/>
    </row>
    <row r="233" ht="17.5" customHeight="1" spans="1:1" s="317" customFormat="1" x14ac:dyDescent="0.25">
      <c r="A233" s="318"/>
    </row>
    <row r="234" ht="17.5" customHeight="1" spans="1:1" s="317" customFormat="1" x14ac:dyDescent="0.25">
      <c r="A234" s="318"/>
    </row>
    <row r="235" ht="17.5" customHeight="1" spans="1:1" s="317" customFormat="1" x14ac:dyDescent="0.25">
      <c r="A235" s="318"/>
    </row>
    <row r="236" ht="17.5" customHeight="1" spans="1:1" s="317" customFormat="1" x14ac:dyDescent="0.25">
      <c r="A236" s="318"/>
    </row>
    <row r="237" ht="17.5" customHeight="1" spans="1:1" s="317" customFormat="1" x14ac:dyDescent="0.25">
      <c r="A237" s="318"/>
    </row>
    <row r="238" ht="17.5" customHeight="1" spans="1:1" s="317" customFormat="1" x14ac:dyDescent="0.25">
      <c r="A238" s="318"/>
    </row>
    <row r="239" ht="17.5" customHeight="1" spans="1:1" s="317" customFormat="1" x14ac:dyDescent="0.25">
      <c r="A239" s="318"/>
    </row>
    <row r="240" ht="17.5" customHeight="1" spans="1:1" s="317" customFormat="1" x14ac:dyDescent="0.25">
      <c r="A240" s="318"/>
    </row>
    <row r="241" ht="17.5" customHeight="1" spans="1:1" s="317" customFormat="1" x14ac:dyDescent="0.25">
      <c r="A241" s="318"/>
    </row>
    <row r="242" ht="17.5" customHeight="1" spans="1:1" s="317" customFormat="1" x14ac:dyDescent="0.25">
      <c r="A242" s="318"/>
    </row>
    <row r="243" ht="17.5" customHeight="1" spans="1:1" s="317" customFormat="1" x14ac:dyDescent="0.25">
      <c r="A243" s="318"/>
    </row>
    <row r="244" ht="17.5" customHeight="1" spans="1:1" s="317" customFormat="1" x14ac:dyDescent="0.25">
      <c r="A244" s="318"/>
    </row>
    <row r="245" ht="17.5" customHeight="1" spans="1:1" s="317" customFormat="1" x14ac:dyDescent="0.25">
      <c r="A245" s="318"/>
    </row>
    <row r="246" ht="17.5" customHeight="1" spans="1:1" s="317" customFormat="1" x14ac:dyDescent="0.25">
      <c r="A246" s="318"/>
    </row>
    <row r="247" ht="17.5" customHeight="1" spans="1:1" s="317" customFormat="1" x14ac:dyDescent="0.25">
      <c r="A247" s="318"/>
    </row>
    <row r="248" ht="17.5" customHeight="1" spans="1:1" s="317" customFormat="1" x14ac:dyDescent="0.25">
      <c r="A248" s="318"/>
    </row>
    <row r="249" ht="17.5" customHeight="1" spans="1:1" s="317" customFormat="1" x14ac:dyDescent="0.25">
      <c r="A249" s="318"/>
    </row>
    <row r="250" ht="17.5" customHeight="1" spans="1:1" s="317" customFormat="1" x14ac:dyDescent="0.25">
      <c r="A250" s="318"/>
    </row>
    <row r="251" ht="17.5" customHeight="1" spans="1:1" s="317" customFormat="1" x14ac:dyDescent="0.25">
      <c r="A251" s="318"/>
    </row>
    <row r="252" ht="17.5" customHeight="1" spans="1:1" s="317" customFormat="1" x14ac:dyDescent="0.25">
      <c r="A252" s="318"/>
    </row>
    <row r="253" ht="17.5" customHeight="1" spans="1:1" s="317" customFormat="1" x14ac:dyDescent="0.25">
      <c r="A253" s="318"/>
    </row>
    <row r="254" ht="17.5" customHeight="1" spans="1:1" s="317" customFormat="1" x14ac:dyDescent="0.25">
      <c r="A254" s="318"/>
    </row>
    <row r="255" ht="17.5" customHeight="1" spans="1:1" s="317" customFormat="1" x14ac:dyDescent="0.25">
      <c r="A255" s="318"/>
    </row>
    <row r="256" ht="17.5" customHeight="1" spans="1:1" s="317" customFormat="1" x14ac:dyDescent="0.25">
      <c r="A256" s="318"/>
    </row>
    <row r="257" ht="17.5" customHeight="1" spans="1:1" s="317" customFormat="1" x14ac:dyDescent="0.25">
      <c r="A257" s="318"/>
    </row>
    <row r="258" ht="17.5" customHeight="1" spans="1:1" s="317" customFormat="1" x14ac:dyDescent="0.25">
      <c r="A258" s="318"/>
    </row>
    <row r="259" ht="17.5" customHeight="1" spans="1:1" s="317" customFormat="1" x14ac:dyDescent="0.25">
      <c r="A259" s="318"/>
    </row>
    <row r="260" ht="17.5" customHeight="1" spans="1:1" s="317" customFormat="1" x14ac:dyDescent="0.25">
      <c r="A260" s="318"/>
    </row>
    <row r="261" ht="17.5" customHeight="1" spans="1:1" s="317" customFormat="1" x14ac:dyDescent="0.25">
      <c r="A261" s="318"/>
    </row>
    <row r="262" ht="17.5" customHeight="1" spans="1:1" s="317" customFormat="1" x14ac:dyDescent="0.25">
      <c r="A262" s="318"/>
    </row>
    <row r="263" ht="17.5" customHeight="1" spans="1:1" s="317" customFormat="1" x14ac:dyDescent="0.25">
      <c r="A263" s="318"/>
    </row>
    <row r="264" ht="17.5" customHeight="1" spans="1:1" s="317" customFormat="1" x14ac:dyDescent="0.25">
      <c r="A264" s="318"/>
    </row>
    <row r="265" ht="17.5" customHeight="1" spans="1:1" s="317" customFormat="1" x14ac:dyDescent="0.25">
      <c r="A265" s="318"/>
    </row>
    <row r="266" ht="17.5" customHeight="1" spans="1:1" s="317" customFormat="1" x14ac:dyDescent="0.25">
      <c r="A266" s="318"/>
    </row>
    <row r="267" ht="17.5" customHeight="1" spans="1:1" s="317" customFormat="1" x14ac:dyDescent="0.25">
      <c r="A267" s="318"/>
    </row>
    <row r="268" ht="17.5" customHeight="1" spans="1:1" s="317" customFormat="1" x14ac:dyDescent="0.25">
      <c r="A268" s="318"/>
    </row>
    <row r="269" ht="17.5" customHeight="1" spans="1:1" s="317" customFormat="1" x14ac:dyDescent="0.25">
      <c r="A269" s="318"/>
    </row>
    <row r="270" ht="17.5" customHeight="1" spans="1:1" s="317" customFormat="1" x14ac:dyDescent="0.25">
      <c r="A270" s="318"/>
    </row>
    <row r="271" ht="17.5" customHeight="1" spans="1:1" s="317" customFormat="1" x14ac:dyDescent="0.25">
      <c r="A271" s="318"/>
    </row>
    <row r="272" ht="17.5" customHeight="1" spans="1:1" s="317" customFormat="1" x14ac:dyDescent="0.25">
      <c r="A272" s="318"/>
    </row>
    <row r="273" ht="17.5" customHeight="1" spans="1:1" s="317" customFormat="1" x14ac:dyDescent="0.25">
      <c r="A273" s="318"/>
    </row>
    <row r="274" ht="17.5" customHeight="1" spans="1:1" s="317" customFormat="1" x14ac:dyDescent="0.25">
      <c r="A274" s="318"/>
    </row>
    <row r="275" ht="17.5" customHeight="1" spans="1:1" s="317" customFormat="1" x14ac:dyDescent="0.25">
      <c r="A275" s="318"/>
    </row>
    <row r="276" ht="17.5" customHeight="1" spans="1:1" s="317" customFormat="1" x14ac:dyDescent="0.25">
      <c r="A276" s="318"/>
    </row>
    <row r="277" ht="17.5" customHeight="1" spans="1:1" s="317" customFormat="1" x14ac:dyDescent="0.25">
      <c r="A277" s="318"/>
    </row>
    <row r="278" ht="17.5" customHeight="1" spans="1:1" s="317" customFormat="1" x14ac:dyDescent="0.25">
      <c r="A278" s="318"/>
    </row>
    <row r="279" ht="17.5" customHeight="1" spans="1:1" s="317" customFormat="1" x14ac:dyDescent="0.25">
      <c r="A279" s="318"/>
    </row>
    <row r="280" ht="17.5" customHeight="1" spans="1:1" s="317" customFormat="1" x14ac:dyDescent="0.25">
      <c r="A280" s="318"/>
    </row>
    <row r="281" ht="17.5" customHeight="1" spans="1:1" s="317" customFormat="1" x14ac:dyDescent="0.25">
      <c r="A281" s="318"/>
    </row>
    <row r="282" ht="17.5" customHeight="1" spans="1:1" s="317" customFormat="1" x14ac:dyDescent="0.25">
      <c r="A282" s="318"/>
    </row>
    <row r="283" ht="17.5" customHeight="1" spans="1:1" s="317" customFormat="1" x14ac:dyDescent="0.25">
      <c r="A283" s="318"/>
    </row>
    <row r="284" ht="17.5" customHeight="1" spans="1:1" s="317" customFormat="1" x14ac:dyDescent="0.25">
      <c r="A284" s="318"/>
    </row>
    <row r="285" ht="17.5" customHeight="1" spans="1:1" s="317" customFormat="1" x14ac:dyDescent="0.25">
      <c r="A285" s="318"/>
    </row>
    <row r="286" ht="17.5" customHeight="1" spans="1:1" s="317" customFormat="1" x14ac:dyDescent="0.25">
      <c r="A286" s="318"/>
    </row>
    <row r="287" ht="17.5" customHeight="1" spans="1:1" s="317" customFormat="1" x14ac:dyDescent="0.25">
      <c r="A287" s="318"/>
    </row>
    <row r="288" ht="17.5" customHeight="1" spans="1:1" s="317" customFormat="1" x14ac:dyDescent="0.25">
      <c r="A288" s="318"/>
    </row>
    <row r="289" ht="17.5" customHeight="1" spans="1:1" s="317" customFormat="1" x14ac:dyDescent="0.25">
      <c r="A289" s="318"/>
    </row>
    <row r="290" ht="17.5" customHeight="1" spans="1:1" s="317" customFormat="1" x14ac:dyDescent="0.25">
      <c r="A290" s="318"/>
    </row>
    <row r="291" ht="17.5" customHeight="1" spans="1:1" s="317" customFormat="1" x14ac:dyDescent="0.25">
      <c r="A291" s="318"/>
    </row>
    <row r="292" ht="17.5" customHeight="1" spans="1:1" s="317" customFormat="1" x14ac:dyDescent="0.25">
      <c r="A292" s="318"/>
    </row>
    <row r="293" ht="17.5" customHeight="1" spans="1:1" s="317" customFormat="1" x14ac:dyDescent="0.25">
      <c r="A293" s="318"/>
    </row>
    <row r="294" ht="17.5" customHeight="1" spans="1:1" s="317" customFormat="1" x14ac:dyDescent="0.25">
      <c r="A294" s="318"/>
    </row>
    <row r="295" ht="17.5" customHeight="1" spans="1:1" s="317" customFormat="1" x14ac:dyDescent="0.25">
      <c r="A295" s="318"/>
    </row>
    <row r="296" ht="17.5" customHeight="1" spans="1:1" s="317" customFormat="1" x14ac:dyDescent="0.25">
      <c r="A296" s="318"/>
    </row>
    <row r="297" ht="17.5" customHeight="1" spans="1:1" s="317" customFormat="1" x14ac:dyDescent="0.25">
      <c r="A297" s="318"/>
    </row>
    <row r="298" ht="17.5" customHeight="1" spans="1:1" s="317" customFormat="1" x14ac:dyDescent="0.25">
      <c r="A298" s="318"/>
    </row>
    <row r="299" ht="17.5" customHeight="1" spans="1:1" s="317" customFormat="1" x14ac:dyDescent="0.25">
      <c r="A299" s="318"/>
    </row>
    <row r="300" ht="17.5" customHeight="1" spans="1:1" s="317" customFormat="1" x14ac:dyDescent="0.25">
      <c r="A300" s="318"/>
    </row>
    <row r="301" ht="17.5" customHeight="1" spans="1:1" s="317" customFormat="1" x14ac:dyDescent="0.25">
      <c r="A301" s="318"/>
    </row>
    <row r="302" ht="17.5" customHeight="1" spans="1:1" s="317" customFormat="1" x14ac:dyDescent="0.25">
      <c r="A302" s="318"/>
    </row>
    <row r="303" ht="17.5" customHeight="1" spans="1:1" s="317" customFormat="1" x14ac:dyDescent="0.25">
      <c r="A303" s="318"/>
    </row>
    <row r="304" ht="17.5" customHeight="1" spans="1:1" s="317" customFormat="1" x14ac:dyDescent="0.25">
      <c r="A304" s="318"/>
    </row>
    <row r="305" ht="17.5" customHeight="1" spans="1:1" s="317" customFormat="1" x14ac:dyDescent="0.25">
      <c r="A305" s="318"/>
    </row>
    <row r="306" ht="17.5" customHeight="1" spans="1:1" s="317" customFormat="1" x14ac:dyDescent="0.25">
      <c r="A306" s="318"/>
    </row>
    <row r="307" ht="17.5" customHeight="1" spans="1:1" s="317" customFormat="1" x14ac:dyDescent="0.25">
      <c r="A307" s="318"/>
    </row>
    <row r="308" ht="17.5" customHeight="1" spans="1:1" s="317" customFormat="1" x14ac:dyDescent="0.25">
      <c r="A308" s="318"/>
    </row>
    <row r="309" ht="17.5" customHeight="1" spans="1:1" s="317" customFormat="1" x14ac:dyDescent="0.25">
      <c r="A309" s="318"/>
    </row>
    <row r="310" ht="17.5" customHeight="1" spans="1:1" s="317" customFormat="1" x14ac:dyDescent="0.25">
      <c r="A310" s="318"/>
    </row>
    <row r="311" ht="17.5" customHeight="1" spans="1:1" s="317" customFormat="1" x14ac:dyDescent="0.25">
      <c r="A311" s="318"/>
    </row>
    <row r="312" ht="17.5" customHeight="1" spans="1:1" s="317" customFormat="1" x14ac:dyDescent="0.25">
      <c r="A312" s="318"/>
    </row>
    <row r="313" ht="17.5" customHeight="1" spans="1:1" s="317" customFormat="1" x14ac:dyDescent="0.25">
      <c r="A313" s="318"/>
    </row>
    <row r="314" ht="17.5" customHeight="1" spans="1:1" s="317" customFormat="1" x14ac:dyDescent="0.25">
      <c r="A314" s="318"/>
    </row>
    <row r="315" ht="17.5" customHeight="1" spans="1:1" s="317" customFormat="1" x14ac:dyDescent="0.25">
      <c r="A315" s="318"/>
    </row>
    <row r="316" ht="17.5" customHeight="1" spans="1:1" s="317" customFormat="1" x14ac:dyDescent="0.25">
      <c r="A316" s="318"/>
    </row>
    <row r="317" ht="17.5" customHeight="1" spans="1:1" s="317" customFormat="1" x14ac:dyDescent="0.25">
      <c r="A317" s="318"/>
    </row>
    <row r="318" ht="17.5" customHeight="1" spans="1:1" s="317" customFormat="1" x14ac:dyDescent="0.25">
      <c r="A318" s="318"/>
    </row>
    <row r="319" ht="17.5" customHeight="1" spans="1:1" s="317" customFormat="1" x14ac:dyDescent="0.25">
      <c r="A319" s="318"/>
    </row>
    <row r="320" ht="17.5" customHeight="1" spans="1:1" s="317" customFormat="1" x14ac:dyDescent="0.25">
      <c r="A320" s="318"/>
    </row>
    <row r="321" ht="17.5" customHeight="1" spans="1:1" s="317" customFormat="1" x14ac:dyDescent="0.25">
      <c r="A321" s="318"/>
    </row>
    <row r="322" ht="17.5" customHeight="1" spans="1:1" s="317" customFormat="1" x14ac:dyDescent="0.25">
      <c r="A322" s="318"/>
    </row>
    <row r="323" ht="17.5" customHeight="1" spans="1:1" s="317" customFormat="1" x14ac:dyDescent="0.25">
      <c r="A323" s="318"/>
    </row>
    <row r="324" ht="17.5" customHeight="1" spans="1:1" s="317" customFormat="1" x14ac:dyDescent="0.25">
      <c r="A324" s="318"/>
    </row>
    <row r="325" ht="17.5" customHeight="1" spans="1:1" s="317" customFormat="1" x14ac:dyDescent="0.25">
      <c r="A325" s="318"/>
    </row>
    <row r="326" ht="17.5" customHeight="1" spans="1:1" s="317" customFormat="1" x14ac:dyDescent="0.25">
      <c r="A326" s="318"/>
    </row>
    <row r="327" ht="17.5" customHeight="1" spans="1:1" s="317" customFormat="1" x14ac:dyDescent="0.25">
      <c r="A327" s="318"/>
    </row>
    <row r="328" ht="17.5" customHeight="1" spans="1:1" s="317" customFormat="1" x14ac:dyDescent="0.25">
      <c r="A328" s="318"/>
    </row>
    <row r="329" ht="17.5" customHeight="1" spans="1:1" s="317" customFormat="1" x14ac:dyDescent="0.25">
      <c r="A329" s="318"/>
    </row>
    <row r="330" ht="17.5" customHeight="1" spans="1:1" s="317" customFormat="1" x14ac:dyDescent="0.25">
      <c r="A330" s="318"/>
    </row>
    <row r="331" ht="17.5" customHeight="1" spans="1:1" s="317" customFormat="1" x14ac:dyDescent="0.25">
      <c r="A331" s="318"/>
    </row>
    <row r="332" ht="17.5" customHeight="1" spans="1:1" s="317" customFormat="1" x14ac:dyDescent="0.25">
      <c r="A332" s="318"/>
    </row>
    <row r="333" ht="17.5" customHeight="1" spans="1:1" s="317" customFormat="1" x14ac:dyDescent="0.25">
      <c r="A333" s="318"/>
    </row>
    <row r="334" ht="17.5" customHeight="1" spans="1:1" s="317" customFormat="1" x14ac:dyDescent="0.25">
      <c r="A334" s="318"/>
    </row>
    <row r="335" ht="17.5" customHeight="1" spans="1:1" s="317" customFormat="1" x14ac:dyDescent="0.25">
      <c r="A335" s="318"/>
    </row>
    <row r="336" ht="17.5" customHeight="1" spans="1:1" s="317" customFormat="1" x14ac:dyDescent="0.25">
      <c r="A336" s="318"/>
    </row>
    <row r="337" ht="17.5" customHeight="1" spans="1:1" s="317" customFormat="1" x14ac:dyDescent="0.25">
      <c r="A337" s="318"/>
    </row>
    <row r="338" ht="17.5" customHeight="1" spans="1:1" s="317" customFormat="1" x14ac:dyDescent="0.25">
      <c r="A338" s="318"/>
    </row>
    <row r="339" ht="17.5" customHeight="1" spans="1:1" s="317" customFormat="1" x14ac:dyDescent="0.25">
      <c r="A339" s="318"/>
    </row>
    <row r="340" ht="17.5" customHeight="1" spans="1:1" s="317" customFormat="1" x14ac:dyDescent="0.25">
      <c r="A340" s="318"/>
    </row>
    <row r="341" ht="17.5" customHeight="1" spans="1:1" s="317" customFormat="1" x14ac:dyDescent="0.25">
      <c r="A341" s="318"/>
    </row>
    <row r="342" ht="17.5" customHeight="1" spans="1:1" s="317" customFormat="1" x14ac:dyDescent="0.25">
      <c r="A342" s="318"/>
    </row>
    <row r="343" ht="17.5" customHeight="1" spans="1:1" s="317" customFormat="1" x14ac:dyDescent="0.25">
      <c r="A343" s="318"/>
    </row>
    <row r="344" ht="17.5" customHeight="1" spans="1:1" s="317" customFormat="1" x14ac:dyDescent="0.25">
      <c r="A344" s="318"/>
    </row>
    <row r="345" ht="17.5" customHeight="1" spans="1:1" s="317" customFormat="1" x14ac:dyDescent="0.25">
      <c r="A345" s="318"/>
    </row>
    <row r="346" ht="17.5" customHeight="1" spans="1:1" s="317" customFormat="1" x14ac:dyDescent="0.25">
      <c r="A346" s="318"/>
    </row>
    <row r="347" ht="17.5" customHeight="1" spans="1:1" s="317" customFormat="1" x14ac:dyDescent="0.25">
      <c r="A347" s="318"/>
    </row>
    <row r="348" ht="17.5" customHeight="1" spans="1:1" s="317" customFormat="1" x14ac:dyDescent="0.25">
      <c r="A348" s="318"/>
    </row>
    <row r="349" ht="17.5" customHeight="1" spans="1:1" s="317" customFormat="1" x14ac:dyDescent="0.25">
      <c r="A349" s="318"/>
    </row>
    <row r="350" ht="17.5" customHeight="1" spans="1:1" s="317" customFormat="1" x14ac:dyDescent="0.25">
      <c r="A350" s="318"/>
    </row>
    <row r="351" ht="17.5" customHeight="1" spans="1:1" s="317" customFormat="1" x14ac:dyDescent="0.25">
      <c r="A351" s="318"/>
    </row>
    <row r="352" ht="17.5" customHeight="1" spans="1:1" s="317" customFormat="1" x14ac:dyDescent="0.25">
      <c r="A352" s="318"/>
    </row>
    <row r="353" ht="17.5" customHeight="1" spans="1:1" s="317" customFormat="1" x14ac:dyDescent="0.25">
      <c r="A353" s="318"/>
    </row>
    <row r="354" ht="17.5" customHeight="1" spans="1:1" s="317" customFormat="1" x14ac:dyDescent="0.25">
      <c r="A354" s="318"/>
    </row>
    <row r="355" ht="17.5" customHeight="1" spans="1:1" s="317" customFormat="1" x14ac:dyDescent="0.25">
      <c r="A355" s="318"/>
    </row>
    <row r="356" ht="17.5" customHeight="1" spans="1:1" s="317" customFormat="1" x14ac:dyDescent="0.25">
      <c r="A356" s="318"/>
    </row>
    <row r="357" ht="17.5" customHeight="1" spans="1:1" s="317" customFormat="1" x14ac:dyDescent="0.25">
      <c r="A357" s="318"/>
    </row>
    <row r="358" ht="17.5" customHeight="1" spans="1:1" s="317" customFormat="1" x14ac:dyDescent="0.25">
      <c r="A358" s="318"/>
    </row>
    <row r="359" ht="17.5" customHeight="1" spans="1:1" s="317" customFormat="1" x14ac:dyDescent="0.25">
      <c r="A359" s="318"/>
    </row>
    <row r="360" ht="17.5" customHeight="1" spans="1:1" s="317" customFormat="1" x14ac:dyDescent="0.25">
      <c r="A360" s="318"/>
    </row>
    <row r="361" ht="17.5" customHeight="1" spans="1:1" s="317" customFormat="1" x14ac:dyDescent="0.25">
      <c r="A361" s="318"/>
    </row>
    <row r="362" ht="17.5" customHeight="1" spans="1:1" s="317" customFormat="1" x14ac:dyDescent="0.25">
      <c r="A362" s="318"/>
    </row>
    <row r="363" ht="17.5" customHeight="1" spans="1:1" s="317" customFormat="1" x14ac:dyDescent="0.25">
      <c r="A363" s="318"/>
    </row>
    <row r="364" ht="17.5" customHeight="1" spans="1:1" s="317" customFormat="1" x14ac:dyDescent="0.25">
      <c r="A364" s="318"/>
    </row>
    <row r="365" ht="17.5" customHeight="1" spans="1:1" s="317" customFormat="1" x14ac:dyDescent="0.25">
      <c r="A365" s="318"/>
    </row>
    <row r="366" ht="17.5" customHeight="1" spans="1:1" s="317" customFormat="1" x14ac:dyDescent="0.25">
      <c r="A366" s="318"/>
    </row>
    <row r="367" ht="17.5" customHeight="1" spans="1:1" s="317" customFormat="1" x14ac:dyDescent="0.25">
      <c r="A367" s="318"/>
    </row>
    <row r="368" ht="17.5" customHeight="1" spans="1:1" s="317" customFormat="1" x14ac:dyDescent="0.25">
      <c r="A368" s="318"/>
    </row>
    <row r="369" ht="17.5" customHeight="1" spans="1:1" s="317" customFormat="1" x14ac:dyDescent="0.25">
      <c r="A369" s="318"/>
    </row>
    <row r="370" ht="17.5" customHeight="1" spans="1:1" s="317" customFormat="1" x14ac:dyDescent="0.25">
      <c r="A370" s="318"/>
    </row>
    <row r="371" ht="17.5" customHeight="1" spans="1:1" s="317" customFormat="1" x14ac:dyDescent="0.25">
      <c r="A371" s="318"/>
    </row>
    <row r="372" ht="17.5" customHeight="1" spans="1:1" s="317" customFormat="1" x14ac:dyDescent="0.25">
      <c r="A372" s="318"/>
    </row>
    <row r="373" ht="17.5" customHeight="1" spans="1:1" s="317" customFormat="1" x14ac:dyDescent="0.25">
      <c r="A373" s="318"/>
    </row>
    <row r="374" ht="17.5" customHeight="1" spans="1:1" s="317" customFormat="1" x14ac:dyDescent="0.25">
      <c r="A374" s="318"/>
    </row>
    <row r="375" ht="17.5" customHeight="1" spans="1:1" s="317" customFormat="1" x14ac:dyDescent="0.25">
      <c r="A375" s="318"/>
    </row>
    <row r="376" ht="17.5" customHeight="1" spans="1:1" s="317" customFormat="1" x14ac:dyDescent="0.25">
      <c r="A376" s="318"/>
    </row>
    <row r="377" ht="17.5" customHeight="1" spans="1:1" s="317" customFormat="1" x14ac:dyDescent="0.25">
      <c r="A377" s="318"/>
    </row>
    <row r="378" ht="17.5" customHeight="1" spans="1:1" s="317" customFormat="1" x14ac:dyDescent="0.25">
      <c r="A378" s="318"/>
    </row>
    <row r="379" ht="17.5" customHeight="1" spans="1:1" s="317" customFormat="1" x14ac:dyDescent="0.25">
      <c r="A379" s="318"/>
    </row>
    <row r="380" ht="17.5" customHeight="1" spans="1:1" s="317" customFormat="1" x14ac:dyDescent="0.25">
      <c r="A380" s="318"/>
    </row>
    <row r="381" ht="17.5" customHeight="1" spans="1:1" s="317" customFormat="1" x14ac:dyDescent="0.25">
      <c r="A381" s="318"/>
    </row>
    <row r="382" ht="17.5" customHeight="1" spans="1:1" s="317" customFormat="1" x14ac:dyDescent="0.25">
      <c r="A382" s="318"/>
    </row>
    <row r="383" ht="17.5" customHeight="1" spans="1:1" s="317" customFormat="1" x14ac:dyDescent="0.25">
      <c r="A383" s="318"/>
    </row>
    <row r="384" ht="17.5" customHeight="1" spans="1:1" s="317" customFormat="1" x14ac:dyDescent="0.25">
      <c r="A384" s="318"/>
    </row>
    <row r="385" ht="17.5" customHeight="1" spans="1:1" s="317" customFormat="1" x14ac:dyDescent="0.25">
      <c r="A385" s="318"/>
    </row>
    <row r="386" ht="17.5" customHeight="1" spans="1:1" s="317" customFormat="1" x14ac:dyDescent="0.25">
      <c r="A386" s="318"/>
    </row>
    <row r="387" ht="17.5" customHeight="1" spans="1:1" s="317" customFormat="1" x14ac:dyDescent="0.25">
      <c r="A387" s="318"/>
    </row>
    <row r="388" ht="17.5" customHeight="1" spans="1:1" s="317" customFormat="1" x14ac:dyDescent="0.25">
      <c r="A388" s="318"/>
    </row>
    <row r="389" ht="17.5" customHeight="1" spans="1:1" s="317" customFormat="1" x14ac:dyDescent="0.25">
      <c r="A389" s="318"/>
    </row>
    <row r="390" ht="17.5" customHeight="1" spans="1:1" s="317" customFormat="1" x14ac:dyDescent="0.25">
      <c r="A390" s="318"/>
    </row>
    <row r="391" ht="17.5" customHeight="1" spans="1:1" s="317" customFormat="1" x14ac:dyDescent="0.25">
      <c r="A391" s="318"/>
    </row>
    <row r="392" ht="17.5" customHeight="1" spans="1:1" s="317" customFormat="1" x14ac:dyDescent="0.25">
      <c r="A392" s="318"/>
    </row>
    <row r="393" ht="17.5" customHeight="1" spans="1:1" s="317" customFormat="1" x14ac:dyDescent="0.25">
      <c r="A393" s="318"/>
    </row>
    <row r="394" ht="17.5" customHeight="1" spans="1:1" s="317" customFormat="1" x14ac:dyDescent="0.25">
      <c r="A394" s="318"/>
    </row>
    <row r="395" ht="17.5" customHeight="1" spans="1:1" s="317" customFormat="1" x14ac:dyDescent="0.25">
      <c r="A395" s="318"/>
    </row>
    <row r="396" ht="17.5" customHeight="1" spans="1:1" s="317" customFormat="1" x14ac:dyDescent="0.25">
      <c r="A396" s="318"/>
    </row>
    <row r="397" ht="17.5" customHeight="1" spans="1:1" s="317" customFormat="1" x14ac:dyDescent="0.25">
      <c r="A397" s="318"/>
    </row>
    <row r="398" ht="17.5" customHeight="1" spans="1:1" s="317" customFormat="1" x14ac:dyDescent="0.25">
      <c r="A398" s="318"/>
    </row>
    <row r="399" ht="17.5" customHeight="1" spans="1:1" s="317" customFormat="1" x14ac:dyDescent="0.25">
      <c r="A399" s="318"/>
    </row>
    <row r="400" ht="17.5" customHeight="1" spans="1:1" s="317" customFormat="1" x14ac:dyDescent="0.25">
      <c r="A400" s="318"/>
    </row>
    <row r="401" ht="17.5" customHeight="1" spans="1:1" s="317" customFormat="1" x14ac:dyDescent="0.25">
      <c r="A401" s="318"/>
    </row>
    <row r="402" ht="17.5" customHeight="1" spans="1:1" s="317" customFormat="1" x14ac:dyDescent="0.25">
      <c r="A402" s="318"/>
    </row>
    <row r="403" ht="17.5" customHeight="1" spans="1:1" s="317" customFormat="1" x14ac:dyDescent="0.25">
      <c r="A403" s="318"/>
    </row>
    <row r="404" ht="17.5" customHeight="1" spans="1:1" s="317" customFormat="1" x14ac:dyDescent="0.25">
      <c r="A404" s="318"/>
    </row>
    <row r="405" ht="17.5" customHeight="1" spans="1:1" s="317" customFormat="1" x14ac:dyDescent="0.25">
      <c r="A405" s="318"/>
    </row>
    <row r="406" ht="17.5" customHeight="1" spans="1:1" s="317" customFormat="1" x14ac:dyDescent="0.25">
      <c r="A406" s="318"/>
    </row>
    <row r="407" ht="17.5" customHeight="1" spans="1:1" s="317" customFormat="1" x14ac:dyDescent="0.25">
      <c r="A407" s="318"/>
    </row>
    <row r="408" ht="17.5" customHeight="1" spans="1:1" s="317" customFormat="1" x14ac:dyDescent="0.25">
      <c r="A408" s="318"/>
    </row>
    <row r="409" ht="17.5" customHeight="1" spans="1:1" s="317" customFormat="1" x14ac:dyDescent="0.25">
      <c r="A409" s="318"/>
    </row>
    <row r="410" ht="17.5" customHeight="1" spans="1:1" s="317" customFormat="1" x14ac:dyDescent="0.25">
      <c r="A410" s="318"/>
    </row>
    <row r="411" ht="17.5" customHeight="1" spans="1:1" s="317" customFormat="1" x14ac:dyDescent="0.25">
      <c r="A411" s="318"/>
    </row>
    <row r="412" ht="17.5" customHeight="1" spans="1:1" s="317" customFormat="1" x14ac:dyDescent="0.25">
      <c r="A412" s="318"/>
    </row>
    <row r="413" ht="17.5" customHeight="1" spans="1:1" s="317" customFormat="1" x14ac:dyDescent="0.25">
      <c r="A413" s="318"/>
    </row>
    <row r="414" ht="17.5" customHeight="1" spans="1:1" s="317" customFormat="1" x14ac:dyDescent="0.25">
      <c r="A414" s="318"/>
    </row>
    <row r="415" ht="17.5" customHeight="1" spans="1:1" s="317" customFormat="1" x14ac:dyDescent="0.25">
      <c r="A415" s="318"/>
    </row>
  </sheetData>
  <sheetProtection sheet="1" algorithmName="SHA-512" hashValue="O8Dt8Sodx7EK+U4kLWnUChr509wcl4WjwuWJ3pJIedvjegS7i9P7lHeDFjhQbMcVczFZp/yhDko64K1fQAOxWA==" saltValue="9nLPmwE4OjjbcMBV/M9E5w==" spinCount="100000" objects="1" scenarios="1"/>
  <mergeCells count="23">
    <mergeCell ref="A1:D1"/>
    <mergeCell ref="C9:E9"/>
    <mergeCell ref="A9:A11"/>
    <mergeCell ref="B9:B11"/>
    <mergeCell ref="C10:D10"/>
    <mergeCell ref="A21:A23"/>
    <mergeCell ref="B21:B23"/>
    <mergeCell ref="C21:C23"/>
    <mergeCell ref="D21:D23"/>
    <mergeCell ref="E21:E23"/>
    <mergeCell ref="A29:E29"/>
    <mergeCell ref="A30:B30"/>
    <mergeCell ref="B31:C32"/>
    <mergeCell ref="A31:A32"/>
    <mergeCell ref="D31:D32"/>
    <mergeCell ref="E31:E32"/>
    <mergeCell ref="A38:E38"/>
    <mergeCell ref="A39:B39"/>
    <mergeCell ref="A40:A41"/>
    <mergeCell ref="B40:B41"/>
    <mergeCell ref="C40:C41"/>
    <mergeCell ref="D40:D41"/>
    <mergeCell ref="A42:B42"/>
  </mergeCells>
  <pageMargins left="0.7" right="0.7" top="0.75" bottom="0.75" header="0.511811023622047" footer="0.511811023622047"/>
  <pageSetup paperSize="9" orientation="portrait" horizontalDpi="300" verticalDpi="300" scale="32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91"/>
  <sheetViews>
    <sheetView workbookViewId="0" zoomScale="60" zoomScaleNormal="60" view="pageBreakPreview">
      <selection activeCell="AC67" sqref="AC67"/>
    </sheetView>
  </sheetViews>
  <sheetFormatPr defaultRowHeight="20.25" outlineLevelRow="0" outlineLevelCol="0" x14ac:dyDescent="0" defaultColWidth="10" customHeight="1"/>
  <cols>
    <col min="1" max="1" width="12.6328125" style="447" customWidth="1"/>
    <col min="2" max="2" width="21.453125" style="447" customWidth="1"/>
    <col min="3" max="3" width="14.08984375" style="447" customWidth="1"/>
    <col min="4" max="4" width="19.54296875" style="447" customWidth="1"/>
    <col min="5" max="5" width="17.81640625" style="447" customWidth="1"/>
    <col min="6" max="6" width="20.36328125" style="447" customWidth="1"/>
    <col min="7" max="7" width="16.1796875" style="447" customWidth="1"/>
    <col min="8" max="8" width="16.7265625" style="447" customWidth="1"/>
    <col min="9" max="9" width="17.08984375" style="447" customWidth="1"/>
    <col min="10" max="10" width="14" style="447" customWidth="1"/>
    <col min="11" max="11" width="19.1796875" style="447" customWidth="1"/>
    <col min="12" max="12" width="19.26953125" style="447" customWidth="1"/>
    <col min="13" max="13" width="11.453125" style="447" customWidth="1"/>
    <col min="14" max="14" width="18.90625" style="447" customWidth="1"/>
    <col min="15" max="15" width="14.90625" style="447" customWidth="1"/>
    <col min="16" max="16" width="16.6328125" style="447" customWidth="1"/>
    <col min="17" max="17" width="18.90625" style="447" customWidth="1"/>
    <col min="18" max="19" width="14" style="447" customWidth="1"/>
    <col min="20" max="20" width="16.90625" style="447" customWidth="1"/>
    <col min="21" max="21" width="19.81640625" style="447" customWidth="1"/>
    <col min="22" max="22" width="19.26953125" style="447" customWidth="1"/>
    <col min="23" max="23" width="12.26953125" style="447" customWidth="1"/>
    <col min="24" max="24" width="17.81640625" style="447" customWidth="1"/>
    <col min="25" max="25" width="18.453125" style="447" customWidth="1"/>
    <col min="26" max="26" width="16.6328125" style="447" customWidth="1"/>
    <col min="27" max="27" width="17.08984375" style="447" customWidth="1"/>
    <col min="28" max="28" width="16.08984375" style="447" customWidth="1"/>
    <col min="29" max="29" width="16.6328125" style="447" customWidth="1"/>
    <col min="30" max="16384" width="10" style="447" customWidth="1"/>
  </cols>
  <sheetData>
    <row r="1" ht="15.75" customHeight="1" spans="1:29" s="439" customFormat="1" x14ac:dyDescent="0.25">
      <c r="A1" s="440" t="s">
        <v>1506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1" t="s">
        <v>90</v>
      </c>
    </row>
    <row r="2" ht="31.5" customHeight="1" spans="2:1025" s="442" customFormat="1" x14ac:dyDescent="0.25">
      <c r="B2" s="443"/>
      <c r="C2" s="444"/>
      <c r="D2" s="445"/>
      <c r="E2" s="445"/>
      <c r="F2" s="445"/>
      <c r="G2" s="445"/>
      <c r="H2" s="445"/>
      <c r="I2" s="445"/>
      <c r="J2" s="446"/>
      <c r="K2" s="445"/>
      <c r="L2" s="445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39"/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39"/>
      <c r="BA2" s="439"/>
      <c r="BB2" s="439"/>
      <c r="BC2" s="439"/>
      <c r="BD2" s="439"/>
      <c r="BE2" s="439"/>
      <c r="BF2" s="439"/>
      <c r="BG2" s="439"/>
      <c r="BH2" s="439"/>
      <c r="BI2" s="439"/>
      <c r="BJ2" s="439"/>
      <c r="BK2" s="439"/>
      <c r="BL2" s="439"/>
      <c r="BM2" s="439"/>
      <c r="BN2" s="439"/>
      <c r="BO2" s="439"/>
      <c r="BP2" s="439"/>
      <c r="BQ2" s="439"/>
      <c r="BR2" s="439"/>
      <c r="BS2" s="439"/>
      <c r="BT2" s="439"/>
      <c r="BU2" s="439"/>
      <c r="BV2" s="439"/>
      <c r="BW2" s="439"/>
      <c r="BX2" s="439"/>
      <c r="BY2" s="439"/>
      <c r="BZ2" s="439"/>
      <c r="CA2" s="439"/>
      <c r="CB2" s="439"/>
      <c r="CC2" s="439"/>
      <c r="CD2" s="439"/>
      <c r="CE2" s="439"/>
      <c r="CF2" s="439"/>
      <c r="CG2" s="439"/>
      <c r="CH2" s="439"/>
      <c r="CI2" s="439"/>
      <c r="CJ2" s="439"/>
      <c r="CK2" s="439"/>
      <c r="CL2" s="439"/>
      <c r="CM2" s="439"/>
      <c r="CN2" s="439"/>
      <c r="CO2" s="439"/>
      <c r="CP2" s="439"/>
      <c r="CQ2" s="439"/>
      <c r="CR2" s="439"/>
      <c r="CS2" s="439"/>
      <c r="CT2" s="439"/>
      <c r="CU2" s="439"/>
      <c r="CV2" s="439"/>
      <c r="CW2" s="439"/>
      <c r="CX2" s="439"/>
      <c r="CY2" s="439"/>
      <c r="CZ2" s="439"/>
      <c r="DA2" s="439"/>
      <c r="DB2" s="439"/>
      <c r="DC2" s="439"/>
      <c r="DD2" s="439"/>
      <c r="DE2" s="439"/>
      <c r="DF2" s="439"/>
      <c r="DG2" s="439"/>
      <c r="DH2" s="439"/>
      <c r="DI2" s="439"/>
      <c r="DJ2" s="439"/>
      <c r="DK2" s="439"/>
      <c r="DL2" s="439"/>
      <c r="DM2" s="439"/>
      <c r="DN2" s="439"/>
      <c r="DO2" s="439"/>
      <c r="DP2" s="439"/>
      <c r="DQ2" s="439"/>
      <c r="DR2" s="439"/>
      <c r="DS2" s="439"/>
      <c r="DT2" s="439"/>
      <c r="DU2" s="439"/>
      <c r="DV2" s="439"/>
      <c r="DW2" s="439"/>
      <c r="DX2" s="439"/>
      <c r="DY2" s="439"/>
      <c r="DZ2" s="439"/>
      <c r="EA2" s="439"/>
      <c r="EB2" s="439"/>
      <c r="EC2" s="439"/>
      <c r="ED2" s="439"/>
      <c r="EE2" s="439"/>
      <c r="EF2" s="439"/>
      <c r="EG2" s="439"/>
      <c r="EH2" s="439"/>
      <c r="EI2" s="439"/>
      <c r="EJ2" s="439"/>
      <c r="EK2" s="439"/>
      <c r="EL2" s="439"/>
      <c r="EM2" s="439"/>
      <c r="EN2" s="439"/>
      <c r="EO2" s="439"/>
      <c r="EP2" s="439"/>
      <c r="EQ2" s="439"/>
      <c r="ER2" s="439"/>
      <c r="ES2" s="439"/>
      <c r="ET2" s="439"/>
      <c r="EU2" s="439"/>
      <c r="EV2" s="439"/>
      <c r="EW2" s="439"/>
      <c r="EX2" s="439"/>
      <c r="EY2" s="439"/>
      <c r="EZ2" s="439"/>
      <c r="FA2" s="439"/>
      <c r="FB2" s="439"/>
      <c r="FC2" s="439"/>
      <c r="FD2" s="439"/>
      <c r="FE2" s="439"/>
      <c r="FF2" s="439"/>
      <c r="FG2" s="439"/>
      <c r="FH2" s="439"/>
      <c r="FI2" s="439"/>
      <c r="FJ2" s="439"/>
      <c r="FK2" s="439"/>
      <c r="FL2" s="439"/>
      <c r="FM2" s="439"/>
      <c r="FN2" s="439"/>
      <c r="FO2" s="439"/>
      <c r="FP2" s="439"/>
      <c r="FQ2" s="439"/>
      <c r="FR2" s="439"/>
      <c r="FS2" s="439"/>
      <c r="FT2" s="439"/>
      <c r="FU2" s="439"/>
      <c r="FV2" s="439"/>
      <c r="FW2" s="439"/>
      <c r="FX2" s="439"/>
      <c r="FY2" s="439"/>
      <c r="FZ2" s="439"/>
      <c r="GA2" s="439"/>
      <c r="GB2" s="439"/>
      <c r="GC2" s="439"/>
      <c r="GD2" s="439"/>
      <c r="GE2" s="439"/>
      <c r="GF2" s="439"/>
      <c r="GG2" s="439"/>
      <c r="GH2" s="439"/>
      <c r="GI2" s="439"/>
      <c r="GJ2" s="439"/>
      <c r="GK2" s="439"/>
      <c r="GL2" s="439"/>
      <c r="GM2" s="439"/>
      <c r="GN2" s="439"/>
      <c r="GO2" s="439"/>
      <c r="GP2" s="439"/>
      <c r="GQ2" s="439"/>
      <c r="GR2" s="439"/>
      <c r="GS2" s="439"/>
      <c r="GT2" s="439"/>
      <c r="GU2" s="439"/>
      <c r="GV2" s="439"/>
      <c r="GW2" s="439"/>
      <c r="GX2" s="439"/>
      <c r="GY2" s="439"/>
      <c r="GZ2" s="439"/>
      <c r="HA2" s="439"/>
      <c r="HB2" s="439"/>
      <c r="HC2" s="439"/>
      <c r="HD2" s="439"/>
      <c r="HE2" s="439"/>
      <c r="HF2" s="439"/>
      <c r="HG2" s="439"/>
      <c r="HH2" s="439"/>
      <c r="HI2" s="439"/>
      <c r="HJ2" s="439"/>
      <c r="HK2" s="439"/>
      <c r="HL2" s="439"/>
      <c r="HM2" s="439"/>
      <c r="HN2" s="439"/>
      <c r="HO2" s="439"/>
      <c r="HP2" s="439"/>
      <c r="HQ2" s="439"/>
      <c r="HR2" s="439"/>
      <c r="HS2" s="439"/>
      <c r="HT2" s="439"/>
      <c r="HU2" s="439"/>
      <c r="HV2" s="439"/>
      <c r="HW2" s="439"/>
      <c r="HX2" s="439"/>
      <c r="HY2" s="439"/>
      <c r="HZ2" s="439"/>
      <c r="IA2" s="439"/>
      <c r="IB2" s="439"/>
      <c r="IC2" s="439"/>
      <c r="ID2" s="439"/>
      <c r="IE2" s="439"/>
      <c r="IF2" s="439"/>
      <c r="IG2" s="439"/>
      <c r="IH2" s="439"/>
      <c r="II2" s="439"/>
      <c r="IJ2" s="439"/>
      <c r="IK2" s="439"/>
      <c r="IL2" s="439"/>
      <c r="IM2" s="439"/>
      <c r="IN2" s="439"/>
      <c r="IO2" s="439"/>
      <c r="IP2" s="439"/>
      <c r="IQ2" s="439"/>
      <c r="IR2" s="439"/>
      <c r="IS2" s="439"/>
      <c r="IT2" s="439"/>
      <c r="IU2" s="439"/>
      <c r="IV2" s="439"/>
      <c r="IW2" s="439"/>
      <c r="IX2" s="439"/>
      <c r="IY2" s="439"/>
      <c r="IZ2" s="439"/>
      <c r="JA2" s="439"/>
      <c r="JB2" s="439"/>
      <c r="JC2" s="439"/>
      <c r="JD2" s="439"/>
      <c r="JE2" s="439"/>
      <c r="JF2" s="439"/>
      <c r="JG2" s="439"/>
      <c r="JH2" s="439"/>
      <c r="JI2" s="439"/>
      <c r="JJ2" s="439"/>
      <c r="JK2" s="439"/>
      <c r="JL2" s="439"/>
      <c r="JM2" s="439"/>
      <c r="JN2" s="439"/>
      <c r="JO2" s="439"/>
      <c r="JP2" s="439"/>
      <c r="JQ2" s="439"/>
      <c r="JR2" s="439"/>
      <c r="JS2" s="439"/>
      <c r="JT2" s="439"/>
      <c r="JU2" s="439"/>
      <c r="JV2" s="439"/>
      <c r="JW2" s="439"/>
      <c r="JX2" s="439"/>
      <c r="JY2" s="439"/>
      <c r="JZ2" s="439"/>
      <c r="KA2" s="439"/>
      <c r="KB2" s="439"/>
      <c r="KC2" s="439"/>
      <c r="KD2" s="439"/>
      <c r="KE2" s="439"/>
      <c r="KF2" s="439"/>
      <c r="KG2" s="439"/>
      <c r="KH2" s="439"/>
      <c r="KI2" s="439"/>
      <c r="KJ2" s="439"/>
      <c r="KK2" s="439"/>
      <c r="KL2" s="439"/>
      <c r="KM2" s="439"/>
      <c r="KN2" s="439"/>
      <c r="KO2" s="439"/>
      <c r="KP2" s="439"/>
      <c r="KQ2" s="439"/>
      <c r="KR2" s="439"/>
      <c r="KS2" s="439"/>
      <c r="KT2" s="439"/>
      <c r="KU2" s="439"/>
      <c r="KV2" s="439"/>
      <c r="KW2" s="439"/>
      <c r="KX2" s="439"/>
      <c r="KY2" s="439"/>
      <c r="KZ2" s="439"/>
      <c r="LA2" s="439"/>
      <c r="LB2" s="439"/>
      <c r="LC2" s="439"/>
      <c r="LD2" s="439"/>
      <c r="LE2" s="439"/>
      <c r="LF2" s="439"/>
      <c r="LG2" s="439"/>
      <c r="LH2" s="439"/>
      <c r="LI2" s="439"/>
      <c r="LJ2" s="439"/>
      <c r="LK2" s="439"/>
      <c r="LL2" s="439"/>
      <c r="LM2" s="439"/>
      <c r="LN2" s="439"/>
      <c r="LO2" s="439"/>
      <c r="LP2" s="439"/>
      <c r="LQ2" s="439"/>
      <c r="LR2" s="439"/>
      <c r="LS2" s="439"/>
      <c r="LT2" s="439"/>
      <c r="LU2" s="439"/>
      <c r="LV2" s="439"/>
      <c r="LW2" s="439"/>
      <c r="LX2" s="439"/>
      <c r="LY2" s="439"/>
      <c r="LZ2" s="439"/>
      <c r="MA2" s="439"/>
      <c r="MB2" s="439"/>
      <c r="MC2" s="439"/>
      <c r="MD2" s="439"/>
      <c r="ME2" s="439"/>
      <c r="MF2" s="439"/>
      <c r="MG2" s="439"/>
      <c r="MH2" s="439"/>
      <c r="MI2" s="439"/>
      <c r="MJ2" s="439"/>
      <c r="MK2" s="439"/>
      <c r="ML2" s="439"/>
      <c r="MM2" s="439"/>
      <c r="MN2" s="439"/>
      <c r="MO2" s="439"/>
      <c r="MP2" s="439"/>
      <c r="MQ2" s="439"/>
      <c r="MR2" s="439"/>
      <c r="MS2" s="439"/>
      <c r="MT2" s="439"/>
      <c r="MU2" s="439"/>
      <c r="MV2" s="439"/>
      <c r="MW2" s="439"/>
      <c r="MX2" s="439"/>
      <c r="MY2" s="439"/>
      <c r="MZ2" s="439"/>
      <c r="NA2" s="439"/>
      <c r="NB2" s="439"/>
      <c r="NC2" s="439"/>
      <c r="ND2" s="439"/>
      <c r="NE2" s="439"/>
      <c r="NF2" s="439"/>
      <c r="NG2" s="439"/>
      <c r="NH2" s="439"/>
      <c r="NI2" s="439"/>
      <c r="NJ2" s="439"/>
      <c r="NK2" s="439"/>
      <c r="NL2" s="439"/>
      <c r="NM2" s="439"/>
      <c r="NN2" s="439"/>
      <c r="NO2" s="439"/>
      <c r="NP2" s="439"/>
      <c r="NQ2" s="439"/>
      <c r="NR2" s="439"/>
      <c r="NS2" s="439"/>
      <c r="NT2" s="439"/>
      <c r="NU2" s="439"/>
      <c r="NV2" s="439"/>
      <c r="NW2" s="439"/>
      <c r="NX2" s="439"/>
      <c r="NY2" s="439"/>
      <c r="NZ2" s="439"/>
      <c r="OA2" s="439"/>
      <c r="OB2" s="439"/>
      <c r="OC2" s="439"/>
      <c r="OD2" s="439"/>
      <c r="OE2" s="439"/>
      <c r="OF2" s="439"/>
      <c r="OG2" s="439"/>
      <c r="OH2" s="439"/>
      <c r="OI2" s="439"/>
      <c r="OJ2" s="439"/>
      <c r="OK2" s="439"/>
      <c r="OL2" s="439"/>
      <c r="OM2" s="439"/>
      <c r="ON2" s="439"/>
      <c r="OO2" s="439"/>
      <c r="OP2" s="439"/>
      <c r="OQ2" s="439"/>
      <c r="OR2" s="439"/>
      <c r="OS2" s="439"/>
      <c r="OT2" s="439"/>
      <c r="OU2" s="439"/>
      <c r="OV2" s="439"/>
      <c r="OW2" s="439"/>
      <c r="OX2" s="439"/>
      <c r="OY2" s="439"/>
      <c r="OZ2" s="439"/>
      <c r="PA2" s="439"/>
      <c r="PB2" s="439"/>
      <c r="PC2" s="439"/>
      <c r="PD2" s="439"/>
      <c r="PE2" s="439"/>
      <c r="PF2" s="439"/>
      <c r="PG2" s="439"/>
      <c r="PH2" s="439"/>
      <c r="PI2" s="439"/>
      <c r="PJ2" s="439"/>
      <c r="PK2" s="439"/>
      <c r="PL2" s="439"/>
      <c r="PM2" s="439"/>
      <c r="PN2" s="439"/>
      <c r="PO2" s="439"/>
      <c r="PP2" s="439"/>
      <c r="PQ2" s="439"/>
      <c r="PR2" s="439"/>
      <c r="PS2" s="439"/>
      <c r="PT2" s="439"/>
      <c r="PU2" s="439"/>
      <c r="PV2" s="439"/>
      <c r="PW2" s="439"/>
      <c r="PX2" s="439"/>
      <c r="PY2" s="439"/>
      <c r="PZ2" s="439"/>
      <c r="QA2" s="439"/>
      <c r="QB2" s="439"/>
      <c r="QC2" s="439"/>
      <c r="QD2" s="439"/>
      <c r="QE2" s="439"/>
      <c r="QF2" s="439"/>
      <c r="QG2" s="439"/>
      <c r="QH2" s="439"/>
      <c r="QI2" s="439"/>
      <c r="QJ2" s="439"/>
      <c r="QK2" s="439"/>
      <c r="QL2" s="439"/>
      <c r="QM2" s="439"/>
      <c r="QN2" s="439"/>
      <c r="QO2" s="439"/>
      <c r="QP2" s="439"/>
      <c r="QQ2" s="439"/>
      <c r="QR2" s="439"/>
      <c r="QS2" s="439"/>
      <c r="QT2" s="439"/>
      <c r="QU2" s="439"/>
      <c r="QV2" s="439"/>
      <c r="QW2" s="439"/>
      <c r="QX2" s="439"/>
      <c r="QY2" s="439"/>
      <c r="QZ2" s="439"/>
      <c r="RA2" s="439"/>
      <c r="RB2" s="439"/>
      <c r="RC2" s="439"/>
      <c r="RD2" s="439"/>
      <c r="RE2" s="439"/>
      <c r="RF2" s="439"/>
      <c r="RG2" s="439"/>
      <c r="RH2" s="439"/>
      <c r="RI2" s="439"/>
      <c r="RJ2" s="439"/>
      <c r="RK2" s="439"/>
      <c r="RL2" s="439"/>
      <c r="RM2" s="439"/>
      <c r="RN2" s="439"/>
      <c r="RO2" s="439"/>
      <c r="RP2" s="439"/>
      <c r="RQ2" s="439"/>
      <c r="RR2" s="439"/>
      <c r="RS2" s="439"/>
      <c r="RT2" s="439"/>
      <c r="RU2" s="439"/>
      <c r="RV2" s="439"/>
      <c r="RW2" s="439"/>
      <c r="RX2" s="439"/>
      <c r="RY2" s="439"/>
      <c r="RZ2" s="439"/>
      <c r="SA2" s="439"/>
      <c r="SB2" s="439"/>
      <c r="SC2" s="439"/>
      <c r="SD2" s="439"/>
      <c r="SE2" s="439"/>
      <c r="SF2" s="439"/>
      <c r="SG2" s="439"/>
      <c r="SH2" s="439"/>
      <c r="SI2" s="439"/>
      <c r="SJ2" s="439"/>
      <c r="SK2" s="439"/>
      <c r="SL2" s="439"/>
      <c r="SM2" s="439"/>
      <c r="SN2" s="439"/>
      <c r="SO2" s="439"/>
      <c r="SP2" s="439"/>
      <c r="SQ2" s="439"/>
      <c r="SR2" s="439"/>
      <c r="SS2" s="439"/>
      <c r="ST2" s="439"/>
      <c r="SU2" s="439"/>
      <c r="SV2" s="439"/>
      <c r="SW2" s="439"/>
      <c r="SX2" s="439"/>
      <c r="SY2" s="439"/>
      <c r="SZ2" s="439"/>
      <c r="TA2" s="439"/>
      <c r="TB2" s="439"/>
      <c r="TC2" s="439"/>
      <c r="TD2" s="439"/>
      <c r="TE2" s="439"/>
      <c r="TF2" s="439"/>
      <c r="TG2" s="439"/>
      <c r="TH2" s="439"/>
      <c r="TI2" s="439"/>
      <c r="TJ2" s="439"/>
      <c r="TK2" s="439"/>
      <c r="TL2" s="439"/>
      <c r="TM2" s="439"/>
      <c r="TN2" s="439"/>
      <c r="TO2" s="439"/>
      <c r="TP2" s="439"/>
      <c r="TQ2" s="439"/>
      <c r="TR2" s="439"/>
      <c r="TS2" s="439"/>
      <c r="TT2" s="439"/>
      <c r="TU2" s="439"/>
      <c r="TV2" s="439"/>
      <c r="TW2" s="439"/>
      <c r="TX2" s="439"/>
      <c r="TY2" s="439"/>
      <c r="TZ2" s="439"/>
      <c r="UA2" s="439"/>
      <c r="UB2" s="439"/>
      <c r="UC2" s="439"/>
      <c r="UD2" s="439"/>
      <c r="UE2" s="439"/>
      <c r="UF2" s="439"/>
      <c r="UG2" s="439"/>
      <c r="UH2" s="439"/>
      <c r="UI2" s="439"/>
      <c r="UJ2" s="439"/>
      <c r="UK2" s="439"/>
      <c r="UL2" s="439"/>
      <c r="UM2" s="439"/>
      <c r="UN2" s="439"/>
      <c r="UO2" s="439"/>
      <c r="UP2" s="439"/>
      <c r="UQ2" s="439"/>
      <c r="UR2" s="439"/>
      <c r="US2" s="439"/>
      <c r="UT2" s="439"/>
      <c r="UU2" s="439"/>
      <c r="UV2" s="439"/>
      <c r="UW2" s="439"/>
      <c r="UX2" s="439"/>
      <c r="UY2" s="439"/>
      <c r="UZ2" s="439"/>
      <c r="VA2" s="439"/>
      <c r="VB2" s="439"/>
      <c r="VC2" s="439"/>
      <c r="VD2" s="439"/>
      <c r="VE2" s="439"/>
      <c r="VF2" s="439"/>
      <c r="VG2" s="439"/>
      <c r="VH2" s="439"/>
      <c r="VI2" s="439"/>
      <c r="VJ2" s="439"/>
      <c r="VK2" s="439"/>
      <c r="VL2" s="439"/>
      <c r="VM2" s="439"/>
      <c r="VN2" s="439"/>
      <c r="VO2" s="439"/>
      <c r="VP2" s="439"/>
      <c r="VQ2" s="439"/>
      <c r="VR2" s="439"/>
      <c r="VS2" s="439"/>
      <c r="VT2" s="439"/>
      <c r="VU2" s="439"/>
      <c r="VV2" s="439"/>
      <c r="VW2" s="439"/>
      <c r="VX2" s="439"/>
      <c r="VY2" s="439"/>
      <c r="VZ2" s="439"/>
      <c r="WA2" s="439"/>
      <c r="WB2" s="439"/>
      <c r="WC2" s="439"/>
      <c r="WD2" s="439"/>
      <c r="WE2" s="439"/>
      <c r="WF2" s="439"/>
      <c r="WG2" s="439"/>
      <c r="WH2" s="439"/>
      <c r="WI2" s="439"/>
      <c r="WJ2" s="439"/>
      <c r="WK2" s="439"/>
      <c r="WL2" s="439"/>
      <c r="WM2" s="439"/>
      <c r="WN2" s="439"/>
      <c r="WO2" s="439"/>
      <c r="WP2" s="439"/>
      <c r="WQ2" s="439"/>
      <c r="WR2" s="439"/>
      <c r="WS2" s="439"/>
      <c r="WT2" s="439"/>
      <c r="WU2" s="439"/>
      <c r="WV2" s="439"/>
      <c r="WW2" s="439"/>
      <c r="WX2" s="439"/>
      <c r="WY2" s="439"/>
      <c r="WZ2" s="439"/>
      <c r="XA2" s="439"/>
      <c r="XB2" s="439"/>
      <c r="XC2" s="439"/>
      <c r="XD2" s="439"/>
      <c r="XE2" s="439"/>
      <c r="XF2" s="439"/>
      <c r="XG2" s="439"/>
      <c r="XH2" s="439"/>
      <c r="XI2" s="439"/>
      <c r="XJ2" s="439"/>
      <c r="XK2" s="439"/>
      <c r="XL2" s="439"/>
      <c r="XM2" s="439"/>
      <c r="XN2" s="439"/>
      <c r="XO2" s="439"/>
      <c r="XP2" s="439"/>
      <c r="XQ2" s="439"/>
      <c r="XR2" s="439"/>
      <c r="XS2" s="439"/>
      <c r="XT2" s="439"/>
      <c r="XU2" s="439"/>
      <c r="XV2" s="439"/>
      <c r="XW2" s="439"/>
      <c r="XX2" s="439"/>
      <c r="XY2" s="439"/>
      <c r="XZ2" s="439"/>
      <c r="YA2" s="439"/>
      <c r="YB2" s="439"/>
      <c r="YC2" s="439"/>
      <c r="YD2" s="439"/>
      <c r="YE2" s="439"/>
      <c r="YF2" s="439"/>
      <c r="YG2" s="439"/>
      <c r="YH2" s="439"/>
      <c r="YI2" s="439"/>
      <c r="YJ2" s="439"/>
      <c r="YK2" s="439"/>
      <c r="YL2" s="439"/>
      <c r="YM2" s="439"/>
      <c r="YN2" s="439"/>
      <c r="YO2" s="439"/>
      <c r="YP2" s="439"/>
      <c r="YQ2" s="439"/>
      <c r="YR2" s="439"/>
      <c r="YS2" s="439"/>
      <c r="YT2" s="439"/>
      <c r="YU2" s="439"/>
      <c r="YV2" s="439"/>
      <c r="YW2" s="439"/>
      <c r="YX2" s="439"/>
      <c r="YY2" s="439"/>
      <c r="YZ2" s="439"/>
      <c r="ZA2" s="439"/>
      <c r="ZB2" s="439"/>
      <c r="ZC2" s="439"/>
      <c r="ZD2" s="439"/>
      <c r="ZE2" s="439"/>
      <c r="ZF2" s="439"/>
      <c r="ZG2" s="439"/>
      <c r="ZH2" s="439"/>
      <c r="ZI2" s="439"/>
      <c r="ZJ2" s="439"/>
      <c r="ZK2" s="439"/>
      <c r="ZL2" s="439"/>
      <c r="ZM2" s="439"/>
      <c r="ZN2" s="439"/>
      <c r="ZO2" s="439"/>
      <c r="ZP2" s="439"/>
      <c r="ZQ2" s="439"/>
      <c r="ZR2" s="439"/>
      <c r="ZS2" s="439"/>
      <c r="ZT2" s="439"/>
      <c r="ZU2" s="439"/>
      <c r="ZV2" s="439"/>
      <c r="ZW2" s="439"/>
      <c r="ZX2" s="439"/>
      <c r="ZY2" s="439"/>
      <c r="ZZ2" s="439"/>
      <c r="AAA2" s="439"/>
      <c r="AAB2" s="439"/>
      <c r="AAC2" s="439"/>
      <c r="AAD2" s="439"/>
      <c r="AAE2" s="439"/>
      <c r="AAF2" s="439"/>
      <c r="AAG2" s="439"/>
      <c r="AAH2" s="439"/>
      <c r="AAI2" s="439"/>
      <c r="AAJ2" s="439"/>
      <c r="AAK2" s="439"/>
      <c r="AAL2" s="439"/>
      <c r="AAM2" s="439"/>
      <c r="AAN2" s="439"/>
      <c r="AAO2" s="439"/>
      <c r="AAP2" s="439"/>
      <c r="AAQ2" s="439"/>
      <c r="AAR2" s="439"/>
      <c r="AAS2" s="439"/>
      <c r="AAT2" s="439"/>
      <c r="AAU2" s="439"/>
      <c r="AAV2" s="439"/>
      <c r="AAW2" s="439"/>
      <c r="AAX2" s="439"/>
      <c r="AAY2" s="439"/>
      <c r="AAZ2" s="439"/>
      <c r="ABA2" s="439"/>
      <c r="ABB2" s="439"/>
      <c r="ABC2" s="439"/>
      <c r="ABD2" s="439"/>
      <c r="ABE2" s="439"/>
      <c r="ABF2" s="439"/>
      <c r="ABG2" s="439"/>
      <c r="ABH2" s="439"/>
      <c r="ABI2" s="439"/>
      <c r="ABJ2" s="439"/>
      <c r="ABK2" s="439"/>
      <c r="ABL2" s="439"/>
      <c r="ABM2" s="439"/>
      <c r="ABN2" s="439"/>
      <c r="ABO2" s="439"/>
      <c r="ABP2" s="439"/>
      <c r="ABQ2" s="439"/>
      <c r="ABR2" s="439"/>
      <c r="ABS2" s="439"/>
      <c r="ABT2" s="439"/>
      <c r="ABU2" s="439"/>
      <c r="ABV2" s="439"/>
      <c r="ABW2" s="439"/>
      <c r="ABX2" s="439"/>
      <c r="ABY2" s="439"/>
      <c r="ABZ2" s="439"/>
      <c r="ACA2" s="439"/>
      <c r="ACB2" s="439"/>
      <c r="ACC2" s="439"/>
      <c r="ACD2" s="439"/>
      <c r="ACE2" s="439"/>
      <c r="ACF2" s="439"/>
      <c r="ACG2" s="439"/>
      <c r="ACH2" s="439"/>
      <c r="ACI2" s="439"/>
      <c r="ACJ2" s="439"/>
      <c r="ACK2" s="439"/>
      <c r="ACL2" s="439"/>
      <c r="ACM2" s="439"/>
      <c r="ACN2" s="439"/>
      <c r="ACO2" s="439"/>
      <c r="ACP2" s="439"/>
      <c r="ACQ2" s="439"/>
      <c r="ACR2" s="439"/>
      <c r="ACS2" s="439"/>
      <c r="ACT2" s="439"/>
      <c r="ACU2" s="439"/>
      <c r="ACV2" s="439"/>
      <c r="ACW2" s="439"/>
      <c r="ACX2" s="439"/>
      <c r="ACY2" s="439"/>
      <c r="ACZ2" s="439"/>
      <c r="ADA2" s="439"/>
      <c r="ADB2" s="439"/>
      <c r="ADC2" s="439"/>
      <c r="ADD2" s="439"/>
      <c r="ADE2" s="439"/>
      <c r="ADF2" s="439"/>
      <c r="ADG2" s="439"/>
      <c r="ADH2" s="439"/>
      <c r="ADI2" s="439"/>
      <c r="ADJ2" s="439"/>
      <c r="ADK2" s="439"/>
      <c r="ADL2" s="439"/>
      <c r="ADM2" s="439"/>
      <c r="ADN2" s="439"/>
      <c r="ADO2" s="439"/>
      <c r="ADP2" s="439"/>
      <c r="ADQ2" s="439"/>
      <c r="ADR2" s="439"/>
      <c r="ADS2" s="439"/>
      <c r="ADT2" s="439"/>
      <c r="ADU2" s="439"/>
      <c r="ADV2" s="439"/>
      <c r="ADW2" s="439"/>
      <c r="ADX2" s="439"/>
      <c r="ADY2" s="439"/>
      <c r="ADZ2" s="439"/>
      <c r="AEA2" s="439"/>
      <c r="AEB2" s="439"/>
      <c r="AEC2" s="439"/>
      <c r="AED2" s="439"/>
      <c r="AEE2" s="439"/>
      <c r="AEF2" s="439"/>
      <c r="AEG2" s="439"/>
      <c r="AEH2" s="439"/>
      <c r="AEI2" s="439"/>
      <c r="AEJ2" s="439"/>
      <c r="AEK2" s="439"/>
      <c r="AEL2" s="439"/>
      <c r="AEM2" s="439"/>
      <c r="AEN2" s="439"/>
      <c r="AEO2" s="439"/>
      <c r="AEP2" s="439"/>
      <c r="AEQ2" s="439"/>
      <c r="AER2" s="439"/>
      <c r="AES2" s="439"/>
      <c r="AET2" s="439"/>
      <c r="AEU2" s="439"/>
      <c r="AEV2" s="439"/>
      <c r="AEW2" s="439"/>
      <c r="AEX2" s="439"/>
      <c r="AEY2" s="439"/>
      <c r="AEZ2" s="439"/>
      <c r="AFA2" s="439"/>
      <c r="AFB2" s="439"/>
      <c r="AFC2" s="439"/>
      <c r="AFD2" s="439"/>
      <c r="AFE2" s="439"/>
      <c r="AFF2" s="439"/>
      <c r="AFG2" s="439"/>
      <c r="AFH2" s="439"/>
      <c r="AFI2" s="439"/>
      <c r="AFJ2" s="439"/>
      <c r="AFK2" s="439"/>
      <c r="AFL2" s="439"/>
      <c r="AFM2" s="439"/>
      <c r="AFN2" s="439"/>
      <c r="AFO2" s="439"/>
      <c r="AFP2" s="439"/>
      <c r="AFQ2" s="439"/>
      <c r="AFR2" s="439"/>
      <c r="AFS2" s="439"/>
      <c r="AFT2" s="439"/>
      <c r="AFU2" s="439"/>
      <c r="AFV2" s="439"/>
      <c r="AFW2" s="439"/>
      <c r="AFX2" s="439"/>
      <c r="AFY2" s="439"/>
      <c r="AFZ2" s="439"/>
      <c r="AGA2" s="439"/>
      <c r="AGB2" s="439"/>
      <c r="AGC2" s="439"/>
      <c r="AGD2" s="439"/>
      <c r="AGE2" s="439"/>
      <c r="AGF2" s="439"/>
      <c r="AGG2" s="439"/>
      <c r="AGH2" s="439"/>
      <c r="AGI2" s="439"/>
      <c r="AGJ2" s="439"/>
      <c r="AGK2" s="439"/>
      <c r="AGL2" s="439"/>
      <c r="AGM2" s="439"/>
      <c r="AGN2" s="439"/>
      <c r="AGO2" s="439"/>
      <c r="AGP2" s="439"/>
      <c r="AGQ2" s="439"/>
      <c r="AGR2" s="439"/>
      <c r="AGS2" s="439"/>
      <c r="AGT2" s="439"/>
      <c r="AGU2" s="439"/>
      <c r="AGV2" s="439"/>
      <c r="AGW2" s="439"/>
      <c r="AGX2" s="439"/>
      <c r="AGY2" s="439"/>
      <c r="AGZ2" s="439"/>
      <c r="AHA2" s="439"/>
      <c r="AHB2" s="439"/>
      <c r="AHC2" s="439"/>
      <c r="AHD2" s="439"/>
      <c r="AHE2" s="439"/>
      <c r="AHF2" s="439"/>
      <c r="AHG2" s="439"/>
      <c r="AHH2" s="439"/>
      <c r="AHI2" s="439"/>
      <c r="AHJ2" s="439"/>
      <c r="AHK2" s="439"/>
      <c r="AHL2" s="439"/>
      <c r="AHM2" s="439"/>
      <c r="AHN2" s="439"/>
      <c r="AHO2" s="439"/>
      <c r="AHP2" s="439"/>
      <c r="AHQ2" s="439"/>
      <c r="AHR2" s="439"/>
      <c r="AHS2" s="439"/>
      <c r="AHT2" s="439"/>
      <c r="AHU2" s="439"/>
      <c r="AHV2" s="439"/>
      <c r="AHW2" s="439"/>
      <c r="AHX2" s="439"/>
      <c r="AHY2" s="439"/>
      <c r="AHZ2" s="439"/>
      <c r="AIA2" s="439"/>
      <c r="AIB2" s="439"/>
      <c r="AIC2" s="439"/>
      <c r="AID2" s="439"/>
      <c r="AIE2" s="439"/>
      <c r="AIF2" s="439"/>
      <c r="AIG2" s="439"/>
      <c r="AIH2" s="439"/>
      <c r="AII2" s="439"/>
      <c r="AIJ2" s="439"/>
      <c r="AIK2" s="439"/>
      <c r="AIL2" s="439"/>
      <c r="AIM2" s="439"/>
      <c r="AIN2" s="439"/>
      <c r="AIO2" s="439"/>
      <c r="AIP2" s="439"/>
      <c r="AIQ2" s="439"/>
      <c r="AIR2" s="439"/>
      <c r="AIS2" s="439"/>
      <c r="AIT2" s="439"/>
      <c r="AIU2" s="439"/>
      <c r="AIV2" s="439"/>
      <c r="AIW2" s="439"/>
      <c r="AIX2" s="439"/>
      <c r="AIY2" s="439"/>
      <c r="AIZ2" s="439"/>
      <c r="AJA2" s="439"/>
      <c r="AJB2" s="439"/>
      <c r="AJC2" s="439"/>
      <c r="AJD2" s="439"/>
      <c r="AJE2" s="439"/>
      <c r="AJF2" s="439"/>
      <c r="AJG2" s="439"/>
      <c r="AJH2" s="439"/>
      <c r="AJI2" s="439"/>
      <c r="AJJ2" s="439"/>
      <c r="AJK2" s="439"/>
      <c r="AJL2" s="439"/>
      <c r="AJM2" s="439"/>
      <c r="AJN2" s="439"/>
      <c r="AJO2" s="439"/>
      <c r="AJP2" s="439"/>
      <c r="AJQ2" s="439"/>
      <c r="AJR2" s="439"/>
      <c r="AJS2" s="439"/>
      <c r="AJT2" s="439"/>
      <c r="AJU2" s="439"/>
      <c r="AJV2" s="439"/>
      <c r="AJW2" s="439"/>
      <c r="AJX2" s="439"/>
      <c r="AJY2" s="439"/>
      <c r="AJZ2" s="439"/>
      <c r="AKA2" s="439"/>
      <c r="AKB2" s="439"/>
      <c r="AKC2" s="439"/>
      <c r="AKD2" s="439"/>
      <c r="AKE2" s="439"/>
      <c r="AKF2" s="439"/>
      <c r="AKG2" s="439"/>
      <c r="AKH2" s="439"/>
      <c r="AKI2" s="439"/>
      <c r="AKJ2" s="439"/>
      <c r="AKK2" s="439"/>
      <c r="AKL2" s="439"/>
      <c r="AKM2" s="439"/>
      <c r="AKN2" s="439"/>
      <c r="AKO2" s="439"/>
      <c r="AKP2" s="439"/>
      <c r="AKQ2" s="439"/>
      <c r="AKR2" s="439"/>
      <c r="AKS2" s="439"/>
      <c r="AKT2" s="439"/>
      <c r="AKU2" s="439"/>
      <c r="AKV2" s="439"/>
      <c r="AKW2" s="439"/>
      <c r="AKX2" s="439"/>
      <c r="AKY2" s="439"/>
      <c r="AKZ2" s="439"/>
      <c r="ALA2" s="439"/>
      <c r="ALB2" s="439"/>
      <c r="ALC2" s="439"/>
      <c r="ALD2" s="439"/>
      <c r="ALE2" s="439"/>
      <c r="ALF2" s="439"/>
      <c r="ALG2" s="439"/>
      <c r="ALH2" s="439"/>
      <c r="ALI2" s="439"/>
      <c r="ALJ2" s="439"/>
      <c r="ALK2" s="439"/>
      <c r="ALL2" s="439"/>
      <c r="ALM2" s="439"/>
      <c r="ALN2" s="439"/>
      <c r="ALO2" s="439"/>
      <c r="ALP2" s="439"/>
      <c r="ALQ2" s="439"/>
      <c r="ALR2" s="439"/>
      <c r="ALS2" s="439"/>
      <c r="ALT2" s="439"/>
      <c r="ALU2" s="439"/>
      <c r="ALV2" s="439"/>
      <c r="ALW2" s="439"/>
      <c r="ALX2" s="439"/>
      <c r="ALY2" s="439"/>
      <c r="ALZ2" s="439"/>
      <c r="AMA2" s="439"/>
      <c r="AMB2" s="439"/>
      <c r="AMC2" s="439"/>
      <c r="AMD2" s="439"/>
      <c r="AME2" s="439"/>
      <c r="AMF2" s="439"/>
      <c r="AMG2" s="439"/>
      <c r="AMH2" s="439"/>
      <c r="AMI2" s="439"/>
      <c r="AMJ2" s="439"/>
      <c r="AMK2" s="439"/>
    </row>
    <row r="3" ht="20" customHeight="1" spans="2:12" x14ac:dyDescent="0.25">
      <c r="B3" s="448"/>
      <c r="E3" s="449"/>
      <c r="F3" s="449"/>
      <c r="G3" s="449"/>
      <c r="H3" s="449"/>
      <c r="I3" s="449"/>
      <c r="J3" s="449"/>
      <c r="K3" s="449"/>
      <c r="L3" s="449"/>
    </row>
    <row r="4" ht="9.75" customHeight="1" spans="1:12" x14ac:dyDescent="0.25">
      <c r="A4" s="448"/>
      <c r="C4" s="449"/>
      <c r="E4" s="449"/>
      <c r="F4" s="449"/>
      <c r="G4" s="449"/>
      <c r="H4" s="449"/>
      <c r="I4" s="449"/>
      <c r="J4" s="449"/>
      <c r="K4" s="449"/>
      <c r="L4" s="449"/>
    </row>
    <row r="5" ht="20" customHeight="1" spans="1:12" x14ac:dyDescent="0.25">
      <c r="A5" s="448"/>
      <c r="C5" s="449"/>
      <c r="E5" s="449"/>
      <c r="F5" s="449"/>
      <c r="G5" s="449"/>
      <c r="H5" s="449"/>
      <c r="I5" s="449"/>
      <c r="J5" s="449"/>
      <c r="K5" s="449"/>
      <c r="L5" s="449"/>
    </row>
    <row r="6" ht="20" customHeight="1" spans="3:12" x14ac:dyDescent="0.25">
      <c r="C6" s="449"/>
      <c r="E6" s="449"/>
      <c r="F6" s="449"/>
      <c r="G6" s="449"/>
      <c r="H6" s="449"/>
      <c r="I6" s="449"/>
      <c r="J6" s="449"/>
      <c r="K6" s="449"/>
      <c r="L6" s="449"/>
    </row>
    <row r="7" ht="20" customHeight="1" s="439" customFormat="1" x14ac:dyDescent="0.25"/>
    <row r="8" ht="20" customHeight="1" s="439" customFormat="1" x14ac:dyDescent="0.25"/>
    <row r="9" ht="39" customHeight="1" spans="1:29" s="642" customFormat="1" x14ac:dyDescent="0.25">
      <c r="A9" s="468" t="s">
        <v>113</v>
      </c>
      <c r="B9" s="468" t="s">
        <v>1507</v>
      </c>
      <c r="C9" s="468"/>
      <c r="D9" s="468"/>
      <c r="E9" s="468"/>
      <c r="F9" s="468"/>
      <c r="G9" s="451" t="s">
        <v>1508</v>
      </c>
      <c r="H9" s="451"/>
      <c r="I9" s="451"/>
      <c r="J9" s="451"/>
      <c r="K9" s="451"/>
      <c r="L9" s="451"/>
      <c r="M9" s="451"/>
      <c r="N9" s="451"/>
      <c r="O9" s="451" t="s">
        <v>1509</v>
      </c>
      <c r="P9" s="451" t="s">
        <v>1510</v>
      </c>
      <c r="Q9" s="451" t="s">
        <v>1511</v>
      </c>
      <c r="R9" s="451"/>
      <c r="S9" s="451" t="s">
        <v>1512</v>
      </c>
      <c r="T9" s="451"/>
      <c r="U9" s="451"/>
      <c r="V9" s="451"/>
      <c r="W9" s="451"/>
      <c r="X9" s="451"/>
      <c r="Y9" s="451"/>
      <c r="Z9" s="451" t="s">
        <v>1513</v>
      </c>
      <c r="AA9" s="451" t="s">
        <v>1514</v>
      </c>
      <c r="AB9" s="451" t="s">
        <v>825</v>
      </c>
      <c r="AC9" s="451" t="s">
        <v>1515</v>
      </c>
    </row>
    <row r="10" ht="12.75" customHeight="1" spans="1:29" s="642" customFormat="1" x14ac:dyDescent="0.25">
      <c r="A10" s="468"/>
      <c r="B10" s="468" t="s">
        <v>1516</v>
      </c>
      <c r="C10" s="468" t="s">
        <v>1517</v>
      </c>
      <c r="D10" s="468" t="s">
        <v>1518</v>
      </c>
      <c r="E10" s="468" t="s">
        <v>1519</v>
      </c>
      <c r="F10" s="468" t="s">
        <v>1520</v>
      </c>
      <c r="G10" s="643"/>
      <c r="H10" s="580"/>
      <c r="I10" s="580"/>
      <c r="J10" s="580"/>
      <c r="K10" s="580"/>
      <c r="L10" s="580"/>
      <c r="M10" s="580"/>
      <c r="N10" s="644"/>
      <c r="O10" s="451"/>
      <c r="P10" s="451"/>
      <c r="Q10" s="451"/>
      <c r="R10" s="451"/>
      <c r="S10" s="451" t="s">
        <v>1521</v>
      </c>
      <c r="T10" s="451"/>
      <c r="U10" s="451"/>
      <c r="V10" s="451"/>
      <c r="W10" s="451"/>
      <c r="X10" s="451"/>
      <c r="Y10" s="451" t="s">
        <v>1522</v>
      </c>
      <c r="Z10" s="451"/>
      <c r="AA10" s="451"/>
      <c r="AB10" s="451"/>
      <c r="AC10" s="451"/>
    </row>
    <row r="11" ht="12.75" customHeight="1" spans="1:29" s="642" customFormat="1" x14ac:dyDescent="0.25">
      <c r="A11" s="468"/>
      <c r="B11" s="468"/>
      <c r="C11" s="468"/>
      <c r="D11" s="468"/>
      <c r="E11" s="468"/>
      <c r="F11" s="468"/>
      <c r="G11" s="645" t="s">
        <v>1523</v>
      </c>
      <c r="H11" s="644"/>
      <c r="I11" s="451" t="s">
        <v>1524</v>
      </c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</row>
    <row r="12" ht="32.25" customHeight="1" spans="1:29" s="642" customFormat="1" x14ac:dyDescent="0.25">
      <c r="A12" s="468"/>
      <c r="B12" s="468"/>
      <c r="C12" s="468"/>
      <c r="D12" s="468"/>
      <c r="E12" s="468"/>
      <c r="F12" s="468"/>
      <c r="G12" s="645"/>
      <c r="H12" s="646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  <c r="AA12" s="451"/>
      <c r="AB12" s="451"/>
      <c r="AC12" s="451"/>
    </row>
    <row r="13" ht="27.75" customHeight="1" spans="1:29" s="642" customFormat="1" x14ac:dyDescent="0.25">
      <c r="A13" s="468"/>
      <c r="B13" s="468"/>
      <c r="C13" s="468"/>
      <c r="D13" s="468"/>
      <c r="E13" s="468"/>
      <c r="F13" s="468"/>
      <c r="G13" s="645"/>
      <c r="H13" s="647" t="s">
        <v>1525</v>
      </c>
      <c r="I13" s="648" t="s">
        <v>1526</v>
      </c>
      <c r="J13" s="648"/>
      <c r="K13" s="648"/>
      <c r="L13" s="451" t="s">
        <v>1527</v>
      </c>
      <c r="M13" s="451"/>
      <c r="N13" s="451"/>
      <c r="O13" s="451"/>
      <c r="P13" s="451"/>
      <c r="Q13" s="451" t="s">
        <v>1528</v>
      </c>
      <c r="R13" s="451" t="s">
        <v>1529</v>
      </c>
      <c r="S13" s="451" t="s">
        <v>1526</v>
      </c>
      <c r="T13" s="451"/>
      <c r="U13" s="451"/>
      <c r="V13" s="451" t="s">
        <v>1530</v>
      </c>
      <c r="W13" s="451"/>
      <c r="X13" s="451"/>
      <c r="Y13" s="451"/>
      <c r="Z13" s="451"/>
      <c r="AA13" s="451"/>
      <c r="AB13" s="451"/>
      <c r="AC13" s="451"/>
    </row>
    <row r="14" ht="155.25" customHeight="1" spans="1:29" s="443" customFormat="1" x14ac:dyDescent="0.25">
      <c r="A14" s="468"/>
      <c r="B14" s="468"/>
      <c r="C14" s="468"/>
      <c r="D14" s="468"/>
      <c r="E14" s="468"/>
      <c r="F14" s="468"/>
      <c r="G14" s="645"/>
      <c r="H14" s="647"/>
      <c r="I14" s="488" t="s">
        <v>1531</v>
      </c>
      <c r="J14" s="488" t="s">
        <v>1532</v>
      </c>
      <c r="K14" s="488" t="s">
        <v>1533</v>
      </c>
      <c r="L14" s="488" t="s">
        <v>1534</v>
      </c>
      <c r="M14" s="488" t="s">
        <v>1362</v>
      </c>
      <c r="N14" s="488" t="s">
        <v>1535</v>
      </c>
      <c r="O14" s="451"/>
      <c r="P14" s="451"/>
      <c r="Q14" s="451"/>
      <c r="R14" s="451"/>
      <c r="S14" s="451" t="s">
        <v>1531</v>
      </c>
      <c r="T14" s="451" t="s">
        <v>1532</v>
      </c>
      <c r="U14" s="451" t="s">
        <v>1533</v>
      </c>
      <c r="V14" s="451" t="s">
        <v>1534</v>
      </c>
      <c r="W14" s="451" t="s">
        <v>1362</v>
      </c>
      <c r="X14" s="451" t="s">
        <v>1535</v>
      </c>
      <c r="Y14" s="451"/>
      <c r="Z14" s="451"/>
      <c r="AA14" s="451"/>
      <c r="AB14" s="451"/>
      <c r="AC14" s="451"/>
    </row>
    <row r="15" ht="133.5" customHeight="1" spans="1:29" s="649" customFormat="1" x14ac:dyDescent="0.25">
      <c r="A15" s="650"/>
      <c r="B15" s="650"/>
      <c r="C15" s="650"/>
      <c r="D15" s="650"/>
      <c r="E15" s="650"/>
      <c r="F15" s="650"/>
      <c r="G15" s="650"/>
      <c r="H15" s="650"/>
      <c r="I15" s="650" t="s">
        <v>154</v>
      </c>
      <c r="J15" s="650" t="s">
        <v>157</v>
      </c>
      <c r="K15" s="650" t="s">
        <v>160</v>
      </c>
      <c r="L15" s="650" t="s">
        <v>164</v>
      </c>
      <c r="M15" s="650" t="s">
        <v>321</v>
      </c>
      <c r="N15" s="650" t="s">
        <v>329</v>
      </c>
      <c r="O15" s="651" t="s">
        <v>331</v>
      </c>
      <c r="P15" s="651" t="s">
        <v>333</v>
      </c>
      <c r="Q15" s="652" t="s">
        <v>1536</v>
      </c>
      <c r="R15" s="651" t="s">
        <v>1537</v>
      </c>
      <c r="S15" s="651" t="s">
        <v>424</v>
      </c>
      <c r="T15" s="651" t="s">
        <v>427</v>
      </c>
      <c r="U15" s="651" t="s">
        <v>430</v>
      </c>
      <c r="V15" s="651" t="s">
        <v>515</v>
      </c>
      <c r="W15" s="651" t="s">
        <v>350</v>
      </c>
      <c r="X15" s="651" t="s">
        <v>353</v>
      </c>
      <c r="Y15" s="651" t="s">
        <v>355</v>
      </c>
      <c r="Z15" s="651" t="s">
        <v>357</v>
      </c>
      <c r="AA15" s="652" t="s">
        <v>1538</v>
      </c>
      <c r="AB15" s="652" t="s">
        <v>1539</v>
      </c>
      <c r="AC15" s="651" t="s">
        <v>1540</v>
      </c>
    </row>
    <row r="16" ht="30" customHeight="1" spans="1:29" s="649" customFormat="1" x14ac:dyDescent="0.25">
      <c r="A16" s="463" t="s">
        <v>1541</v>
      </c>
      <c r="B16" s="653" t="s">
        <v>1542</v>
      </c>
      <c r="C16" s="653"/>
      <c r="D16" s="653" t="s">
        <v>1543</v>
      </c>
      <c r="E16" s="653"/>
      <c r="F16" s="653"/>
      <c r="G16" s="653">
        <v>34172.665658</v>
      </c>
      <c r="H16" s="653"/>
      <c r="I16" s="653">
        <v>34102.165237</v>
      </c>
      <c r="J16" s="653"/>
      <c r="K16" s="653"/>
      <c r="L16" s="653"/>
      <c r="M16" s="653"/>
      <c r="N16" s="653">
        <f>70.500421*0.5</f>
        <v>35.2502105</v>
      </c>
      <c r="O16" s="462"/>
      <c r="P16" s="462"/>
      <c r="Q16" s="462">
        <f>I16+J16+K16+L16+M16+N16+O16+P16</f>
        <v>34137.4154475</v>
      </c>
      <c r="R16" s="462">
        <f>Q16/40759</f>
        <v>0.8375430076179495</v>
      </c>
      <c r="S16" s="462"/>
      <c r="T16" s="462"/>
      <c r="U16" s="462"/>
      <c r="V16" s="462"/>
      <c r="W16" s="462"/>
      <c r="X16" s="462"/>
      <c r="Y16" s="462"/>
      <c r="Z16" s="462"/>
      <c r="AA16" s="462">
        <f>Q16+S16+T16+U16+V16+W16+X16+Y16+Z16</f>
        <v>34137.4154475</v>
      </c>
      <c r="AB16" s="462">
        <f>+AA16</f>
        <v>34137.4154475</v>
      </c>
      <c r="AC16" s="462">
        <f>AB16/40759</f>
        <v>0.8375430076179495</v>
      </c>
    </row>
    <row r="17" ht="30" customHeight="1" spans="1:29" s="649" customFormat="1" x14ac:dyDescent="0.25">
      <c r="A17" s="463" t="s">
        <v>1544</v>
      </c>
      <c r="B17" s="653" t="s">
        <v>1542</v>
      </c>
      <c r="C17" s="653"/>
      <c r="D17" s="653" t="s">
        <v>1545</v>
      </c>
      <c r="E17" s="653"/>
      <c r="F17" s="653"/>
      <c r="G17" s="653">
        <v>15223.04861</v>
      </c>
      <c r="H17" s="653"/>
      <c r="I17" s="653">
        <v>15223.04861</v>
      </c>
      <c r="J17" s="653"/>
      <c r="K17" s="653"/>
      <c r="L17" s="653"/>
      <c r="M17" s="653"/>
      <c r="N17" s="653">
        <v>0</v>
      </c>
      <c r="O17" s="462"/>
      <c r="P17" s="462"/>
      <c r="Q17" s="462">
        <f t="shared" ref="Q17:Q24" si="0">I17+J17+K17+L17+M17+N17+O17+P17</f>
        <v>15223.04861</v>
      </c>
      <c r="R17" s="462">
        <f t="shared" ref="R17:R27" si="1">Q17/40759</f>
        <v>0.373489256605903</v>
      </c>
      <c r="S17" s="462">
        <v>-13652</v>
      </c>
      <c r="T17" s="462"/>
      <c r="U17" s="462"/>
      <c r="V17" s="462"/>
      <c r="W17" s="462"/>
      <c r="X17" s="462"/>
      <c r="Y17" s="462"/>
      <c r="Z17" s="462"/>
      <c r="AA17" s="462">
        <f t="shared" ref="AA17:AA24" si="2">Q17+S17+T17+U17+V17+W17+X17+Y17+Z17</f>
        <v>1571.0486099999998</v>
      </c>
      <c r="AB17" s="462">
        <f t="shared" ref="AB17:AB22" si="3">AA17-S17*0.5</f>
        <v>8397.04861</v>
      </c>
      <c r="AC17" s="462">
        <f t="shared" ref="AC17:AC27" si="4">AB17/40759</f>
        <v>0.2060170418803209</v>
      </c>
    </row>
    <row r="18" ht="30" customHeight="1" spans="1:29" s="649" customFormat="1" x14ac:dyDescent="0.25">
      <c r="A18" s="463" t="s">
        <v>1546</v>
      </c>
      <c r="B18" s="653" t="s">
        <v>1542</v>
      </c>
      <c r="C18" s="653"/>
      <c r="D18" s="653" t="s">
        <v>1547</v>
      </c>
      <c r="E18" s="653"/>
      <c r="F18" s="653"/>
      <c r="G18" s="653">
        <v>13817.820529999999</v>
      </c>
      <c r="H18" s="653"/>
      <c r="I18" s="653">
        <v>13817.820529999999</v>
      </c>
      <c r="J18" s="653"/>
      <c r="K18" s="653"/>
      <c r="L18" s="653"/>
      <c r="M18" s="653"/>
      <c r="N18" s="653">
        <v>0</v>
      </c>
      <c r="O18" s="462"/>
      <c r="P18" s="462"/>
      <c r="Q18" s="462">
        <f t="shared" si="0"/>
        <v>13817.820529999999</v>
      </c>
      <c r="R18" s="462">
        <f t="shared" si="1"/>
        <v>0.33901274638730095</v>
      </c>
      <c r="S18" s="462">
        <v>-19105</v>
      </c>
      <c r="T18" s="462"/>
      <c r="U18" s="462"/>
      <c r="V18" s="462"/>
      <c r="W18" s="462"/>
      <c r="X18" s="462"/>
      <c r="Y18" s="462"/>
      <c r="Z18" s="462"/>
      <c r="AA18" s="462">
        <f t="shared" si="2"/>
        <v>-5287.179470000001</v>
      </c>
      <c r="AB18" s="462">
        <f t="shared" si="3"/>
        <v>4265.320529999999</v>
      </c>
      <c r="AC18" s="462">
        <f t="shared" si="4"/>
        <v>0.10464733016021</v>
      </c>
    </row>
    <row r="19" ht="30" customHeight="1" spans="1:29" s="649" customFormat="1" x14ac:dyDescent="0.25">
      <c r="A19" s="463" t="s">
        <v>1548</v>
      </c>
      <c r="B19" s="653" t="s">
        <v>1542</v>
      </c>
      <c r="C19" s="653"/>
      <c r="D19" s="653" t="s">
        <v>1549</v>
      </c>
      <c r="E19" s="653"/>
      <c r="F19" s="653"/>
      <c r="G19" s="653">
        <v>12138.825386</v>
      </c>
      <c r="H19" s="653"/>
      <c r="I19" s="653">
        <v>12138.825386</v>
      </c>
      <c r="J19" s="653"/>
      <c r="K19" s="653"/>
      <c r="L19" s="653"/>
      <c r="M19" s="653"/>
      <c r="N19" s="653">
        <v>0</v>
      </c>
      <c r="O19" s="462"/>
      <c r="P19" s="462"/>
      <c r="Q19" s="462">
        <f t="shared" si="0"/>
        <v>12138.825386</v>
      </c>
      <c r="R19" s="462">
        <f t="shared" si="1"/>
        <v>0.2978195094580338</v>
      </c>
      <c r="S19" s="462">
        <v>-7202</v>
      </c>
      <c r="T19" s="462"/>
      <c r="U19" s="462"/>
      <c r="V19" s="462"/>
      <c r="W19" s="462"/>
      <c r="X19" s="462"/>
      <c r="Y19" s="462"/>
      <c r="Z19" s="462"/>
      <c r="AA19" s="462">
        <f t="shared" si="2"/>
        <v>4936.825386</v>
      </c>
      <c r="AB19" s="462">
        <f t="shared" si="3"/>
        <v>8537.825386</v>
      </c>
      <c r="AC19" s="462">
        <f t="shared" si="4"/>
        <v>0.20947092386957483</v>
      </c>
    </row>
    <row r="20" ht="30" customHeight="1" spans="1:29" s="649" customFormat="1" x14ac:dyDescent="0.25">
      <c r="A20" s="463" t="s">
        <v>1550</v>
      </c>
      <c r="B20" s="653" t="s">
        <v>1542</v>
      </c>
      <c r="C20" s="653"/>
      <c r="D20" s="653" t="s">
        <v>1551</v>
      </c>
      <c r="E20" s="653"/>
      <c r="F20" s="653"/>
      <c r="G20" s="653">
        <v>10118.611111</v>
      </c>
      <c r="H20" s="653"/>
      <c r="I20" s="653">
        <v>10118.611111</v>
      </c>
      <c r="J20" s="653"/>
      <c r="K20" s="653"/>
      <c r="L20" s="653"/>
      <c r="M20" s="653"/>
      <c r="N20" s="653">
        <v>0</v>
      </c>
      <c r="O20" s="462"/>
      <c r="P20" s="462"/>
      <c r="Q20" s="462">
        <f t="shared" si="0"/>
        <v>10118.611111</v>
      </c>
      <c r="R20" s="462">
        <f t="shared" si="1"/>
        <v>0.2482546458696239</v>
      </c>
      <c r="S20" s="462">
        <v>-895</v>
      </c>
      <c r="T20" s="462"/>
      <c r="U20" s="462"/>
      <c r="V20" s="462"/>
      <c r="W20" s="462"/>
      <c r="X20" s="462"/>
      <c r="Y20" s="462"/>
      <c r="Z20" s="462"/>
      <c r="AA20" s="462">
        <f t="shared" si="2"/>
        <v>9223.611111</v>
      </c>
      <c r="AB20" s="462">
        <f t="shared" si="3"/>
        <v>9671.111111</v>
      </c>
      <c r="AC20" s="462">
        <f t="shared" si="4"/>
        <v>0.23727547562501533</v>
      </c>
    </row>
    <row r="21" ht="30" customHeight="1" spans="1:29" s="649" customFormat="1" x14ac:dyDescent="0.25">
      <c r="A21" s="463" t="s">
        <v>1552</v>
      </c>
      <c r="B21" s="653" t="s">
        <v>1542</v>
      </c>
      <c r="C21" s="653"/>
      <c r="D21" s="653" t="s">
        <v>1553</v>
      </c>
      <c r="E21" s="653"/>
      <c r="F21" s="653"/>
      <c r="G21" s="653">
        <v>10113.483146</v>
      </c>
      <c r="H21" s="653"/>
      <c r="I21" s="653">
        <v>10113.483146</v>
      </c>
      <c r="J21" s="653"/>
      <c r="K21" s="653"/>
      <c r="L21" s="653"/>
      <c r="M21" s="653"/>
      <c r="N21" s="653">
        <v>0</v>
      </c>
      <c r="O21" s="462"/>
      <c r="P21" s="462"/>
      <c r="Q21" s="462">
        <f t="shared" si="0"/>
        <v>10113.483146</v>
      </c>
      <c r="R21" s="462">
        <f t="shared" si="1"/>
        <v>0.24812883402438726</v>
      </c>
      <c r="S21" s="462">
        <v>-2902</v>
      </c>
      <c r="T21" s="462"/>
      <c r="U21" s="462"/>
      <c r="V21" s="462"/>
      <c r="W21" s="462"/>
      <c r="X21" s="462"/>
      <c r="Y21" s="462"/>
      <c r="Z21" s="462"/>
      <c r="AA21" s="462">
        <f t="shared" si="2"/>
        <v>7211.4831460000005</v>
      </c>
      <c r="AB21" s="462">
        <f t="shared" si="3"/>
        <v>8662.483146</v>
      </c>
      <c r="AC21" s="462">
        <f t="shared" si="4"/>
        <v>0.21252933452734366</v>
      </c>
    </row>
    <row r="22" ht="30" customHeight="1" spans="1:29" s="649" customFormat="1" x14ac:dyDescent="0.25">
      <c r="A22" s="463" t="s">
        <v>1554</v>
      </c>
      <c r="B22" s="653" t="s">
        <v>1542</v>
      </c>
      <c r="C22" s="653"/>
      <c r="D22" s="653" t="s">
        <v>1555</v>
      </c>
      <c r="E22" s="653"/>
      <c r="F22" s="653"/>
      <c r="G22" s="653">
        <v>7493.596414</v>
      </c>
      <c r="H22" s="653"/>
      <c r="I22" s="653">
        <v>7493.596414</v>
      </c>
      <c r="J22" s="653"/>
      <c r="K22" s="653"/>
      <c r="L22" s="653"/>
      <c r="M22" s="653"/>
      <c r="N22" s="653">
        <v>0</v>
      </c>
      <c r="O22" s="462"/>
      <c r="P22" s="462"/>
      <c r="Q22" s="462">
        <f t="shared" si="0"/>
        <v>7493.596414</v>
      </c>
      <c r="R22" s="462">
        <f t="shared" si="1"/>
        <v>0.18385133133786402</v>
      </c>
      <c r="S22" s="462">
        <v>-3751</v>
      </c>
      <c r="T22" s="462"/>
      <c r="U22" s="462"/>
      <c r="V22" s="462"/>
      <c r="W22" s="462"/>
      <c r="X22" s="462"/>
      <c r="Y22" s="462"/>
      <c r="Z22" s="462"/>
      <c r="AA22" s="462">
        <f t="shared" si="2"/>
        <v>3742.5964139999996</v>
      </c>
      <c r="AB22" s="462">
        <f t="shared" si="3"/>
        <v>5618.096414</v>
      </c>
      <c r="AC22" s="462">
        <f t="shared" si="4"/>
        <v>0.13783695414509678</v>
      </c>
    </row>
    <row r="23" ht="30" customHeight="1" spans="1:29" s="649" customFormat="1" x14ac:dyDescent="0.25">
      <c r="A23" s="463" t="s">
        <v>1556</v>
      </c>
      <c r="B23" s="653" t="s">
        <v>1542</v>
      </c>
      <c r="C23" s="653"/>
      <c r="D23" s="653" t="s">
        <v>1557</v>
      </c>
      <c r="E23" s="653"/>
      <c r="F23" s="653"/>
      <c r="G23" s="653">
        <v>7478.757142</v>
      </c>
      <c r="H23" s="653"/>
      <c r="I23" s="653">
        <v>7478.757142</v>
      </c>
      <c r="J23" s="653"/>
      <c r="K23" s="653"/>
      <c r="L23" s="653"/>
      <c r="M23" s="653"/>
      <c r="N23" s="653">
        <v>0</v>
      </c>
      <c r="O23" s="462"/>
      <c r="P23" s="462"/>
      <c r="Q23" s="462">
        <f t="shared" si="0"/>
        <v>7478.757142</v>
      </c>
      <c r="R23" s="462">
        <f t="shared" si="1"/>
        <v>0.18348725783262593</v>
      </c>
      <c r="S23" s="462">
        <v>-3601</v>
      </c>
      <c r="T23" s="462"/>
      <c r="U23" s="462"/>
      <c r="V23" s="462"/>
      <c r="W23" s="462"/>
      <c r="X23" s="462"/>
      <c r="Y23" s="462"/>
      <c r="Z23" s="462"/>
      <c r="AA23" s="462">
        <f t="shared" si="2"/>
        <v>3877.7571420000004</v>
      </c>
      <c r="AB23" s="462">
        <f>AA23-S23*0.2</f>
        <v>4597.957142</v>
      </c>
      <c r="AC23" s="462">
        <f t="shared" si="4"/>
        <v>0.11280838936185873</v>
      </c>
    </row>
    <row r="24" ht="30" customHeight="1" spans="1:29" s="649" customFormat="1" x14ac:dyDescent="0.25">
      <c r="A24" s="463" t="s">
        <v>1558</v>
      </c>
      <c r="B24" s="653" t="s">
        <v>1542</v>
      </c>
      <c r="C24" s="653"/>
      <c r="D24" s="653" t="s">
        <v>1559</v>
      </c>
      <c r="E24" s="653"/>
      <c r="F24" s="653"/>
      <c r="G24" s="653">
        <v>7176.016103000001</v>
      </c>
      <c r="H24" s="653"/>
      <c r="I24" s="653">
        <v>7176.016103000001</v>
      </c>
      <c r="J24" s="653"/>
      <c r="K24" s="653"/>
      <c r="L24" s="653"/>
      <c r="M24" s="653"/>
      <c r="N24" s="653">
        <v>0</v>
      </c>
      <c r="O24" s="462"/>
      <c r="P24" s="462"/>
      <c r="Q24" s="462">
        <f t="shared" si="0"/>
        <v>7176.016103000001</v>
      </c>
      <c r="R24" s="462">
        <f t="shared" si="1"/>
        <v>0.17605967033047917</v>
      </c>
      <c r="S24" s="462"/>
      <c r="T24" s="462"/>
      <c r="U24" s="462"/>
      <c r="V24" s="462"/>
      <c r="W24" s="462"/>
      <c r="X24" s="462"/>
      <c r="Y24" s="462"/>
      <c r="Z24" s="462"/>
      <c r="AA24" s="462">
        <f t="shared" si="2"/>
        <v>7176.016103000001</v>
      </c>
      <c r="AB24" s="462">
        <f>+AA24</f>
        <v>7176.016103000001</v>
      </c>
      <c r="AC24" s="462">
        <f t="shared" si="4"/>
        <v>0.17605967033047917</v>
      </c>
    </row>
    <row r="25" ht="30" customHeight="1" spans="1:29" s="649" customFormat="1" x14ac:dyDescent="0.25">
      <c r="A25" s="463" t="s">
        <v>1560</v>
      </c>
      <c r="B25" s="653" t="s">
        <v>1542</v>
      </c>
      <c r="C25" s="653"/>
      <c r="D25" s="653" t="s">
        <v>1561</v>
      </c>
      <c r="E25" s="653"/>
      <c r="F25" s="653"/>
      <c r="G25" s="653">
        <v>6069.412693</v>
      </c>
      <c r="H25" s="653"/>
      <c r="I25" s="653">
        <v>6069.412693</v>
      </c>
      <c r="J25" s="653"/>
      <c r="K25" s="653"/>
      <c r="L25" s="653"/>
      <c r="M25" s="653"/>
      <c r="N25" s="653">
        <v>0</v>
      </c>
      <c r="O25" s="462"/>
      <c r="P25" s="462"/>
      <c r="Q25" s="462">
        <f t="shared" ref="Q25:Q27" si="5">I25+J25+K25+L25+M25+N25+O25+P25</f>
        <v>6069.412693</v>
      </c>
      <c r="R25" s="462">
        <f t="shared" si="1"/>
        <v>0.1489097547290169</v>
      </c>
      <c r="S25" s="462"/>
      <c r="T25" s="462"/>
      <c r="U25" s="462"/>
      <c r="V25" s="462"/>
      <c r="W25" s="462"/>
      <c r="X25" s="462"/>
      <c r="Y25" s="462"/>
      <c r="Z25" s="462"/>
      <c r="AA25" s="462">
        <f t="shared" ref="AA25:AA27" si="6">Q25+S25+T25+U25+V25+W25+X25+Y25+Z25</f>
        <v>6069.412693</v>
      </c>
      <c r="AB25" s="462">
        <f>+AA25</f>
        <v>6069.412693</v>
      </c>
      <c r="AC25" s="462">
        <f t="shared" si="4"/>
        <v>0.1489097547290169</v>
      </c>
    </row>
    <row r="26" ht="30" customHeight="1" spans="1:29" s="649" customFormat="1" x14ac:dyDescent="0.25">
      <c r="A26" s="463" t="s">
        <v>1562</v>
      </c>
      <c r="B26" s="653" t="s">
        <v>1542</v>
      </c>
      <c r="C26" s="653"/>
      <c r="D26" s="653" t="s">
        <v>1563</v>
      </c>
      <c r="E26" s="653"/>
      <c r="F26" s="653"/>
      <c r="G26" s="653">
        <v>5609.7996650000005</v>
      </c>
      <c r="H26" s="653"/>
      <c r="I26" s="653">
        <v>5609.7996650000005</v>
      </c>
      <c r="J26" s="653"/>
      <c r="K26" s="653"/>
      <c r="L26" s="653"/>
      <c r="M26" s="653"/>
      <c r="N26" s="653">
        <v>0</v>
      </c>
      <c r="O26" s="462"/>
      <c r="P26" s="462"/>
      <c r="Q26" s="462">
        <f t="shared" si="5"/>
        <v>5609.7996650000005</v>
      </c>
      <c r="R26" s="462">
        <f t="shared" si="1"/>
        <v>0.13763339789985035</v>
      </c>
      <c r="S26" s="462"/>
      <c r="T26" s="462"/>
      <c r="U26" s="462"/>
      <c r="V26" s="462"/>
      <c r="W26" s="462"/>
      <c r="X26" s="462"/>
      <c r="Y26" s="462"/>
      <c r="Z26" s="462"/>
      <c r="AA26" s="462">
        <f t="shared" si="6"/>
        <v>5609.7996650000005</v>
      </c>
      <c r="AB26" s="462">
        <f>+AA26</f>
        <v>5609.7996650000005</v>
      </c>
      <c r="AC26" s="462">
        <f t="shared" si="4"/>
        <v>0.13763339789985035</v>
      </c>
    </row>
    <row r="27" ht="30" customHeight="1" spans="1:29" s="649" customFormat="1" x14ac:dyDescent="0.25">
      <c r="A27" s="463" t="s">
        <v>1564</v>
      </c>
      <c r="B27" s="653" t="s">
        <v>1542</v>
      </c>
      <c r="C27" s="653"/>
      <c r="D27" s="653" t="s">
        <v>1565</v>
      </c>
      <c r="E27" s="653"/>
      <c r="F27" s="653"/>
      <c r="G27" s="653">
        <v>5019.158105999999</v>
      </c>
      <c r="H27" s="653"/>
      <c r="I27" s="653">
        <v>5019.158105999999</v>
      </c>
      <c r="J27" s="653"/>
      <c r="K27" s="653"/>
      <c r="L27" s="653"/>
      <c r="M27" s="653"/>
      <c r="N27" s="653">
        <v>0</v>
      </c>
      <c r="O27" s="462"/>
      <c r="P27" s="462"/>
      <c r="Q27" s="462">
        <f t="shared" si="5"/>
        <v>5019.158105999999</v>
      </c>
      <c r="R27" s="462">
        <f t="shared" si="1"/>
        <v>0.12314232699526483</v>
      </c>
      <c r="S27" s="462"/>
      <c r="T27" s="462"/>
      <c r="U27" s="462"/>
      <c r="V27" s="462"/>
      <c r="W27" s="462"/>
      <c r="X27" s="462"/>
      <c r="Y27" s="462"/>
      <c r="Z27" s="462"/>
      <c r="AA27" s="462">
        <f t="shared" si="6"/>
        <v>5019.158105999999</v>
      </c>
      <c r="AB27" s="462">
        <f>+AA27</f>
        <v>5019.158105999999</v>
      </c>
      <c r="AC27" s="462">
        <f t="shared" si="4"/>
        <v>0.12314232699526483</v>
      </c>
    </row>
    <row r="28" ht="30" customHeight="1" spans="1:29" s="649" customFormat="1" x14ac:dyDescent="0.25">
      <c r="A28" s="463" t="s">
        <v>1566</v>
      </c>
      <c r="B28" s="653" t="s">
        <v>1542</v>
      </c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462"/>
      <c r="P28" s="462"/>
      <c r="Q28" s="462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</row>
    <row r="29" ht="30" customHeight="1" spans="1:29" s="649" customFormat="1" x14ac:dyDescent="0.25">
      <c r="A29" s="463" t="s">
        <v>1567</v>
      </c>
      <c r="B29" s="653" t="s">
        <v>1542</v>
      </c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</row>
    <row r="30" ht="30" customHeight="1" spans="1:29" s="649" customFormat="1" x14ac:dyDescent="0.25">
      <c r="A30" s="463" t="s">
        <v>1568</v>
      </c>
      <c r="B30" s="653" t="s">
        <v>1542</v>
      </c>
      <c r="C30" s="653"/>
      <c r="D30" s="653"/>
      <c r="E30" s="653"/>
      <c r="F30" s="653"/>
      <c r="G30" s="653"/>
      <c r="H30" s="653"/>
      <c r="I30" s="653"/>
      <c r="J30" s="653"/>
      <c r="K30" s="653"/>
      <c r="L30" s="653"/>
      <c r="M30" s="653"/>
      <c r="N30" s="653"/>
      <c r="O30" s="462"/>
      <c r="P30" s="462"/>
      <c r="Q30" s="462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</row>
    <row r="31" ht="30" customHeight="1" spans="1:29" s="649" customFormat="1" x14ac:dyDescent="0.25">
      <c r="A31" s="463" t="s">
        <v>1569</v>
      </c>
      <c r="B31" s="653" t="s">
        <v>1542</v>
      </c>
      <c r="C31" s="653"/>
      <c r="D31" s="653"/>
      <c r="E31" s="653"/>
      <c r="F31" s="653"/>
      <c r="G31" s="653"/>
      <c r="H31" s="653"/>
      <c r="I31" s="653"/>
      <c r="J31" s="653"/>
      <c r="K31" s="653"/>
      <c r="L31" s="653"/>
      <c r="M31" s="653"/>
      <c r="N31" s="653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</row>
    <row r="32" ht="30" customHeight="1" spans="1:29" s="649" customFormat="1" x14ac:dyDescent="0.25">
      <c r="A32" s="463" t="s">
        <v>1570</v>
      </c>
      <c r="B32" s="653" t="s">
        <v>1542</v>
      </c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462"/>
      <c r="P32" s="462"/>
      <c r="Q32" s="462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</row>
    <row r="33" ht="30" customHeight="1" spans="1:29" s="649" customFormat="1" x14ac:dyDescent="0.25">
      <c r="A33" s="463" t="s">
        <v>1571</v>
      </c>
      <c r="B33" s="653" t="s">
        <v>1542</v>
      </c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</row>
    <row r="34" ht="30" customHeight="1" spans="1:29" s="649" customFormat="1" x14ac:dyDescent="0.25">
      <c r="A34" s="463" t="s">
        <v>1572</v>
      </c>
      <c r="B34" s="653" t="s">
        <v>1542</v>
      </c>
      <c r="C34" s="653"/>
      <c r="D34" s="653"/>
      <c r="E34" s="653"/>
      <c r="F34" s="653"/>
      <c r="G34" s="653"/>
      <c r="H34" s="653"/>
      <c r="I34" s="653"/>
      <c r="J34" s="653"/>
      <c r="K34" s="653"/>
      <c r="L34" s="653"/>
      <c r="M34" s="653"/>
      <c r="N34" s="653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</row>
    <row r="35" ht="30" customHeight="1" spans="1:29" s="649" customFormat="1" x14ac:dyDescent="0.25">
      <c r="A35" s="463" t="s">
        <v>1573</v>
      </c>
      <c r="B35" s="653" t="s">
        <v>1542</v>
      </c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</row>
    <row r="36" ht="30" customHeight="1" spans="1:29" s="649" customFormat="1" x14ac:dyDescent="0.25">
      <c r="A36" s="463" t="s">
        <v>1574</v>
      </c>
      <c r="B36" s="653" t="s">
        <v>1542</v>
      </c>
      <c r="C36" s="653" t="s">
        <v>1542</v>
      </c>
      <c r="D36" s="653" t="s">
        <v>1542</v>
      </c>
      <c r="E36" s="653" t="s">
        <v>1542</v>
      </c>
      <c r="F36" s="653" t="s">
        <v>1542</v>
      </c>
      <c r="G36" s="653">
        <v>0</v>
      </c>
      <c r="H36" s="653">
        <v>0</v>
      </c>
      <c r="I36" s="653">
        <v>0</v>
      </c>
      <c r="J36" s="653">
        <v>0</v>
      </c>
      <c r="K36" s="653">
        <v>0</v>
      </c>
      <c r="L36" s="653">
        <v>0</v>
      </c>
      <c r="M36" s="653">
        <v>0</v>
      </c>
      <c r="N36" s="653">
        <v>0</v>
      </c>
      <c r="O36" s="462">
        <v>0</v>
      </c>
      <c r="P36" s="462">
        <v>0</v>
      </c>
      <c r="Q36" s="462">
        <v>0</v>
      </c>
      <c r="R36" s="462">
        <v>0</v>
      </c>
      <c r="S36" s="462">
        <v>0</v>
      </c>
      <c r="T36" s="462">
        <v>0</v>
      </c>
      <c r="U36" s="462">
        <v>0</v>
      </c>
      <c r="V36" s="462">
        <v>0</v>
      </c>
      <c r="W36" s="462">
        <v>0</v>
      </c>
      <c r="X36" s="462">
        <v>0</v>
      </c>
      <c r="Y36" s="462">
        <v>0</v>
      </c>
      <c r="Z36" s="462">
        <v>0</v>
      </c>
      <c r="AA36" s="462">
        <v>0</v>
      </c>
      <c r="AB36" s="462">
        <v>0</v>
      </c>
      <c r="AC36" s="462">
        <v>0</v>
      </c>
    </row>
    <row r="37" ht="30" customHeight="1" spans="1:29" s="649" customFormat="1" x14ac:dyDescent="0.25">
      <c r="A37" s="463" t="s">
        <v>1575</v>
      </c>
      <c r="B37" s="653" t="s">
        <v>1542</v>
      </c>
      <c r="C37" s="653" t="s">
        <v>1542</v>
      </c>
      <c r="D37" s="653" t="s">
        <v>1542</v>
      </c>
      <c r="E37" s="653" t="s">
        <v>1542</v>
      </c>
      <c r="F37" s="653" t="s">
        <v>1542</v>
      </c>
      <c r="G37" s="653">
        <v>0</v>
      </c>
      <c r="H37" s="653">
        <v>0</v>
      </c>
      <c r="I37" s="653">
        <v>0</v>
      </c>
      <c r="J37" s="653">
        <v>0</v>
      </c>
      <c r="K37" s="653">
        <v>0</v>
      </c>
      <c r="L37" s="653">
        <v>0</v>
      </c>
      <c r="M37" s="653">
        <v>0</v>
      </c>
      <c r="N37" s="653">
        <v>0</v>
      </c>
      <c r="O37" s="462">
        <v>0</v>
      </c>
      <c r="P37" s="462">
        <v>0</v>
      </c>
      <c r="Q37" s="462">
        <v>0</v>
      </c>
      <c r="R37" s="462">
        <v>0</v>
      </c>
      <c r="S37" s="462">
        <v>0</v>
      </c>
      <c r="T37" s="462">
        <v>0</v>
      </c>
      <c r="U37" s="462">
        <v>0</v>
      </c>
      <c r="V37" s="462">
        <v>0</v>
      </c>
      <c r="W37" s="462">
        <v>0</v>
      </c>
      <c r="X37" s="462">
        <v>0</v>
      </c>
      <c r="Y37" s="462">
        <v>0</v>
      </c>
      <c r="Z37" s="462">
        <v>0</v>
      </c>
      <c r="AA37" s="462">
        <v>0</v>
      </c>
      <c r="AB37" s="462">
        <v>0</v>
      </c>
      <c r="AC37" s="462">
        <v>0</v>
      </c>
    </row>
    <row r="38" ht="30" customHeight="1" spans="1:29" s="649" customFormat="1" x14ac:dyDescent="0.25">
      <c r="A38" s="463" t="s">
        <v>1576</v>
      </c>
      <c r="B38" s="653" t="s">
        <v>1542</v>
      </c>
      <c r="C38" s="653" t="s">
        <v>1542</v>
      </c>
      <c r="D38" s="653" t="s">
        <v>1542</v>
      </c>
      <c r="E38" s="653" t="s">
        <v>1542</v>
      </c>
      <c r="F38" s="653" t="s">
        <v>1542</v>
      </c>
      <c r="G38" s="653">
        <v>0</v>
      </c>
      <c r="H38" s="653">
        <v>0</v>
      </c>
      <c r="I38" s="653">
        <v>0</v>
      </c>
      <c r="J38" s="653">
        <v>0</v>
      </c>
      <c r="K38" s="653">
        <v>0</v>
      </c>
      <c r="L38" s="653">
        <v>0</v>
      </c>
      <c r="M38" s="653">
        <v>0</v>
      </c>
      <c r="N38" s="653">
        <v>0</v>
      </c>
      <c r="O38" s="462">
        <v>0</v>
      </c>
      <c r="P38" s="462">
        <v>0</v>
      </c>
      <c r="Q38" s="462">
        <v>0</v>
      </c>
      <c r="R38" s="462">
        <v>0</v>
      </c>
      <c r="S38" s="462">
        <v>0</v>
      </c>
      <c r="T38" s="462">
        <v>0</v>
      </c>
      <c r="U38" s="462">
        <v>0</v>
      </c>
      <c r="V38" s="462">
        <v>0</v>
      </c>
      <c r="W38" s="462">
        <v>0</v>
      </c>
      <c r="X38" s="462">
        <v>0</v>
      </c>
      <c r="Y38" s="462">
        <v>0</v>
      </c>
      <c r="Z38" s="462">
        <v>0</v>
      </c>
      <c r="AA38" s="462">
        <v>0</v>
      </c>
      <c r="AB38" s="462">
        <v>0</v>
      </c>
      <c r="AC38" s="462">
        <v>0</v>
      </c>
    </row>
    <row r="39" ht="30" customHeight="1" spans="1:29" s="649" customFormat="1" x14ac:dyDescent="0.25">
      <c r="A39" s="463" t="s">
        <v>1577</v>
      </c>
      <c r="B39" s="653" t="s">
        <v>1542</v>
      </c>
      <c r="C39" s="653" t="s">
        <v>1542</v>
      </c>
      <c r="D39" s="653" t="s">
        <v>1542</v>
      </c>
      <c r="E39" s="653" t="s">
        <v>1542</v>
      </c>
      <c r="F39" s="653" t="s">
        <v>1542</v>
      </c>
      <c r="G39" s="653">
        <v>0</v>
      </c>
      <c r="H39" s="653">
        <v>0</v>
      </c>
      <c r="I39" s="653">
        <v>0</v>
      </c>
      <c r="J39" s="653">
        <v>0</v>
      </c>
      <c r="K39" s="653">
        <v>0</v>
      </c>
      <c r="L39" s="653">
        <v>0</v>
      </c>
      <c r="M39" s="653">
        <v>0</v>
      </c>
      <c r="N39" s="653">
        <v>0</v>
      </c>
      <c r="O39" s="462">
        <v>0</v>
      </c>
      <c r="P39" s="462">
        <v>0</v>
      </c>
      <c r="Q39" s="462">
        <v>0</v>
      </c>
      <c r="R39" s="462">
        <v>0</v>
      </c>
      <c r="S39" s="462">
        <v>0</v>
      </c>
      <c r="T39" s="462">
        <v>0</v>
      </c>
      <c r="U39" s="462">
        <v>0</v>
      </c>
      <c r="V39" s="462">
        <v>0</v>
      </c>
      <c r="W39" s="462">
        <v>0</v>
      </c>
      <c r="X39" s="462">
        <v>0</v>
      </c>
      <c r="Y39" s="462">
        <v>0</v>
      </c>
      <c r="Z39" s="462">
        <v>0</v>
      </c>
      <c r="AA39" s="462">
        <v>0</v>
      </c>
      <c r="AB39" s="462">
        <v>0</v>
      </c>
      <c r="AC39" s="462">
        <v>0</v>
      </c>
    </row>
    <row r="40" ht="30" customHeight="1" spans="1:29" s="649" customFormat="1" x14ac:dyDescent="0.25">
      <c r="A40" s="463" t="s">
        <v>1578</v>
      </c>
      <c r="B40" s="653" t="s">
        <v>1542</v>
      </c>
      <c r="C40" s="653" t="s">
        <v>1542</v>
      </c>
      <c r="D40" s="653" t="s">
        <v>1542</v>
      </c>
      <c r="E40" s="653" t="s">
        <v>1542</v>
      </c>
      <c r="F40" s="653" t="s">
        <v>1542</v>
      </c>
      <c r="G40" s="653">
        <v>0</v>
      </c>
      <c r="H40" s="653">
        <v>0</v>
      </c>
      <c r="I40" s="653">
        <v>0</v>
      </c>
      <c r="J40" s="653">
        <v>0</v>
      </c>
      <c r="K40" s="653">
        <v>0</v>
      </c>
      <c r="L40" s="653">
        <v>0</v>
      </c>
      <c r="M40" s="653">
        <v>0</v>
      </c>
      <c r="N40" s="653">
        <v>0</v>
      </c>
      <c r="O40" s="462">
        <v>0</v>
      </c>
      <c r="P40" s="462">
        <v>0</v>
      </c>
      <c r="Q40" s="462">
        <v>0</v>
      </c>
      <c r="R40" s="462">
        <v>0</v>
      </c>
      <c r="S40" s="462">
        <v>0</v>
      </c>
      <c r="T40" s="462">
        <v>0</v>
      </c>
      <c r="U40" s="462">
        <v>0</v>
      </c>
      <c r="V40" s="462">
        <v>0</v>
      </c>
      <c r="W40" s="462">
        <v>0</v>
      </c>
      <c r="X40" s="462">
        <v>0</v>
      </c>
      <c r="Y40" s="462">
        <v>0</v>
      </c>
      <c r="Z40" s="462">
        <v>0</v>
      </c>
      <c r="AA40" s="462">
        <v>0</v>
      </c>
      <c r="AB40" s="462">
        <v>0</v>
      </c>
      <c r="AC40" s="462">
        <v>0</v>
      </c>
    </row>
    <row r="41" ht="30" customHeight="1" spans="1:29" s="649" customFormat="1" x14ac:dyDescent="0.25">
      <c r="A41" s="463" t="s">
        <v>1579</v>
      </c>
      <c r="B41" s="653" t="s">
        <v>1542</v>
      </c>
      <c r="C41" s="653" t="s">
        <v>1542</v>
      </c>
      <c r="D41" s="653" t="s">
        <v>1542</v>
      </c>
      <c r="E41" s="653" t="s">
        <v>1542</v>
      </c>
      <c r="F41" s="653" t="s">
        <v>1542</v>
      </c>
      <c r="G41" s="653">
        <v>0</v>
      </c>
      <c r="H41" s="653">
        <v>0</v>
      </c>
      <c r="I41" s="653">
        <v>0</v>
      </c>
      <c r="J41" s="653">
        <v>0</v>
      </c>
      <c r="K41" s="653">
        <v>0</v>
      </c>
      <c r="L41" s="653">
        <v>0</v>
      </c>
      <c r="M41" s="653">
        <v>0</v>
      </c>
      <c r="N41" s="653">
        <v>0</v>
      </c>
      <c r="O41" s="462">
        <v>0</v>
      </c>
      <c r="P41" s="462">
        <v>0</v>
      </c>
      <c r="Q41" s="462">
        <v>0</v>
      </c>
      <c r="R41" s="462">
        <v>0</v>
      </c>
      <c r="S41" s="462">
        <v>0</v>
      </c>
      <c r="T41" s="462">
        <v>0</v>
      </c>
      <c r="U41" s="462">
        <v>0</v>
      </c>
      <c r="V41" s="462">
        <v>0</v>
      </c>
      <c r="W41" s="462">
        <v>0</v>
      </c>
      <c r="X41" s="462">
        <v>0</v>
      </c>
      <c r="Y41" s="462">
        <v>0</v>
      </c>
      <c r="Z41" s="462">
        <v>0</v>
      </c>
      <c r="AA41" s="462">
        <v>0</v>
      </c>
      <c r="AB41" s="462">
        <v>0</v>
      </c>
      <c r="AC41" s="462">
        <v>0</v>
      </c>
    </row>
    <row r="42" ht="30" customHeight="1" spans="1:29" s="649" customFormat="1" x14ac:dyDescent="0.25">
      <c r="A42" s="463" t="s">
        <v>1580</v>
      </c>
      <c r="B42" s="653" t="s">
        <v>1542</v>
      </c>
      <c r="C42" s="653" t="s">
        <v>1542</v>
      </c>
      <c r="D42" s="653" t="s">
        <v>1542</v>
      </c>
      <c r="E42" s="653" t="s">
        <v>1542</v>
      </c>
      <c r="F42" s="653" t="s">
        <v>1542</v>
      </c>
      <c r="G42" s="653">
        <v>0</v>
      </c>
      <c r="H42" s="653">
        <v>0</v>
      </c>
      <c r="I42" s="653">
        <v>0</v>
      </c>
      <c r="J42" s="653">
        <v>0</v>
      </c>
      <c r="K42" s="653">
        <v>0</v>
      </c>
      <c r="L42" s="653">
        <v>0</v>
      </c>
      <c r="M42" s="653">
        <v>0</v>
      </c>
      <c r="N42" s="653">
        <v>0</v>
      </c>
      <c r="O42" s="462">
        <v>0</v>
      </c>
      <c r="P42" s="462">
        <v>0</v>
      </c>
      <c r="Q42" s="462">
        <v>0</v>
      </c>
      <c r="R42" s="462">
        <v>0</v>
      </c>
      <c r="S42" s="462">
        <v>0</v>
      </c>
      <c r="T42" s="462">
        <v>0</v>
      </c>
      <c r="U42" s="462">
        <v>0</v>
      </c>
      <c r="V42" s="462">
        <v>0</v>
      </c>
      <c r="W42" s="462">
        <v>0</v>
      </c>
      <c r="X42" s="462">
        <v>0</v>
      </c>
      <c r="Y42" s="462">
        <v>0</v>
      </c>
      <c r="Z42" s="462">
        <v>0</v>
      </c>
      <c r="AA42" s="462">
        <v>0</v>
      </c>
      <c r="AB42" s="462">
        <v>0</v>
      </c>
      <c r="AC42" s="462">
        <v>0</v>
      </c>
    </row>
    <row r="43" ht="30" customHeight="1" spans="1:29" s="649" customFormat="1" x14ac:dyDescent="0.25">
      <c r="A43" s="463" t="s">
        <v>1581</v>
      </c>
      <c r="B43" s="653" t="s">
        <v>1542</v>
      </c>
      <c r="C43" s="653" t="s">
        <v>1542</v>
      </c>
      <c r="D43" s="653" t="s">
        <v>1542</v>
      </c>
      <c r="E43" s="653" t="s">
        <v>1542</v>
      </c>
      <c r="F43" s="653" t="s">
        <v>1542</v>
      </c>
      <c r="G43" s="653">
        <v>0</v>
      </c>
      <c r="H43" s="653">
        <v>0</v>
      </c>
      <c r="I43" s="653">
        <v>0</v>
      </c>
      <c r="J43" s="653">
        <v>0</v>
      </c>
      <c r="K43" s="653">
        <v>0</v>
      </c>
      <c r="L43" s="653">
        <v>0</v>
      </c>
      <c r="M43" s="653">
        <v>0</v>
      </c>
      <c r="N43" s="653">
        <v>0</v>
      </c>
      <c r="O43" s="462">
        <v>0</v>
      </c>
      <c r="P43" s="462">
        <v>0</v>
      </c>
      <c r="Q43" s="462">
        <v>0</v>
      </c>
      <c r="R43" s="462">
        <v>0</v>
      </c>
      <c r="S43" s="462">
        <v>0</v>
      </c>
      <c r="T43" s="462">
        <v>0</v>
      </c>
      <c r="U43" s="462">
        <v>0</v>
      </c>
      <c r="V43" s="462">
        <v>0</v>
      </c>
      <c r="W43" s="462">
        <v>0</v>
      </c>
      <c r="X43" s="462">
        <v>0</v>
      </c>
      <c r="Y43" s="462">
        <v>0</v>
      </c>
      <c r="Z43" s="462">
        <v>0</v>
      </c>
      <c r="AA43" s="462">
        <v>0</v>
      </c>
      <c r="AB43" s="462">
        <v>0</v>
      </c>
      <c r="AC43" s="462">
        <v>0</v>
      </c>
    </row>
    <row r="44" ht="30" customHeight="1" spans="1:29" s="649" customFormat="1" x14ac:dyDescent="0.25">
      <c r="A44" s="463" t="s">
        <v>1582</v>
      </c>
      <c r="B44" s="653" t="s">
        <v>1542</v>
      </c>
      <c r="C44" s="653" t="s">
        <v>1542</v>
      </c>
      <c r="D44" s="653" t="s">
        <v>1542</v>
      </c>
      <c r="E44" s="653" t="s">
        <v>1542</v>
      </c>
      <c r="F44" s="653" t="s">
        <v>1542</v>
      </c>
      <c r="G44" s="653">
        <v>0</v>
      </c>
      <c r="H44" s="653">
        <v>0</v>
      </c>
      <c r="I44" s="653">
        <v>0</v>
      </c>
      <c r="J44" s="653">
        <v>0</v>
      </c>
      <c r="K44" s="653">
        <v>0</v>
      </c>
      <c r="L44" s="653">
        <v>0</v>
      </c>
      <c r="M44" s="653">
        <v>0</v>
      </c>
      <c r="N44" s="653">
        <v>0</v>
      </c>
      <c r="O44" s="462">
        <v>0</v>
      </c>
      <c r="P44" s="462">
        <v>0</v>
      </c>
      <c r="Q44" s="462">
        <v>0</v>
      </c>
      <c r="R44" s="462">
        <v>0</v>
      </c>
      <c r="S44" s="462">
        <v>0</v>
      </c>
      <c r="T44" s="462">
        <v>0</v>
      </c>
      <c r="U44" s="462">
        <v>0</v>
      </c>
      <c r="V44" s="462">
        <v>0</v>
      </c>
      <c r="W44" s="462">
        <v>0</v>
      </c>
      <c r="X44" s="462">
        <v>0</v>
      </c>
      <c r="Y44" s="462">
        <v>0</v>
      </c>
      <c r="Z44" s="462">
        <v>0</v>
      </c>
      <c r="AA44" s="462">
        <v>0</v>
      </c>
      <c r="AB44" s="462">
        <v>0</v>
      </c>
      <c r="AC44" s="462">
        <v>0</v>
      </c>
    </row>
    <row r="45" ht="30" customHeight="1" spans="1:29" s="649" customFormat="1" x14ac:dyDescent="0.25">
      <c r="A45" s="463" t="s">
        <v>1583</v>
      </c>
      <c r="B45" s="653" t="s">
        <v>1542</v>
      </c>
      <c r="C45" s="653" t="s">
        <v>1542</v>
      </c>
      <c r="D45" s="653" t="s">
        <v>1542</v>
      </c>
      <c r="E45" s="653" t="s">
        <v>1542</v>
      </c>
      <c r="F45" s="653" t="s">
        <v>1542</v>
      </c>
      <c r="G45" s="653">
        <v>0</v>
      </c>
      <c r="H45" s="653">
        <v>0</v>
      </c>
      <c r="I45" s="653">
        <v>0</v>
      </c>
      <c r="J45" s="653">
        <v>0</v>
      </c>
      <c r="K45" s="653">
        <v>0</v>
      </c>
      <c r="L45" s="653">
        <v>0</v>
      </c>
      <c r="M45" s="653">
        <v>0</v>
      </c>
      <c r="N45" s="653">
        <v>0</v>
      </c>
      <c r="O45" s="462">
        <v>0</v>
      </c>
      <c r="P45" s="462">
        <v>0</v>
      </c>
      <c r="Q45" s="462">
        <v>0</v>
      </c>
      <c r="R45" s="462">
        <v>0</v>
      </c>
      <c r="S45" s="462">
        <v>0</v>
      </c>
      <c r="T45" s="462">
        <v>0</v>
      </c>
      <c r="U45" s="462">
        <v>0</v>
      </c>
      <c r="V45" s="462">
        <v>0</v>
      </c>
      <c r="W45" s="462">
        <v>0</v>
      </c>
      <c r="X45" s="462">
        <v>0</v>
      </c>
      <c r="Y45" s="462">
        <v>0</v>
      </c>
      <c r="Z45" s="462">
        <v>0</v>
      </c>
      <c r="AA45" s="462">
        <v>0</v>
      </c>
      <c r="AB45" s="462">
        <v>0</v>
      </c>
      <c r="AC45" s="462">
        <v>0</v>
      </c>
    </row>
    <row r="46" ht="30" customHeight="1" spans="1:29" s="649" customFormat="1" x14ac:dyDescent="0.25">
      <c r="A46" s="463" t="s">
        <v>1584</v>
      </c>
      <c r="B46" s="653" t="s">
        <v>1542</v>
      </c>
      <c r="C46" s="653" t="s">
        <v>1542</v>
      </c>
      <c r="D46" s="653" t="s">
        <v>1542</v>
      </c>
      <c r="E46" s="653" t="s">
        <v>1542</v>
      </c>
      <c r="F46" s="653" t="s">
        <v>1542</v>
      </c>
      <c r="G46" s="653">
        <v>0</v>
      </c>
      <c r="H46" s="653">
        <v>0</v>
      </c>
      <c r="I46" s="653">
        <v>0</v>
      </c>
      <c r="J46" s="653">
        <v>0</v>
      </c>
      <c r="K46" s="653">
        <v>0</v>
      </c>
      <c r="L46" s="653">
        <v>0</v>
      </c>
      <c r="M46" s="653">
        <v>0</v>
      </c>
      <c r="N46" s="653">
        <v>0</v>
      </c>
      <c r="O46" s="462">
        <v>0</v>
      </c>
      <c r="P46" s="462">
        <v>0</v>
      </c>
      <c r="Q46" s="462">
        <v>0</v>
      </c>
      <c r="R46" s="462">
        <v>0</v>
      </c>
      <c r="S46" s="462">
        <v>0</v>
      </c>
      <c r="T46" s="462">
        <v>0</v>
      </c>
      <c r="U46" s="462">
        <v>0</v>
      </c>
      <c r="V46" s="462">
        <v>0</v>
      </c>
      <c r="W46" s="462">
        <v>0</v>
      </c>
      <c r="X46" s="462">
        <v>0</v>
      </c>
      <c r="Y46" s="462">
        <v>0</v>
      </c>
      <c r="Z46" s="462">
        <v>0</v>
      </c>
      <c r="AA46" s="462">
        <v>0</v>
      </c>
      <c r="AB46" s="462">
        <v>0</v>
      </c>
      <c r="AC46" s="462">
        <v>0</v>
      </c>
    </row>
    <row r="47" ht="30" customHeight="1" spans="1:29" s="649" customFormat="1" x14ac:dyDescent="0.25">
      <c r="A47" s="463" t="s">
        <v>1585</v>
      </c>
      <c r="B47" s="653" t="s">
        <v>1542</v>
      </c>
      <c r="C47" s="653" t="s">
        <v>1542</v>
      </c>
      <c r="D47" s="653" t="s">
        <v>1542</v>
      </c>
      <c r="E47" s="653" t="s">
        <v>1542</v>
      </c>
      <c r="F47" s="653" t="s">
        <v>1542</v>
      </c>
      <c r="G47" s="653">
        <v>0</v>
      </c>
      <c r="H47" s="653">
        <v>0</v>
      </c>
      <c r="I47" s="653">
        <v>0</v>
      </c>
      <c r="J47" s="653">
        <v>0</v>
      </c>
      <c r="K47" s="653">
        <v>0</v>
      </c>
      <c r="L47" s="653">
        <v>0</v>
      </c>
      <c r="M47" s="653">
        <v>0</v>
      </c>
      <c r="N47" s="653">
        <v>0</v>
      </c>
      <c r="O47" s="462">
        <v>0</v>
      </c>
      <c r="P47" s="462">
        <v>0</v>
      </c>
      <c r="Q47" s="462">
        <v>0</v>
      </c>
      <c r="R47" s="462">
        <v>0</v>
      </c>
      <c r="S47" s="462">
        <v>0</v>
      </c>
      <c r="T47" s="462">
        <v>0</v>
      </c>
      <c r="U47" s="462">
        <v>0</v>
      </c>
      <c r="V47" s="462">
        <v>0</v>
      </c>
      <c r="W47" s="462">
        <v>0</v>
      </c>
      <c r="X47" s="462">
        <v>0</v>
      </c>
      <c r="Y47" s="462">
        <v>0</v>
      </c>
      <c r="Z47" s="462">
        <v>0</v>
      </c>
      <c r="AA47" s="462">
        <v>0</v>
      </c>
      <c r="AB47" s="462">
        <v>0</v>
      </c>
      <c r="AC47" s="462">
        <v>0</v>
      </c>
    </row>
    <row r="48" ht="30" customHeight="1" spans="1:29" s="649" customFormat="1" x14ac:dyDescent="0.25">
      <c r="A48" s="463" t="s">
        <v>1586</v>
      </c>
      <c r="B48" s="653" t="s">
        <v>1542</v>
      </c>
      <c r="C48" s="653" t="s">
        <v>1542</v>
      </c>
      <c r="D48" s="653" t="s">
        <v>1542</v>
      </c>
      <c r="E48" s="653" t="s">
        <v>1542</v>
      </c>
      <c r="F48" s="653" t="s">
        <v>1542</v>
      </c>
      <c r="G48" s="653">
        <v>0</v>
      </c>
      <c r="H48" s="653">
        <v>0</v>
      </c>
      <c r="I48" s="653">
        <v>0</v>
      </c>
      <c r="J48" s="653">
        <v>0</v>
      </c>
      <c r="K48" s="653">
        <v>0</v>
      </c>
      <c r="L48" s="653">
        <v>0</v>
      </c>
      <c r="M48" s="653">
        <v>0</v>
      </c>
      <c r="N48" s="653">
        <v>0</v>
      </c>
      <c r="O48" s="462">
        <v>0</v>
      </c>
      <c r="P48" s="462">
        <v>0</v>
      </c>
      <c r="Q48" s="462">
        <v>0</v>
      </c>
      <c r="R48" s="462">
        <v>0</v>
      </c>
      <c r="S48" s="462">
        <v>0</v>
      </c>
      <c r="T48" s="462">
        <v>0</v>
      </c>
      <c r="U48" s="462">
        <v>0</v>
      </c>
      <c r="V48" s="462">
        <v>0</v>
      </c>
      <c r="W48" s="462">
        <v>0</v>
      </c>
      <c r="X48" s="462">
        <v>0</v>
      </c>
      <c r="Y48" s="462">
        <v>0</v>
      </c>
      <c r="Z48" s="462">
        <v>0</v>
      </c>
      <c r="AA48" s="462">
        <v>0</v>
      </c>
      <c r="AB48" s="462">
        <v>0</v>
      </c>
      <c r="AC48" s="462">
        <v>0</v>
      </c>
    </row>
    <row r="49" ht="30" customHeight="1" spans="1:29" s="649" customFormat="1" x14ac:dyDescent="0.25">
      <c r="A49" s="463" t="s">
        <v>1587</v>
      </c>
      <c r="B49" s="653" t="s">
        <v>1542</v>
      </c>
      <c r="C49" s="653" t="s">
        <v>1542</v>
      </c>
      <c r="D49" s="653" t="s">
        <v>1542</v>
      </c>
      <c r="E49" s="653" t="s">
        <v>1542</v>
      </c>
      <c r="F49" s="653" t="s">
        <v>1542</v>
      </c>
      <c r="G49" s="653">
        <v>0</v>
      </c>
      <c r="H49" s="653">
        <v>0</v>
      </c>
      <c r="I49" s="653">
        <v>0</v>
      </c>
      <c r="J49" s="653">
        <v>0</v>
      </c>
      <c r="K49" s="653">
        <v>0</v>
      </c>
      <c r="L49" s="653">
        <v>0</v>
      </c>
      <c r="M49" s="653">
        <v>0</v>
      </c>
      <c r="N49" s="653">
        <v>0</v>
      </c>
      <c r="O49" s="462">
        <v>0</v>
      </c>
      <c r="P49" s="462">
        <v>0</v>
      </c>
      <c r="Q49" s="462">
        <v>0</v>
      </c>
      <c r="R49" s="462">
        <v>0</v>
      </c>
      <c r="S49" s="462">
        <v>0</v>
      </c>
      <c r="T49" s="462">
        <v>0</v>
      </c>
      <c r="U49" s="462">
        <v>0</v>
      </c>
      <c r="V49" s="462">
        <v>0</v>
      </c>
      <c r="W49" s="462">
        <v>0</v>
      </c>
      <c r="X49" s="462">
        <v>0</v>
      </c>
      <c r="Y49" s="462">
        <v>0</v>
      </c>
      <c r="Z49" s="462">
        <v>0</v>
      </c>
      <c r="AA49" s="462">
        <v>0</v>
      </c>
      <c r="AB49" s="462">
        <v>0</v>
      </c>
      <c r="AC49" s="462">
        <v>0</v>
      </c>
    </row>
    <row r="50" ht="30" customHeight="1" spans="1:29" s="649" customFormat="1" x14ac:dyDescent="0.25">
      <c r="A50" s="463" t="s">
        <v>1588</v>
      </c>
      <c r="B50" s="653" t="s">
        <v>1542</v>
      </c>
      <c r="C50" s="653" t="s">
        <v>1542</v>
      </c>
      <c r="D50" s="653" t="s">
        <v>1542</v>
      </c>
      <c r="E50" s="653" t="s">
        <v>1542</v>
      </c>
      <c r="F50" s="653" t="s">
        <v>1542</v>
      </c>
      <c r="G50" s="653">
        <v>0</v>
      </c>
      <c r="H50" s="653">
        <v>0</v>
      </c>
      <c r="I50" s="653">
        <v>0</v>
      </c>
      <c r="J50" s="653">
        <v>0</v>
      </c>
      <c r="K50" s="653">
        <v>0</v>
      </c>
      <c r="L50" s="653">
        <v>0</v>
      </c>
      <c r="M50" s="653">
        <v>0</v>
      </c>
      <c r="N50" s="653">
        <v>0</v>
      </c>
      <c r="O50" s="462">
        <v>0</v>
      </c>
      <c r="P50" s="462">
        <v>0</v>
      </c>
      <c r="Q50" s="462">
        <v>0</v>
      </c>
      <c r="R50" s="462">
        <v>0</v>
      </c>
      <c r="S50" s="462">
        <v>0</v>
      </c>
      <c r="T50" s="462">
        <v>0</v>
      </c>
      <c r="U50" s="462">
        <v>0</v>
      </c>
      <c r="V50" s="462">
        <v>0</v>
      </c>
      <c r="W50" s="462">
        <v>0</v>
      </c>
      <c r="X50" s="462">
        <v>0</v>
      </c>
      <c r="Y50" s="462">
        <v>0</v>
      </c>
      <c r="Z50" s="462">
        <v>0</v>
      </c>
      <c r="AA50" s="462">
        <v>0</v>
      </c>
      <c r="AB50" s="462">
        <v>0</v>
      </c>
      <c r="AC50" s="462">
        <v>0</v>
      </c>
    </row>
    <row r="51" ht="30" customHeight="1" spans="1:29" s="649" customFormat="1" x14ac:dyDescent="0.25">
      <c r="A51" s="463" t="s">
        <v>1589</v>
      </c>
      <c r="B51" s="653" t="s">
        <v>1542</v>
      </c>
      <c r="C51" s="653" t="s">
        <v>1542</v>
      </c>
      <c r="D51" s="653" t="s">
        <v>1542</v>
      </c>
      <c r="E51" s="653" t="s">
        <v>1542</v>
      </c>
      <c r="F51" s="653" t="s">
        <v>1542</v>
      </c>
      <c r="G51" s="653">
        <v>0</v>
      </c>
      <c r="H51" s="653">
        <v>0</v>
      </c>
      <c r="I51" s="653">
        <v>0</v>
      </c>
      <c r="J51" s="653">
        <v>0</v>
      </c>
      <c r="K51" s="653">
        <v>0</v>
      </c>
      <c r="L51" s="653">
        <v>0</v>
      </c>
      <c r="M51" s="653">
        <v>0</v>
      </c>
      <c r="N51" s="653">
        <v>0</v>
      </c>
      <c r="O51" s="462">
        <v>0</v>
      </c>
      <c r="P51" s="462">
        <v>0</v>
      </c>
      <c r="Q51" s="462">
        <v>0</v>
      </c>
      <c r="R51" s="462">
        <v>0</v>
      </c>
      <c r="S51" s="462">
        <v>0</v>
      </c>
      <c r="T51" s="462">
        <v>0</v>
      </c>
      <c r="U51" s="462">
        <v>0</v>
      </c>
      <c r="V51" s="462">
        <v>0</v>
      </c>
      <c r="W51" s="462">
        <v>0</v>
      </c>
      <c r="X51" s="462">
        <v>0</v>
      </c>
      <c r="Y51" s="462">
        <v>0</v>
      </c>
      <c r="Z51" s="462">
        <v>0</v>
      </c>
      <c r="AA51" s="462">
        <v>0</v>
      </c>
      <c r="AB51" s="462">
        <v>0</v>
      </c>
      <c r="AC51" s="462">
        <v>0</v>
      </c>
    </row>
    <row r="52" ht="30" customHeight="1" spans="1:29" s="649" customFormat="1" x14ac:dyDescent="0.25">
      <c r="A52" s="463" t="s">
        <v>1590</v>
      </c>
      <c r="B52" s="653" t="s">
        <v>1542</v>
      </c>
      <c r="C52" s="653" t="s">
        <v>1542</v>
      </c>
      <c r="D52" s="653" t="s">
        <v>1542</v>
      </c>
      <c r="E52" s="653" t="s">
        <v>1542</v>
      </c>
      <c r="F52" s="653" t="s">
        <v>1542</v>
      </c>
      <c r="G52" s="653">
        <v>0</v>
      </c>
      <c r="H52" s="653">
        <v>0</v>
      </c>
      <c r="I52" s="653">
        <v>0</v>
      </c>
      <c r="J52" s="653">
        <v>0</v>
      </c>
      <c r="K52" s="653">
        <v>0</v>
      </c>
      <c r="L52" s="653">
        <v>0</v>
      </c>
      <c r="M52" s="653">
        <v>0</v>
      </c>
      <c r="N52" s="653">
        <v>0</v>
      </c>
      <c r="O52" s="462">
        <v>0</v>
      </c>
      <c r="P52" s="462">
        <v>0</v>
      </c>
      <c r="Q52" s="462">
        <v>0</v>
      </c>
      <c r="R52" s="462">
        <v>0</v>
      </c>
      <c r="S52" s="462">
        <v>0</v>
      </c>
      <c r="T52" s="462">
        <v>0</v>
      </c>
      <c r="U52" s="462">
        <v>0</v>
      </c>
      <c r="V52" s="462">
        <v>0</v>
      </c>
      <c r="W52" s="462">
        <v>0</v>
      </c>
      <c r="X52" s="462">
        <v>0</v>
      </c>
      <c r="Y52" s="462">
        <v>0</v>
      </c>
      <c r="Z52" s="462">
        <v>0</v>
      </c>
      <c r="AA52" s="462">
        <v>0</v>
      </c>
      <c r="AB52" s="462">
        <v>0</v>
      </c>
      <c r="AC52" s="462">
        <v>0</v>
      </c>
    </row>
    <row r="53" ht="30" customHeight="1" spans="1:29" s="649" customFormat="1" x14ac:dyDescent="0.25">
      <c r="A53" s="463" t="s">
        <v>1591</v>
      </c>
      <c r="B53" s="653" t="s">
        <v>1542</v>
      </c>
      <c r="C53" s="653" t="s">
        <v>1542</v>
      </c>
      <c r="D53" s="653" t="s">
        <v>1542</v>
      </c>
      <c r="E53" s="653" t="s">
        <v>1542</v>
      </c>
      <c r="F53" s="653" t="s">
        <v>1542</v>
      </c>
      <c r="G53" s="653">
        <v>0</v>
      </c>
      <c r="H53" s="653">
        <v>0</v>
      </c>
      <c r="I53" s="653">
        <v>0</v>
      </c>
      <c r="J53" s="653">
        <v>0</v>
      </c>
      <c r="K53" s="653">
        <v>0</v>
      </c>
      <c r="L53" s="653">
        <v>0</v>
      </c>
      <c r="M53" s="653">
        <v>0</v>
      </c>
      <c r="N53" s="653">
        <v>0</v>
      </c>
      <c r="O53" s="462">
        <v>0</v>
      </c>
      <c r="P53" s="462">
        <v>0</v>
      </c>
      <c r="Q53" s="462">
        <v>0</v>
      </c>
      <c r="R53" s="462">
        <v>0</v>
      </c>
      <c r="S53" s="462">
        <v>0</v>
      </c>
      <c r="T53" s="462">
        <v>0</v>
      </c>
      <c r="U53" s="462">
        <v>0</v>
      </c>
      <c r="V53" s="462">
        <v>0</v>
      </c>
      <c r="W53" s="462">
        <v>0</v>
      </c>
      <c r="X53" s="462">
        <v>0</v>
      </c>
      <c r="Y53" s="462">
        <v>0</v>
      </c>
      <c r="Z53" s="462">
        <v>0</v>
      </c>
      <c r="AA53" s="462">
        <v>0</v>
      </c>
      <c r="AB53" s="462">
        <v>0</v>
      </c>
      <c r="AC53" s="462">
        <v>0</v>
      </c>
    </row>
    <row r="54" ht="30" customHeight="1" spans="1:29" s="649" customFormat="1" x14ac:dyDescent="0.25">
      <c r="A54" s="463" t="s">
        <v>1592</v>
      </c>
      <c r="B54" s="653" t="s">
        <v>1542</v>
      </c>
      <c r="C54" s="653" t="s">
        <v>1542</v>
      </c>
      <c r="D54" s="653" t="s">
        <v>1542</v>
      </c>
      <c r="E54" s="653" t="s">
        <v>1542</v>
      </c>
      <c r="F54" s="653" t="s">
        <v>1542</v>
      </c>
      <c r="G54" s="653">
        <v>0</v>
      </c>
      <c r="H54" s="653">
        <v>0</v>
      </c>
      <c r="I54" s="653">
        <v>0</v>
      </c>
      <c r="J54" s="653">
        <v>0</v>
      </c>
      <c r="K54" s="653">
        <v>0</v>
      </c>
      <c r="L54" s="653">
        <v>0</v>
      </c>
      <c r="M54" s="653">
        <v>0</v>
      </c>
      <c r="N54" s="653">
        <v>0</v>
      </c>
      <c r="O54" s="462">
        <v>0</v>
      </c>
      <c r="P54" s="462">
        <v>0</v>
      </c>
      <c r="Q54" s="462">
        <v>0</v>
      </c>
      <c r="R54" s="462">
        <v>0</v>
      </c>
      <c r="S54" s="462">
        <v>0</v>
      </c>
      <c r="T54" s="462">
        <v>0</v>
      </c>
      <c r="U54" s="462">
        <v>0</v>
      </c>
      <c r="V54" s="462">
        <v>0</v>
      </c>
      <c r="W54" s="462">
        <v>0</v>
      </c>
      <c r="X54" s="462">
        <v>0</v>
      </c>
      <c r="Y54" s="462">
        <v>0</v>
      </c>
      <c r="Z54" s="462">
        <v>0</v>
      </c>
      <c r="AA54" s="462">
        <v>0</v>
      </c>
      <c r="AB54" s="462">
        <v>0</v>
      </c>
      <c r="AC54" s="462">
        <v>0</v>
      </c>
    </row>
    <row r="55" ht="30" customHeight="1" spans="1:29" s="649" customFormat="1" x14ac:dyDescent="0.25">
      <c r="A55" s="463" t="s">
        <v>1593</v>
      </c>
      <c r="B55" s="653" t="s">
        <v>1542</v>
      </c>
      <c r="C55" s="653" t="s">
        <v>1542</v>
      </c>
      <c r="D55" s="653" t="s">
        <v>1542</v>
      </c>
      <c r="E55" s="653" t="s">
        <v>1542</v>
      </c>
      <c r="F55" s="653" t="s">
        <v>1542</v>
      </c>
      <c r="G55" s="653">
        <v>0</v>
      </c>
      <c r="H55" s="653">
        <v>0</v>
      </c>
      <c r="I55" s="653">
        <v>0</v>
      </c>
      <c r="J55" s="653">
        <v>0</v>
      </c>
      <c r="K55" s="653">
        <v>0</v>
      </c>
      <c r="L55" s="653">
        <v>0</v>
      </c>
      <c r="M55" s="653">
        <v>0</v>
      </c>
      <c r="N55" s="653">
        <v>0</v>
      </c>
      <c r="O55" s="462">
        <v>0</v>
      </c>
      <c r="P55" s="462">
        <v>0</v>
      </c>
      <c r="Q55" s="462">
        <v>0</v>
      </c>
      <c r="R55" s="462">
        <v>0</v>
      </c>
      <c r="S55" s="462">
        <v>0</v>
      </c>
      <c r="T55" s="462">
        <v>0</v>
      </c>
      <c r="U55" s="462">
        <v>0</v>
      </c>
      <c r="V55" s="462">
        <v>0</v>
      </c>
      <c r="W55" s="462">
        <v>0</v>
      </c>
      <c r="X55" s="462">
        <v>0</v>
      </c>
      <c r="Y55" s="462">
        <v>0</v>
      </c>
      <c r="Z55" s="462">
        <v>0</v>
      </c>
      <c r="AA55" s="462">
        <v>0</v>
      </c>
      <c r="AB55" s="462">
        <v>0</v>
      </c>
      <c r="AC55" s="462">
        <v>0</v>
      </c>
    </row>
    <row r="56" ht="30" customHeight="1" spans="1:29" s="649" customFormat="1" x14ac:dyDescent="0.25">
      <c r="A56" s="463" t="s">
        <v>1594</v>
      </c>
      <c r="B56" s="653" t="s">
        <v>1542</v>
      </c>
      <c r="C56" s="653" t="s">
        <v>1542</v>
      </c>
      <c r="D56" s="653" t="s">
        <v>1542</v>
      </c>
      <c r="E56" s="653" t="s">
        <v>1542</v>
      </c>
      <c r="F56" s="653" t="s">
        <v>1542</v>
      </c>
      <c r="G56" s="653">
        <v>0</v>
      </c>
      <c r="H56" s="653">
        <v>0</v>
      </c>
      <c r="I56" s="653">
        <v>0</v>
      </c>
      <c r="J56" s="653">
        <v>0</v>
      </c>
      <c r="K56" s="653">
        <v>0</v>
      </c>
      <c r="L56" s="653">
        <v>0</v>
      </c>
      <c r="M56" s="653">
        <v>0</v>
      </c>
      <c r="N56" s="653">
        <v>0</v>
      </c>
      <c r="O56" s="462">
        <v>0</v>
      </c>
      <c r="P56" s="462">
        <v>0</v>
      </c>
      <c r="Q56" s="462">
        <v>0</v>
      </c>
      <c r="R56" s="462">
        <v>0</v>
      </c>
      <c r="S56" s="462">
        <v>0</v>
      </c>
      <c r="T56" s="462">
        <v>0</v>
      </c>
      <c r="U56" s="462">
        <v>0</v>
      </c>
      <c r="V56" s="462">
        <v>0</v>
      </c>
      <c r="W56" s="462">
        <v>0</v>
      </c>
      <c r="X56" s="462">
        <v>0</v>
      </c>
      <c r="Y56" s="462">
        <v>0</v>
      </c>
      <c r="Z56" s="462">
        <v>0</v>
      </c>
      <c r="AA56" s="462">
        <v>0</v>
      </c>
      <c r="AB56" s="462">
        <v>0</v>
      </c>
      <c r="AC56" s="462">
        <v>0</v>
      </c>
    </row>
    <row r="57" ht="30" customHeight="1" spans="1:29" s="649" customFormat="1" x14ac:dyDescent="0.25">
      <c r="A57" s="463" t="s">
        <v>1595</v>
      </c>
      <c r="B57" s="653" t="s">
        <v>1542</v>
      </c>
      <c r="C57" s="653" t="s">
        <v>1542</v>
      </c>
      <c r="D57" s="653" t="s">
        <v>1542</v>
      </c>
      <c r="E57" s="653" t="s">
        <v>1542</v>
      </c>
      <c r="F57" s="653" t="s">
        <v>1542</v>
      </c>
      <c r="G57" s="653">
        <v>0</v>
      </c>
      <c r="H57" s="653">
        <v>0</v>
      </c>
      <c r="I57" s="653">
        <v>0</v>
      </c>
      <c r="J57" s="653">
        <v>0</v>
      </c>
      <c r="K57" s="653">
        <v>0</v>
      </c>
      <c r="L57" s="653">
        <v>0</v>
      </c>
      <c r="M57" s="653">
        <v>0</v>
      </c>
      <c r="N57" s="653">
        <v>0</v>
      </c>
      <c r="O57" s="462">
        <v>0</v>
      </c>
      <c r="P57" s="462">
        <v>0</v>
      </c>
      <c r="Q57" s="462">
        <v>0</v>
      </c>
      <c r="R57" s="462">
        <v>0</v>
      </c>
      <c r="S57" s="462">
        <v>0</v>
      </c>
      <c r="T57" s="462">
        <v>0</v>
      </c>
      <c r="U57" s="462">
        <v>0</v>
      </c>
      <c r="V57" s="462">
        <v>0</v>
      </c>
      <c r="W57" s="462">
        <v>0</v>
      </c>
      <c r="X57" s="462">
        <v>0</v>
      </c>
      <c r="Y57" s="462">
        <v>0</v>
      </c>
      <c r="Z57" s="462">
        <v>0</v>
      </c>
      <c r="AA57" s="462">
        <v>0</v>
      </c>
      <c r="AB57" s="462">
        <v>0</v>
      </c>
      <c r="AC57" s="462">
        <v>0</v>
      </c>
    </row>
    <row r="58" ht="30" customHeight="1" spans="1:29" s="649" customFormat="1" x14ac:dyDescent="0.25">
      <c r="A58" s="463" t="s">
        <v>1596</v>
      </c>
      <c r="B58" s="653" t="s">
        <v>1542</v>
      </c>
      <c r="C58" s="653" t="s">
        <v>1542</v>
      </c>
      <c r="D58" s="653" t="s">
        <v>1542</v>
      </c>
      <c r="E58" s="653" t="s">
        <v>1542</v>
      </c>
      <c r="F58" s="653" t="s">
        <v>1542</v>
      </c>
      <c r="G58" s="653">
        <v>0</v>
      </c>
      <c r="H58" s="653">
        <v>0</v>
      </c>
      <c r="I58" s="653">
        <v>0</v>
      </c>
      <c r="J58" s="653">
        <v>0</v>
      </c>
      <c r="K58" s="653">
        <v>0</v>
      </c>
      <c r="L58" s="653">
        <v>0</v>
      </c>
      <c r="M58" s="653">
        <v>0</v>
      </c>
      <c r="N58" s="653">
        <v>0</v>
      </c>
      <c r="O58" s="462">
        <v>0</v>
      </c>
      <c r="P58" s="462">
        <v>0</v>
      </c>
      <c r="Q58" s="462">
        <v>0</v>
      </c>
      <c r="R58" s="462">
        <v>0</v>
      </c>
      <c r="S58" s="462">
        <v>0</v>
      </c>
      <c r="T58" s="462">
        <v>0</v>
      </c>
      <c r="U58" s="462">
        <v>0</v>
      </c>
      <c r="V58" s="462">
        <v>0</v>
      </c>
      <c r="W58" s="462">
        <v>0</v>
      </c>
      <c r="X58" s="462">
        <v>0</v>
      </c>
      <c r="Y58" s="462">
        <v>0</v>
      </c>
      <c r="Z58" s="462">
        <v>0</v>
      </c>
      <c r="AA58" s="462">
        <v>0</v>
      </c>
      <c r="AB58" s="462">
        <v>0</v>
      </c>
      <c r="AC58" s="462">
        <v>0</v>
      </c>
    </row>
    <row r="59" ht="30" customHeight="1" spans="1:29" s="649" customFormat="1" x14ac:dyDescent="0.25">
      <c r="A59" s="463" t="s">
        <v>1597</v>
      </c>
      <c r="B59" s="653" t="s">
        <v>1542</v>
      </c>
      <c r="C59" s="653" t="s">
        <v>1542</v>
      </c>
      <c r="D59" s="653" t="s">
        <v>1542</v>
      </c>
      <c r="E59" s="653" t="s">
        <v>1542</v>
      </c>
      <c r="F59" s="653" t="s">
        <v>1542</v>
      </c>
      <c r="G59" s="653">
        <v>0</v>
      </c>
      <c r="H59" s="653">
        <v>0</v>
      </c>
      <c r="I59" s="653">
        <v>0</v>
      </c>
      <c r="J59" s="653">
        <v>0</v>
      </c>
      <c r="K59" s="653">
        <v>0</v>
      </c>
      <c r="L59" s="653">
        <v>0</v>
      </c>
      <c r="M59" s="653">
        <v>0</v>
      </c>
      <c r="N59" s="653">
        <v>0</v>
      </c>
      <c r="O59" s="462">
        <v>0</v>
      </c>
      <c r="P59" s="462">
        <v>0</v>
      </c>
      <c r="Q59" s="462">
        <v>0</v>
      </c>
      <c r="R59" s="462">
        <v>0</v>
      </c>
      <c r="S59" s="462">
        <v>0</v>
      </c>
      <c r="T59" s="462">
        <v>0</v>
      </c>
      <c r="U59" s="462">
        <v>0</v>
      </c>
      <c r="V59" s="462">
        <v>0</v>
      </c>
      <c r="W59" s="462">
        <v>0</v>
      </c>
      <c r="X59" s="462">
        <v>0</v>
      </c>
      <c r="Y59" s="462">
        <v>0</v>
      </c>
      <c r="Z59" s="462">
        <v>0</v>
      </c>
      <c r="AA59" s="462">
        <v>0</v>
      </c>
      <c r="AB59" s="462">
        <v>0</v>
      </c>
      <c r="AC59" s="462">
        <v>0</v>
      </c>
    </row>
    <row r="60" ht="30" customHeight="1" spans="1:29" s="649" customFormat="1" x14ac:dyDescent="0.25">
      <c r="A60" s="463" t="s">
        <v>1598</v>
      </c>
      <c r="B60" s="653" t="s">
        <v>1542</v>
      </c>
      <c r="C60" s="653" t="s">
        <v>1542</v>
      </c>
      <c r="D60" s="653" t="s">
        <v>1542</v>
      </c>
      <c r="E60" s="653" t="s">
        <v>1542</v>
      </c>
      <c r="F60" s="653" t="s">
        <v>1542</v>
      </c>
      <c r="G60" s="653">
        <v>0</v>
      </c>
      <c r="H60" s="653">
        <v>0</v>
      </c>
      <c r="I60" s="653">
        <v>0</v>
      </c>
      <c r="J60" s="653">
        <v>0</v>
      </c>
      <c r="K60" s="653">
        <v>0</v>
      </c>
      <c r="L60" s="653">
        <v>0</v>
      </c>
      <c r="M60" s="653">
        <v>0</v>
      </c>
      <c r="N60" s="653">
        <v>0</v>
      </c>
      <c r="O60" s="462">
        <v>0</v>
      </c>
      <c r="P60" s="462">
        <v>0</v>
      </c>
      <c r="Q60" s="462">
        <v>0</v>
      </c>
      <c r="R60" s="462">
        <v>0</v>
      </c>
      <c r="S60" s="462">
        <v>0</v>
      </c>
      <c r="T60" s="462">
        <v>0</v>
      </c>
      <c r="U60" s="462">
        <v>0</v>
      </c>
      <c r="V60" s="462">
        <v>0</v>
      </c>
      <c r="W60" s="462">
        <v>0</v>
      </c>
      <c r="X60" s="462">
        <v>0</v>
      </c>
      <c r="Y60" s="462">
        <v>0</v>
      </c>
      <c r="Z60" s="462">
        <v>0</v>
      </c>
      <c r="AA60" s="462">
        <v>0</v>
      </c>
      <c r="AB60" s="462">
        <v>0</v>
      </c>
      <c r="AC60" s="462">
        <v>0</v>
      </c>
    </row>
    <row r="61" ht="30" customHeight="1" spans="1:29" s="649" customFormat="1" x14ac:dyDescent="0.25">
      <c r="A61" s="463" t="s">
        <v>1599</v>
      </c>
      <c r="B61" s="653" t="s">
        <v>1542</v>
      </c>
      <c r="C61" s="653" t="s">
        <v>1542</v>
      </c>
      <c r="D61" s="653" t="s">
        <v>1542</v>
      </c>
      <c r="E61" s="653" t="s">
        <v>1542</v>
      </c>
      <c r="F61" s="653" t="s">
        <v>1542</v>
      </c>
      <c r="G61" s="653">
        <v>0</v>
      </c>
      <c r="H61" s="653">
        <v>0</v>
      </c>
      <c r="I61" s="653">
        <v>0</v>
      </c>
      <c r="J61" s="653">
        <v>0</v>
      </c>
      <c r="K61" s="653">
        <v>0</v>
      </c>
      <c r="L61" s="653">
        <v>0</v>
      </c>
      <c r="M61" s="653">
        <v>0</v>
      </c>
      <c r="N61" s="653">
        <v>0</v>
      </c>
      <c r="O61" s="462">
        <v>0</v>
      </c>
      <c r="P61" s="462">
        <v>0</v>
      </c>
      <c r="Q61" s="462">
        <v>0</v>
      </c>
      <c r="R61" s="462">
        <v>0</v>
      </c>
      <c r="S61" s="462">
        <v>0</v>
      </c>
      <c r="T61" s="462">
        <v>0</v>
      </c>
      <c r="U61" s="462">
        <v>0</v>
      </c>
      <c r="V61" s="462">
        <v>0</v>
      </c>
      <c r="W61" s="462">
        <v>0</v>
      </c>
      <c r="X61" s="462">
        <v>0</v>
      </c>
      <c r="Y61" s="462">
        <v>0</v>
      </c>
      <c r="Z61" s="462">
        <v>0</v>
      </c>
      <c r="AA61" s="462">
        <v>0</v>
      </c>
      <c r="AB61" s="462">
        <v>0</v>
      </c>
      <c r="AC61" s="462">
        <v>0</v>
      </c>
    </row>
    <row r="62" ht="30" customHeight="1" spans="1:29" s="649" customFormat="1" x14ac:dyDescent="0.25">
      <c r="A62" s="463" t="s">
        <v>1600</v>
      </c>
      <c r="B62" s="653" t="s">
        <v>1542</v>
      </c>
      <c r="C62" s="653" t="s">
        <v>1542</v>
      </c>
      <c r="D62" s="653" t="s">
        <v>1542</v>
      </c>
      <c r="E62" s="653" t="s">
        <v>1542</v>
      </c>
      <c r="F62" s="653" t="s">
        <v>1542</v>
      </c>
      <c r="G62" s="653">
        <v>0</v>
      </c>
      <c r="H62" s="653">
        <v>0</v>
      </c>
      <c r="I62" s="653">
        <v>0</v>
      </c>
      <c r="J62" s="653">
        <v>0</v>
      </c>
      <c r="K62" s="653">
        <v>0</v>
      </c>
      <c r="L62" s="653">
        <v>0</v>
      </c>
      <c r="M62" s="653">
        <v>0</v>
      </c>
      <c r="N62" s="653">
        <v>0</v>
      </c>
      <c r="O62" s="462">
        <v>0</v>
      </c>
      <c r="P62" s="462">
        <v>0</v>
      </c>
      <c r="Q62" s="462">
        <v>0</v>
      </c>
      <c r="R62" s="462">
        <v>0</v>
      </c>
      <c r="S62" s="462">
        <v>0</v>
      </c>
      <c r="T62" s="462">
        <v>0</v>
      </c>
      <c r="U62" s="462">
        <v>0</v>
      </c>
      <c r="V62" s="462">
        <v>0</v>
      </c>
      <c r="W62" s="462">
        <v>0</v>
      </c>
      <c r="X62" s="462">
        <v>0</v>
      </c>
      <c r="Y62" s="462">
        <v>0</v>
      </c>
      <c r="Z62" s="462">
        <v>0</v>
      </c>
      <c r="AA62" s="462">
        <v>0</v>
      </c>
      <c r="AB62" s="462">
        <v>0</v>
      </c>
      <c r="AC62" s="462">
        <v>0</v>
      </c>
    </row>
    <row r="63" ht="30" customHeight="1" spans="1:29" s="649" customFormat="1" x14ac:dyDescent="0.25">
      <c r="A63" s="463" t="s">
        <v>1601</v>
      </c>
      <c r="B63" s="653" t="s">
        <v>1542</v>
      </c>
      <c r="C63" s="653" t="s">
        <v>1542</v>
      </c>
      <c r="D63" s="653" t="s">
        <v>1542</v>
      </c>
      <c r="E63" s="653" t="s">
        <v>1542</v>
      </c>
      <c r="F63" s="653" t="s">
        <v>1542</v>
      </c>
      <c r="G63" s="653">
        <v>0</v>
      </c>
      <c r="H63" s="653">
        <v>0</v>
      </c>
      <c r="I63" s="653">
        <v>0</v>
      </c>
      <c r="J63" s="653">
        <v>0</v>
      </c>
      <c r="K63" s="653">
        <v>0</v>
      </c>
      <c r="L63" s="653">
        <v>0</v>
      </c>
      <c r="M63" s="653">
        <v>0</v>
      </c>
      <c r="N63" s="653">
        <v>0</v>
      </c>
      <c r="O63" s="462">
        <v>0</v>
      </c>
      <c r="P63" s="462">
        <v>0</v>
      </c>
      <c r="Q63" s="462">
        <v>0</v>
      </c>
      <c r="R63" s="462">
        <v>0</v>
      </c>
      <c r="S63" s="462">
        <v>0</v>
      </c>
      <c r="T63" s="462">
        <v>0</v>
      </c>
      <c r="U63" s="462">
        <v>0</v>
      </c>
      <c r="V63" s="462">
        <v>0</v>
      </c>
      <c r="W63" s="462">
        <v>0</v>
      </c>
      <c r="X63" s="462">
        <v>0</v>
      </c>
      <c r="Y63" s="462">
        <v>0</v>
      </c>
      <c r="Z63" s="462">
        <v>0</v>
      </c>
      <c r="AA63" s="462">
        <v>0</v>
      </c>
      <c r="AB63" s="462">
        <v>0</v>
      </c>
      <c r="AC63" s="462">
        <v>0</v>
      </c>
    </row>
    <row r="64" ht="30" customHeight="1" spans="1:29" s="649" customFormat="1" x14ac:dyDescent="0.25">
      <c r="A64" s="463" t="s">
        <v>1602</v>
      </c>
      <c r="B64" s="653" t="s">
        <v>1542</v>
      </c>
      <c r="C64" s="653" t="s">
        <v>1542</v>
      </c>
      <c r="D64" s="653" t="s">
        <v>1542</v>
      </c>
      <c r="E64" s="653" t="s">
        <v>1542</v>
      </c>
      <c r="F64" s="653" t="s">
        <v>1542</v>
      </c>
      <c r="G64" s="653"/>
      <c r="H64" s="653"/>
      <c r="I64" s="653"/>
      <c r="J64" s="653"/>
      <c r="K64" s="653"/>
      <c r="L64" s="653"/>
      <c r="M64" s="653"/>
      <c r="N64" s="653"/>
      <c r="O64" s="462"/>
      <c r="P64" s="462"/>
      <c r="Q64" s="462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</row>
    <row r="65" ht="30" customHeight="1" spans="1:29" s="649" customFormat="1" x14ac:dyDescent="0.25">
      <c r="A65" s="463" t="s">
        <v>1603</v>
      </c>
      <c r="B65" s="653" t="s">
        <v>1542</v>
      </c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462"/>
      <c r="P65" s="462"/>
      <c r="Q65" s="462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</row>
    <row r="66" ht="42.75" customHeight="1" spans="1:29" s="654" customFormat="1" x14ac:dyDescent="0.25">
      <c r="A66" s="463" t="s">
        <v>1604</v>
      </c>
      <c r="B66" s="655" t="s">
        <v>1605</v>
      </c>
      <c r="C66" s="655"/>
      <c r="D66" s="655"/>
      <c r="E66" s="655"/>
      <c r="F66" s="655"/>
      <c r="G66" s="653">
        <v>134431.19457</v>
      </c>
      <c r="H66" s="653">
        <v>0</v>
      </c>
      <c r="I66" s="653">
        <v>134360.69415</v>
      </c>
      <c r="J66" s="653">
        <v>0</v>
      </c>
      <c r="K66" s="653">
        <v>0</v>
      </c>
      <c r="L66" s="653">
        <v>0</v>
      </c>
      <c r="M66" s="653">
        <v>0</v>
      </c>
      <c r="N66" s="653">
        <v>35.2502105</v>
      </c>
      <c r="O66" s="462">
        <v>0</v>
      </c>
      <c r="P66" s="462">
        <v>0</v>
      </c>
      <c r="Q66" s="462">
        <v>134395.94436</v>
      </c>
      <c r="R66" s="462">
        <v>3.29732</v>
      </c>
      <c r="S66" s="462">
        <v>-51108</v>
      </c>
      <c r="T66" s="462">
        <v>0</v>
      </c>
      <c r="U66" s="462">
        <v>0</v>
      </c>
      <c r="V66" s="462">
        <v>0</v>
      </c>
      <c r="W66" s="462">
        <v>0</v>
      </c>
      <c r="X66" s="462">
        <v>0</v>
      </c>
      <c r="Y66" s="462">
        <v>0</v>
      </c>
      <c r="Z66" s="462">
        <v>0</v>
      </c>
      <c r="AA66" s="462">
        <v>83287.94436</v>
      </c>
      <c r="AB66" s="462">
        <v>107761.64436</v>
      </c>
      <c r="AC66" s="462">
        <v>2.64388</v>
      </c>
    </row>
    <row r="67" ht="20" customHeight="1" spans="1:14" x14ac:dyDescent="0.25">
      <c r="A67" s="656"/>
      <c r="B67" s="656"/>
      <c r="C67" s="656"/>
      <c r="D67" s="656"/>
      <c r="E67" s="656"/>
      <c r="F67" s="656"/>
      <c r="G67" s="656"/>
      <c r="H67" s="656"/>
      <c r="I67" s="656"/>
      <c r="J67" s="656"/>
      <c r="K67" s="656"/>
      <c r="L67" s="656"/>
      <c r="M67" s="656"/>
      <c r="N67" s="656"/>
    </row>
    <row r="68" ht="20" customHeight="1" spans="1:14" x14ac:dyDescent="0.25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</row>
    <row r="69" ht="20" customHeight="1" spans="1:14" x14ac:dyDescent="0.25">
      <c r="A69" s="657" t="s">
        <v>1606</v>
      </c>
      <c r="B69" s="658"/>
      <c r="C69" s="658"/>
      <c r="D69" s="658"/>
      <c r="E69" s="656"/>
      <c r="F69" s="656"/>
      <c r="G69" s="656"/>
      <c r="H69" s="656"/>
      <c r="I69" s="656"/>
      <c r="J69" s="656"/>
      <c r="K69" s="656"/>
      <c r="L69" s="656"/>
      <c r="M69" s="656"/>
      <c r="N69" s="656"/>
    </row>
    <row r="70" ht="20" customHeight="1" spans="1:14" x14ac:dyDescent="0.25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</row>
    <row r="71" ht="172.5" customHeight="1" spans="1:14" s="439" customFormat="1" x14ac:dyDescent="0.25">
      <c r="A71" s="659" t="s">
        <v>113</v>
      </c>
      <c r="B71" s="659" t="s">
        <v>1516</v>
      </c>
      <c r="C71" s="659" t="s">
        <v>1517</v>
      </c>
      <c r="D71" s="659" t="s">
        <v>1518</v>
      </c>
      <c r="E71" s="659" t="s">
        <v>825</v>
      </c>
      <c r="F71" s="659" t="s">
        <v>1515</v>
      </c>
      <c r="G71" s="466"/>
      <c r="H71" s="466"/>
      <c r="I71" s="466"/>
      <c r="J71" s="466"/>
      <c r="K71" s="466"/>
      <c r="L71" s="466"/>
      <c r="M71" s="466"/>
      <c r="N71" s="466"/>
    </row>
    <row r="72" ht="24.75" customHeight="1" spans="1:14" x14ac:dyDescent="0.25">
      <c r="A72" s="463" t="s">
        <v>1607</v>
      </c>
      <c r="B72" s="660"/>
      <c r="C72" s="660"/>
      <c r="D72" s="660" t="s">
        <v>1543</v>
      </c>
      <c r="E72" s="660">
        <v>34137.4154475</v>
      </c>
      <c r="F72" s="660">
        <v>0.8375430076179495</v>
      </c>
      <c r="G72" s="656"/>
      <c r="H72" s="656"/>
      <c r="I72" s="656"/>
      <c r="J72" s="656"/>
      <c r="K72" s="656"/>
      <c r="L72" s="656"/>
      <c r="M72" s="656"/>
      <c r="N72" s="656"/>
    </row>
    <row r="73" ht="24.75" customHeight="1" spans="1:14" x14ac:dyDescent="0.25">
      <c r="A73" s="463" t="s">
        <v>1608</v>
      </c>
      <c r="B73" s="660"/>
      <c r="C73" s="660"/>
      <c r="D73" s="660"/>
      <c r="E73" s="660"/>
      <c r="F73" s="660"/>
      <c r="G73" s="656"/>
      <c r="H73" s="656"/>
      <c r="I73" s="656"/>
      <c r="J73" s="656"/>
      <c r="K73" s="656"/>
      <c r="L73" s="656"/>
      <c r="M73" s="656"/>
      <c r="N73" s="656"/>
    </row>
    <row r="74" ht="24.75" customHeight="1" spans="1:14" x14ac:dyDescent="0.25">
      <c r="A74" s="463" t="s">
        <v>1609</v>
      </c>
      <c r="B74" s="660"/>
      <c r="C74" s="660"/>
      <c r="D74" s="660"/>
      <c r="E74" s="660"/>
      <c r="F74" s="660"/>
      <c r="G74" s="656"/>
      <c r="H74" s="656"/>
      <c r="I74" s="656"/>
      <c r="J74" s="656"/>
      <c r="K74" s="656"/>
      <c r="L74" s="656"/>
      <c r="M74" s="656"/>
      <c r="N74" s="656"/>
    </row>
    <row r="75" ht="24.75" customHeight="1" spans="1:14" x14ac:dyDescent="0.25">
      <c r="A75" s="463" t="s">
        <v>1610</v>
      </c>
      <c r="B75" s="660"/>
      <c r="C75" s="660"/>
      <c r="D75" s="660"/>
      <c r="E75" s="660"/>
      <c r="F75" s="660"/>
      <c r="G75" s="656"/>
      <c r="H75" s="656"/>
      <c r="I75" s="656"/>
      <c r="J75" s="656"/>
      <c r="K75" s="656"/>
      <c r="L75" s="656"/>
      <c r="M75" s="656"/>
      <c r="N75" s="656"/>
    </row>
    <row r="76" ht="24.75" customHeight="1" spans="1:14" x14ac:dyDescent="0.25">
      <c r="A76" s="463" t="s">
        <v>1611</v>
      </c>
      <c r="B76" s="660"/>
      <c r="C76" s="660"/>
      <c r="D76" s="660"/>
      <c r="E76" s="660"/>
      <c r="F76" s="660"/>
      <c r="G76" s="656"/>
      <c r="H76" s="656"/>
      <c r="I76" s="656"/>
      <c r="J76" s="656"/>
      <c r="K76" s="656"/>
      <c r="L76" s="656"/>
      <c r="M76" s="656"/>
      <c r="N76" s="656"/>
    </row>
    <row r="77" ht="24.75" customHeight="1" spans="1:14" x14ac:dyDescent="0.25">
      <c r="A77" s="463" t="s">
        <v>1612</v>
      </c>
      <c r="B77" s="660"/>
      <c r="C77" s="660"/>
      <c r="D77" s="660"/>
      <c r="E77" s="660"/>
      <c r="F77" s="660"/>
      <c r="G77" s="656"/>
      <c r="H77" s="656"/>
      <c r="I77" s="656"/>
      <c r="J77" s="656"/>
      <c r="K77" s="656"/>
      <c r="L77" s="656"/>
      <c r="M77" s="656"/>
      <c r="N77" s="656"/>
    </row>
    <row r="78" ht="24.75" customHeight="1" spans="1:14" x14ac:dyDescent="0.25">
      <c r="A78" s="463" t="s">
        <v>1613</v>
      </c>
      <c r="B78" s="660"/>
      <c r="C78" s="660"/>
      <c r="D78" s="660"/>
      <c r="E78" s="660"/>
      <c r="F78" s="660"/>
      <c r="G78" s="656"/>
      <c r="H78" s="656"/>
      <c r="I78" s="656"/>
      <c r="J78" s="656"/>
      <c r="K78" s="656"/>
      <c r="L78" s="656"/>
      <c r="M78" s="656"/>
      <c r="N78" s="656"/>
    </row>
    <row r="79" ht="24.75" customHeight="1" spans="1:14" x14ac:dyDescent="0.25">
      <c r="A79" s="463" t="s">
        <v>1614</v>
      </c>
      <c r="B79" s="660"/>
      <c r="C79" s="660"/>
      <c r="D79" s="660"/>
      <c r="E79" s="660"/>
      <c r="F79" s="660"/>
      <c r="G79" s="656"/>
      <c r="H79" s="656"/>
      <c r="I79" s="656"/>
      <c r="J79" s="656"/>
      <c r="K79" s="656"/>
      <c r="L79" s="656"/>
      <c r="M79" s="656"/>
      <c r="N79" s="656"/>
    </row>
    <row r="80" ht="24.75" customHeight="1" spans="1:14" x14ac:dyDescent="0.25">
      <c r="A80" s="463" t="s">
        <v>1615</v>
      </c>
      <c r="B80" s="660"/>
      <c r="C80" s="660"/>
      <c r="D80" s="660"/>
      <c r="E80" s="660"/>
      <c r="F80" s="660"/>
      <c r="G80" s="656"/>
      <c r="H80" s="656"/>
      <c r="I80" s="656"/>
      <c r="J80" s="656"/>
      <c r="K80" s="656"/>
      <c r="L80" s="656"/>
      <c r="M80" s="656"/>
      <c r="N80" s="656"/>
    </row>
    <row r="81" ht="24.75" customHeight="1" spans="1:14" x14ac:dyDescent="0.25">
      <c r="A81" s="463" t="s">
        <v>1616</v>
      </c>
      <c r="B81" s="660"/>
      <c r="C81" s="660"/>
      <c r="D81" s="660"/>
      <c r="E81" s="660"/>
      <c r="F81" s="660"/>
      <c r="G81" s="656"/>
      <c r="H81" s="656"/>
      <c r="I81" s="656"/>
      <c r="J81" s="656"/>
      <c r="K81" s="656"/>
      <c r="L81" s="656"/>
      <c r="M81" s="656"/>
      <c r="N81" s="656"/>
    </row>
    <row r="82" ht="24.75" customHeight="1" spans="1:14" x14ac:dyDescent="0.25">
      <c r="A82" s="463" t="s">
        <v>1617</v>
      </c>
      <c r="B82" s="660"/>
      <c r="C82" s="660"/>
      <c r="D82" s="660"/>
      <c r="E82" s="660"/>
      <c r="F82" s="660"/>
      <c r="G82" s="656"/>
      <c r="H82" s="656"/>
      <c r="I82" s="656"/>
      <c r="J82" s="656"/>
      <c r="K82" s="656"/>
      <c r="L82" s="656"/>
      <c r="M82" s="656"/>
      <c r="N82" s="656"/>
    </row>
    <row r="83" ht="24.75" customHeight="1" spans="1:14" x14ac:dyDescent="0.25">
      <c r="A83" s="463" t="s">
        <v>1618</v>
      </c>
      <c r="B83" s="660"/>
      <c r="C83" s="660"/>
      <c r="D83" s="660"/>
      <c r="E83" s="660"/>
      <c r="F83" s="660"/>
      <c r="G83" s="656"/>
      <c r="H83" s="656"/>
      <c r="I83" s="656"/>
      <c r="J83" s="656"/>
      <c r="K83" s="656"/>
      <c r="L83" s="656"/>
      <c r="M83" s="656"/>
      <c r="N83" s="656"/>
    </row>
    <row r="84" ht="24.75" customHeight="1" spans="1:14" x14ac:dyDescent="0.25">
      <c r="A84" s="463" t="s">
        <v>1619</v>
      </c>
      <c r="B84" s="660"/>
      <c r="C84" s="660"/>
      <c r="D84" s="660"/>
      <c r="E84" s="660"/>
      <c r="F84" s="660"/>
      <c r="G84" s="656"/>
      <c r="H84" s="656"/>
      <c r="I84" s="656"/>
      <c r="J84" s="656"/>
      <c r="K84" s="656"/>
      <c r="L84" s="656"/>
      <c r="M84" s="656"/>
      <c r="N84" s="656"/>
    </row>
    <row r="85" ht="24.75" customHeight="1" spans="1:14" x14ac:dyDescent="0.25">
      <c r="A85" s="463" t="s">
        <v>1620</v>
      </c>
      <c r="B85" s="660"/>
      <c r="C85" s="660"/>
      <c r="D85" s="660"/>
      <c r="E85" s="660"/>
      <c r="F85" s="660"/>
      <c r="G85" s="656"/>
      <c r="H85" s="656"/>
      <c r="I85" s="656"/>
      <c r="J85" s="656"/>
      <c r="K85" s="656"/>
      <c r="L85" s="656"/>
      <c r="M85" s="656"/>
      <c r="N85" s="656"/>
    </row>
    <row r="86" ht="24.75" customHeight="1" spans="1:14" x14ac:dyDescent="0.25">
      <c r="A86" s="463" t="s">
        <v>1621</v>
      </c>
      <c r="B86" s="660"/>
      <c r="C86" s="660"/>
      <c r="D86" s="660"/>
      <c r="E86" s="660"/>
      <c r="F86" s="660"/>
      <c r="G86" s="656"/>
      <c r="H86" s="656"/>
      <c r="I86" s="656"/>
      <c r="J86" s="656"/>
      <c r="K86" s="656"/>
      <c r="L86" s="656"/>
      <c r="M86" s="656"/>
      <c r="N86" s="656"/>
    </row>
    <row r="87" ht="24.75" customHeight="1" spans="1:14" x14ac:dyDescent="0.25">
      <c r="A87" s="463" t="s">
        <v>1622</v>
      </c>
      <c r="B87" s="660"/>
      <c r="C87" s="660"/>
      <c r="D87" s="660"/>
      <c r="E87" s="660"/>
      <c r="F87" s="660"/>
      <c r="G87" s="656"/>
      <c r="H87" s="656"/>
      <c r="I87" s="656"/>
      <c r="J87" s="656"/>
      <c r="K87" s="656"/>
      <c r="L87" s="656"/>
      <c r="M87" s="656"/>
      <c r="N87" s="656"/>
    </row>
    <row r="88" ht="24.75" customHeight="1" spans="1:14" x14ac:dyDescent="0.25">
      <c r="A88" s="463" t="s">
        <v>1623</v>
      </c>
      <c r="B88" s="660"/>
      <c r="C88" s="660"/>
      <c r="D88" s="660"/>
      <c r="E88" s="660"/>
      <c r="F88" s="660"/>
      <c r="G88" s="656"/>
      <c r="H88" s="656"/>
      <c r="I88" s="656"/>
      <c r="J88" s="656"/>
      <c r="K88" s="656"/>
      <c r="L88" s="656"/>
      <c r="M88" s="656"/>
      <c r="N88" s="656"/>
    </row>
    <row r="89" ht="24.75" customHeight="1" spans="1:14" x14ac:dyDescent="0.25">
      <c r="A89" s="463" t="s">
        <v>1624</v>
      </c>
      <c r="B89" s="660"/>
      <c r="C89" s="660"/>
      <c r="D89" s="660"/>
      <c r="E89" s="660"/>
      <c r="F89" s="660"/>
      <c r="G89" s="656"/>
      <c r="H89" s="656"/>
      <c r="I89" s="656"/>
      <c r="J89" s="656"/>
      <c r="K89" s="656"/>
      <c r="L89" s="656"/>
      <c r="M89" s="656"/>
      <c r="N89" s="656"/>
    </row>
    <row r="90" ht="24.75" customHeight="1" spans="1:14" x14ac:dyDescent="0.25">
      <c r="A90" s="463" t="s">
        <v>1625</v>
      </c>
      <c r="B90" s="660"/>
      <c r="C90" s="660"/>
      <c r="D90" s="660"/>
      <c r="E90" s="660"/>
      <c r="F90" s="660"/>
      <c r="G90" s="656"/>
      <c r="H90" s="656"/>
      <c r="I90" s="656"/>
      <c r="J90" s="656"/>
      <c r="K90" s="656"/>
      <c r="L90" s="656"/>
      <c r="M90" s="656"/>
      <c r="N90" s="656"/>
    </row>
    <row r="91" ht="24.75" customHeight="1" spans="1:14" x14ac:dyDescent="0.25">
      <c r="A91" s="463" t="s">
        <v>1626</v>
      </c>
      <c r="B91" s="660"/>
      <c r="C91" s="660"/>
      <c r="D91" s="660"/>
      <c r="E91" s="660"/>
      <c r="F91" s="660"/>
      <c r="G91" s="656"/>
      <c r="H91" s="656"/>
      <c r="I91" s="656"/>
      <c r="J91" s="656"/>
      <c r="K91" s="656"/>
      <c r="L91" s="656"/>
      <c r="M91" s="656"/>
      <c r="N91" s="656"/>
    </row>
  </sheetData>
  <sheetProtection sheet="1" algorithmName="SHA-512" hashValue="hYGEQdaoqiQp23scm3Laj74XLRZaJKP43tXxuaSydPw7179/WMnyEzg+gfWSxf2qa8lUpg4MieWNKHyDvPrcAg==" saltValue="A6e+E3vZa34WFl5M5zCuqw==" spinCount="100000" objects="1" scenarios="1"/>
  <mergeCells count="31">
    <mergeCell ref="A1:AB1"/>
    <mergeCell ref="B9:F9"/>
    <mergeCell ref="G9:N9"/>
    <mergeCell ref="Q9:R12"/>
    <mergeCell ref="S9:Y9"/>
    <mergeCell ref="A9:A14"/>
    <mergeCell ref="O9:O14"/>
    <mergeCell ref="P9:P14"/>
    <mergeCell ref="S10:X12"/>
    <mergeCell ref="Z9:Z14"/>
    <mergeCell ref="AA9:AA14"/>
    <mergeCell ref="AB9:AB14"/>
    <mergeCell ref="AC9:AC14"/>
    <mergeCell ref="B10:B14"/>
    <mergeCell ref="C10:C14"/>
    <mergeCell ref="D10:D14"/>
    <mergeCell ref="E10:E14"/>
    <mergeCell ref="F10:F14"/>
    <mergeCell ref="I11:N12"/>
    <mergeCell ref="Y10:Y14"/>
    <mergeCell ref="G11:G14"/>
    <mergeCell ref="I13:K13"/>
    <mergeCell ref="L13:N13"/>
    <mergeCell ref="S13:U13"/>
    <mergeCell ref="V13:X13"/>
    <mergeCell ref="H13:H14"/>
    <mergeCell ref="Q13:Q14"/>
    <mergeCell ref="R13:R14"/>
    <mergeCell ref="A15:H15"/>
    <mergeCell ref="B66:F66"/>
    <mergeCell ref="A70:D70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23" fitToWidth="1" fitToHeight="1" firstPageNumber="1" useFirstPageNumber="1" copies="1"/>
  <headerFooter>
    <oddFooter>&amp;R&amp;P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16"/>
  <sheetViews>
    <sheetView workbookViewId="0" zoomScale="60" zoomScaleNormal="60" view="pageBreakPreview">
      <selection activeCell="H116" sqref="H116"/>
    </sheetView>
  </sheetViews>
  <sheetFormatPr defaultRowHeight="20.25" outlineLevelRow="0" outlineLevelCol="0" x14ac:dyDescent="0" defaultColWidth="10" customHeight="1"/>
  <cols>
    <col min="1" max="1" width="11.7265625" style="447" customWidth="1"/>
    <col min="2" max="2" width="20.54296875" style="447" customWidth="1"/>
    <col min="3" max="3" width="21.26953125" style="447" customWidth="1"/>
    <col min="4" max="4" width="15.26953125" style="447" customWidth="1"/>
    <col min="5" max="5" width="12.6328125" style="447" customWidth="1"/>
    <col min="6" max="6" width="13.90625" style="447" customWidth="1"/>
    <col min="7" max="7" width="14.26953125" style="447" customWidth="1"/>
    <col min="8" max="8" width="14.7265625" style="447" customWidth="1"/>
    <col min="9" max="9" width="16.453125" style="447" customWidth="1"/>
    <col min="10" max="11" width="14.453125" style="447" customWidth="1"/>
    <col min="12" max="12" width="20.1796875" style="447" customWidth="1"/>
    <col min="13" max="13" width="18.81640625" style="447" customWidth="1"/>
    <col min="14" max="14" width="11.81640625" style="447" customWidth="1"/>
    <col min="15" max="15" width="19.6328125" style="447" customWidth="1"/>
    <col min="16" max="16" width="16.08984375" style="447" customWidth="1"/>
    <col min="17" max="17" width="16.6328125" style="447" customWidth="1"/>
    <col min="18" max="18" width="11.6328125" style="447" customWidth="1"/>
    <col min="19" max="19" width="13.08984375" style="447" customWidth="1"/>
    <col min="20" max="20" width="13" style="447" customWidth="1"/>
    <col min="21" max="21" width="14.81640625" style="447" customWidth="1"/>
    <col min="22" max="22" width="20.36328125" style="447" customWidth="1"/>
    <col min="23" max="23" width="18.90625" style="447" customWidth="1"/>
    <col min="24" max="24" width="11.81640625" style="447" customWidth="1"/>
    <col min="25" max="25" width="21.36328125" style="447" customWidth="1"/>
    <col min="26" max="26" width="20.7265625" style="447" customWidth="1"/>
    <col min="27" max="27" width="15.6328125" style="447" customWidth="1"/>
    <col min="28" max="28" width="17.54296875" style="447" customWidth="1"/>
    <col min="29" max="29" width="18.36328125" style="447" customWidth="1"/>
    <col min="30" max="30" width="16.6328125" style="447" customWidth="1"/>
    <col min="31" max="16384" width="10" style="447" customWidth="1"/>
  </cols>
  <sheetData>
    <row r="1" ht="15.75" customHeight="1" spans="1:30" s="439" customFormat="1" x14ac:dyDescent="0.25">
      <c r="A1" s="440" t="s">
        <v>1627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1" t="s">
        <v>92</v>
      </c>
    </row>
    <row r="2" ht="31.5" customHeight="1" spans="2:1025" s="442" customFormat="1" x14ac:dyDescent="0.25">
      <c r="B2" s="443"/>
      <c r="C2" s="444"/>
      <c r="D2" s="445"/>
      <c r="E2" s="445"/>
      <c r="F2" s="445"/>
      <c r="G2" s="445"/>
      <c r="H2" s="445"/>
      <c r="I2" s="445"/>
      <c r="J2" s="446"/>
      <c r="K2" s="445"/>
      <c r="L2" s="445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39"/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39"/>
      <c r="BA2" s="439"/>
      <c r="BB2" s="439"/>
      <c r="BC2" s="439"/>
      <c r="BD2" s="439"/>
      <c r="BE2" s="439"/>
      <c r="BF2" s="439"/>
      <c r="BG2" s="439"/>
      <c r="BH2" s="439"/>
      <c r="BI2" s="439"/>
      <c r="BJ2" s="439"/>
      <c r="BK2" s="439"/>
      <c r="BL2" s="439"/>
      <c r="BM2" s="439"/>
      <c r="BN2" s="439"/>
      <c r="BO2" s="439"/>
      <c r="BP2" s="439"/>
      <c r="BQ2" s="439"/>
      <c r="BR2" s="439"/>
      <c r="BS2" s="439"/>
      <c r="BT2" s="439"/>
      <c r="BU2" s="439"/>
      <c r="BV2" s="439"/>
      <c r="BW2" s="439"/>
      <c r="BX2" s="439"/>
      <c r="BY2" s="439"/>
      <c r="BZ2" s="439"/>
      <c r="CA2" s="439"/>
      <c r="CB2" s="439"/>
      <c r="CC2" s="439"/>
      <c r="CD2" s="439"/>
      <c r="CE2" s="439"/>
      <c r="CF2" s="439"/>
      <c r="CG2" s="439"/>
      <c r="CH2" s="439"/>
      <c r="CI2" s="439"/>
      <c r="CJ2" s="439"/>
      <c r="CK2" s="439"/>
      <c r="CL2" s="439"/>
      <c r="CM2" s="439"/>
      <c r="CN2" s="439"/>
      <c r="CO2" s="439"/>
      <c r="CP2" s="439"/>
      <c r="CQ2" s="439"/>
      <c r="CR2" s="439"/>
      <c r="CS2" s="439"/>
      <c r="CT2" s="439"/>
      <c r="CU2" s="439"/>
      <c r="CV2" s="439"/>
      <c r="CW2" s="439"/>
      <c r="CX2" s="439"/>
      <c r="CY2" s="439"/>
      <c r="CZ2" s="439"/>
      <c r="DA2" s="439"/>
      <c r="DB2" s="439"/>
      <c r="DC2" s="439"/>
      <c r="DD2" s="439"/>
      <c r="DE2" s="439"/>
      <c r="DF2" s="439"/>
      <c r="DG2" s="439"/>
      <c r="DH2" s="439"/>
      <c r="DI2" s="439"/>
      <c r="DJ2" s="439"/>
      <c r="DK2" s="439"/>
      <c r="DL2" s="439"/>
      <c r="DM2" s="439"/>
      <c r="DN2" s="439"/>
      <c r="DO2" s="439"/>
      <c r="DP2" s="439"/>
      <c r="DQ2" s="439"/>
      <c r="DR2" s="439"/>
      <c r="DS2" s="439"/>
      <c r="DT2" s="439"/>
      <c r="DU2" s="439"/>
      <c r="DV2" s="439"/>
      <c r="DW2" s="439"/>
      <c r="DX2" s="439"/>
      <c r="DY2" s="439"/>
      <c r="DZ2" s="439"/>
      <c r="EA2" s="439"/>
      <c r="EB2" s="439"/>
      <c r="EC2" s="439"/>
      <c r="ED2" s="439"/>
      <c r="EE2" s="439"/>
      <c r="EF2" s="439"/>
      <c r="EG2" s="439"/>
      <c r="EH2" s="439"/>
      <c r="EI2" s="439"/>
      <c r="EJ2" s="439"/>
      <c r="EK2" s="439"/>
      <c r="EL2" s="439"/>
      <c r="EM2" s="439"/>
      <c r="EN2" s="439"/>
      <c r="EO2" s="439"/>
      <c r="EP2" s="439"/>
      <c r="EQ2" s="439"/>
      <c r="ER2" s="439"/>
      <c r="ES2" s="439"/>
      <c r="ET2" s="439"/>
      <c r="EU2" s="439"/>
      <c r="EV2" s="439"/>
      <c r="EW2" s="439"/>
      <c r="EX2" s="439"/>
      <c r="EY2" s="439"/>
      <c r="EZ2" s="439"/>
      <c r="FA2" s="439"/>
      <c r="FB2" s="439"/>
      <c r="FC2" s="439"/>
      <c r="FD2" s="439"/>
      <c r="FE2" s="439"/>
      <c r="FF2" s="439"/>
      <c r="FG2" s="439"/>
      <c r="FH2" s="439"/>
      <c r="FI2" s="439"/>
      <c r="FJ2" s="439"/>
      <c r="FK2" s="439"/>
      <c r="FL2" s="439"/>
      <c r="FM2" s="439"/>
      <c r="FN2" s="439"/>
      <c r="FO2" s="439"/>
      <c r="FP2" s="439"/>
      <c r="FQ2" s="439"/>
      <c r="FR2" s="439"/>
      <c r="FS2" s="439"/>
      <c r="FT2" s="439"/>
      <c r="FU2" s="439"/>
      <c r="FV2" s="439"/>
      <c r="FW2" s="439"/>
      <c r="FX2" s="439"/>
      <c r="FY2" s="439"/>
      <c r="FZ2" s="439"/>
      <c r="GA2" s="439"/>
      <c r="GB2" s="439"/>
      <c r="GC2" s="439"/>
      <c r="GD2" s="439"/>
      <c r="GE2" s="439"/>
      <c r="GF2" s="439"/>
      <c r="GG2" s="439"/>
      <c r="GH2" s="439"/>
      <c r="GI2" s="439"/>
      <c r="GJ2" s="439"/>
      <c r="GK2" s="439"/>
      <c r="GL2" s="439"/>
      <c r="GM2" s="439"/>
      <c r="GN2" s="439"/>
      <c r="GO2" s="439"/>
      <c r="GP2" s="439"/>
      <c r="GQ2" s="439"/>
      <c r="GR2" s="439"/>
      <c r="GS2" s="439"/>
      <c r="GT2" s="439"/>
      <c r="GU2" s="439"/>
      <c r="GV2" s="439"/>
      <c r="GW2" s="439"/>
      <c r="GX2" s="439"/>
      <c r="GY2" s="439"/>
      <c r="GZ2" s="439"/>
      <c r="HA2" s="439"/>
      <c r="HB2" s="439"/>
      <c r="HC2" s="439"/>
      <c r="HD2" s="439"/>
      <c r="HE2" s="439"/>
      <c r="HF2" s="439"/>
      <c r="HG2" s="439"/>
      <c r="HH2" s="439"/>
      <c r="HI2" s="439"/>
      <c r="HJ2" s="439"/>
      <c r="HK2" s="439"/>
      <c r="HL2" s="439"/>
      <c r="HM2" s="439"/>
      <c r="HN2" s="439"/>
      <c r="HO2" s="439"/>
      <c r="HP2" s="439"/>
      <c r="HQ2" s="439"/>
      <c r="HR2" s="439"/>
      <c r="HS2" s="439"/>
      <c r="HT2" s="439"/>
      <c r="HU2" s="439"/>
      <c r="HV2" s="439"/>
      <c r="HW2" s="439"/>
      <c r="HX2" s="439"/>
      <c r="HY2" s="439"/>
      <c r="HZ2" s="439"/>
      <c r="IA2" s="439"/>
      <c r="IB2" s="439"/>
      <c r="IC2" s="439"/>
      <c r="ID2" s="439"/>
      <c r="IE2" s="439"/>
      <c r="IF2" s="439"/>
      <c r="IG2" s="439"/>
      <c r="IH2" s="439"/>
      <c r="II2" s="439"/>
      <c r="IJ2" s="439"/>
      <c r="IK2" s="439"/>
      <c r="IL2" s="439"/>
      <c r="IM2" s="439"/>
      <c r="IN2" s="439"/>
      <c r="IO2" s="439"/>
      <c r="IP2" s="439"/>
      <c r="IQ2" s="439"/>
      <c r="IR2" s="439"/>
      <c r="IS2" s="439"/>
      <c r="IT2" s="439"/>
      <c r="IU2" s="439"/>
      <c r="IV2" s="439"/>
      <c r="IW2" s="439"/>
      <c r="IX2" s="439"/>
      <c r="IY2" s="439"/>
      <c r="IZ2" s="439"/>
      <c r="JA2" s="439"/>
      <c r="JB2" s="439"/>
      <c r="JC2" s="439"/>
      <c r="JD2" s="439"/>
      <c r="JE2" s="439"/>
      <c r="JF2" s="439"/>
      <c r="JG2" s="439"/>
      <c r="JH2" s="439"/>
      <c r="JI2" s="439"/>
      <c r="JJ2" s="439"/>
      <c r="JK2" s="439"/>
      <c r="JL2" s="439"/>
      <c r="JM2" s="439"/>
      <c r="JN2" s="439"/>
      <c r="JO2" s="439"/>
      <c r="JP2" s="439"/>
      <c r="JQ2" s="439"/>
      <c r="JR2" s="439"/>
      <c r="JS2" s="439"/>
      <c r="JT2" s="439"/>
      <c r="JU2" s="439"/>
      <c r="JV2" s="439"/>
      <c r="JW2" s="439"/>
      <c r="JX2" s="439"/>
      <c r="JY2" s="439"/>
      <c r="JZ2" s="439"/>
      <c r="KA2" s="439"/>
      <c r="KB2" s="439"/>
      <c r="KC2" s="439"/>
      <c r="KD2" s="439"/>
      <c r="KE2" s="439"/>
      <c r="KF2" s="439"/>
      <c r="KG2" s="439"/>
      <c r="KH2" s="439"/>
      <c r="KI2" s="439"/>
      <c r="KJ2" s="439"/>
      <c r="KK2" s="439"/>
      <c r="KL2" s="439"/>
      <c r="KM2" s="439"/>
      <c r="KN2" s="439"/>
      <c r="KO2" s="439"/>
      <c r="KP2" s="439"/>
      <c r="KQ2" s="439"/>
      <c r="KR2" s="439"/>
      <c r="KS2" s="439"/>
      <c r="KT2" s="439"/>
      <c r="KU2" s="439"/>
      <c r="KV2" s="439"/>
      <c r="KW2" s="439"/>
      <c r="KX2" s="439"/>
      <c r="KY2" s="439"/>
      <c r="KZ2" s="439"/>
      <c r="LA2" s="439"/>
      <c r="LB2" s="439"/>
      <c r="LC2" s="439"/>
      <c r="LD2" s="439"/>
      <c r="LE2" s="439"/>
      <c r="LF2" s="439"/>
      <c r="LG2" s="439"/>
      <c r="LH2" s="439"/>
      <c r="LI2" s="439"/>
      <c r="LJ2" s="439"/>
      <c r="LK2" s="439"/>
      <c r="LL2" s="439"/>
      <c r="LM2" s="439"/>
      <c r="LN2" s="439"/>
      <c r="LO2" s="439"/>
      <c r="LP2" s="439"/>
      <c r="LQ2" s="439"/>
      <c r="LR2" s="439"/>
      <c r="LS2" s="439"/>
      <c r="LT2" s="439"/>
      <c r="LU2" s="439"/>
      <c r="LV2" s="439"/>
      <c r="LW2" s="439"/>
      <c r="LX2" s="439"/>
      <c r="LY2" s="439"/>
      <c r="LZ2" s="439"/>
      <c r="MA2" s="439"/>
      <c r="MB2" s="439"/>
      <c r="MC2" s="439"/>
      <c r="MD2" s="439"/>
      <c r="ME2" s="439"/>
      <c r="MF2" s="439"/>
      <c r="MG2" s="439"/>
      <c r="MH2" s="439"/>
      <c r="MI2" s="439"/>
      <c r="MJ2" s="439"/>
      <c r="MK2" s="439"/>
      <c r="ML2" s="439"/>
      <c r="MM2" s="439"/>
      <c r="MN2" s="439"/>
      <c r="MO2" s="439"/>
      <c r="MP2" s="439"/>
      <c r="MQ2" s="439"/>
      <c r="MR2" s="439"/>
      <c r="MS2" s="439"/>
      <c r="MT2" s="439"/>
      <c r="MU2" s="439"/>
      <c r="MV2" s="439"/>
      <c r="MW2" s="439"/>
      <c r="MX2" s="439"/>
      <c r="MY2" s="439"/>
      <c r="MZ2" s="439"/>
      <c r="NA2" s="439"/>
      <c r="NB2" s="439"/>
      <c r="NC2" s="439"/>
      <c r="ND2" s="439"/>
      <c r="NE2" s="439"/>
      <c r="NF2" s="439"/>
      <c r="NG2" s="439"/>
      <c r="NH2" s="439"/>
      <c r="NI2" s="439"/>
      <c r="NJ2" s="439"/>
      <c r="NK2" s="439"/>
      <c r="NL2" s="439"/>
      <c r="NM2" s="439"/>
      <c r="NN2" s="439"/>
      <c r="NO2" s="439"/>
      <c r="NP2" s="439"/>
      <c r="NQ2" s="439"/>
      <c r="NR2" s="439"/>
      <c r="NS2" s="439"/>
      <c r="NT2" s="439"/>
      <c r="NU2" s="439"/>
      <c r="NV2" s="439"/>
      <c r="NW2" s="439"/>
      <c r="NX2" s="439"/>
      <c r="NY2" s="439"/>
      <c r="NZ2" s="439"/>
      <c r="OA2" s="439"/>
      <c r="OB2" s="439"/>
      <c r="OC2" s="439"/>
      <c r="OD2" s="439"/>
      <c r="OE2" s="439"/>
      <c r="OF2" s="439"/>
      <c r="OG2" s="439"/>
      <c r="OH2" s="439"/>
      <c r="OI2" s="439"/>
      <c r="OJ2" s="439"/>
      <c r="OK2" s="439"/>
      <c r="OL2" s="439"/>
      <c r="OM2" s="439"/>
      <c r="ON2" s="439"/>
      <c r="OO2" s="439"/>
      <c r="OP2" s="439"/>
      <c r="OQ2" s="439"/>
      <c r="OR2" s="439"/>
      <c r="OS2" s="439"/>
      <c r="OT2" s="439"/>
      <c r="OU2" s="439"/>
      <c r="OV2" s="439"/>
      <c r="OW2" s="439"/>
      <c r="OX2" s="439"/>
      <c r="OY2" s="439"/>
      <c r="OZ2" s="439"/>
      <c r="PA2" s="439"/>
      <c r="PB2" s="439"/>
      <c r="PC2" s="439"/>
      <c r="PD2" s="439"/>
      <c r="PE2" s="439"/>
      <c r="PF2" s="439"/>
      <c r="PG2" s="439"/>
      <c r="PH2" s="439"/>
      <c r="PI2" s="439"/>
      <c r="PJ2" s="439"/>
      <c r="PK2" s="439"/>
      <c r="PL2" s="439"/>
      <c r="PM2" s="439"/>
      <c r="PN2" s="439"/>
      <c r="PO2" s="439"/>
      <c r="PP2" s="439"/>
      <c r="PQ2" s="439"/>
      <c r="PR2" s="439"/>
      <c r="PS2" s="439"/>
      <c r="PT2" s="439"/>
      <c r="PU2" s="439"/>
      <c r="PV2" s="439"/>
      <c r="PW2" s="439"/>
      <c r="PX2" s="439"/>
      <c r="PY2" s="439"/>
      <c r="PZ2" s="439"/>
      <c r="QA2" s="439"/>
      <c r="QB2" s="439"/>
      <c r="QC2" s="439"/>
      <c r="QD2" s="439"/>
      <c r="QE2" s="439"/>
      <c r="QF2" s="439"/>
      <c r="QG2" s="439"/>
      <c r="QH2" s="439"/>
      <c r="QI2" s="439"/>
      <c r="QJ2" s="439"/>
      <c r="QK2" s="439"/>
      <c r="QL2" s="439"/>
      <c r="QM2" s="439"/>
      <c r="QN2" s="439"/>
      <c r="QO2" s="439"/>
      <c r="QP2" s="439"/>
      <c r="QQ2" s="439"/>
      <c r="QR2" s="439"/>
      <c r="QS2" s="439"/>
      <c r="QT2" s="439"/>
      <c r="QU2" s="439"/>
      <c r="QV2" s="439"/>
      <c r="QW2" s="439"/>
      <c r="QX2" s="439"/>
      <c r="QY2" s="439"/>
      <c r="QZ2" s="439"/>
      <c r="RA2" s="439"/>
      <c r="RB2" s="439"/>
      <c r="RC2" s="439"/>
      <c r="RD2" s="439"/>
      <c r="RE2" s="439"/>
      <c r="RF2" s="439"/>
      <c r="RG2" s="439"/>
      <c r="RH2" s="439"/>
      <c r="RI2" s="439"/>
      <c r="RJ2" s="439"/>
      <c r="RK2" s="439"/>
      <c r="RL2" s="439"/>
      <c r="RM2" s="439"/>
      <c r="RN2" s="439"/>
      <c r="RO2" s="439"/>
      <c r="RP2" s="439"/>
      <c r="RQ2" s="439"/>
      <c r="RR2" s="439"/>
      <c r="RS2" s="439"/>
      <c r="RT2" s="439"/>
      <c r="RU2" s="439"/>
      <c r="RV2" s="439"/>
      <c r="RW2" s="439"/>
      <c r="RX2" s="439"/>
      <c r="RY2" s="439"/>
      <c r="RZ2" s="439"/>
      <c r="SA2" s="439"/>
      <c r="SB2" s="439"/>
      <c r="SC2" s="439"/>
      <c r="SD2" s="439"/>
      <c r="SE2" s="439"/>
      <c r="SF2" s="439"/>
      <c r="SG2" s="439"/>
      <c r="SH2" s="439"/>
      <c r="SI2" s="439"/>
      <c r="SJ2" s="439"/>
      <c r="SK2" s="439"/>
      <c r="SL2" s="439"/>
      <c r="SM2" s="439"/>
      <c r="SN2" s="439"/>
      <c r="SO2" s="439"/>
      <c r="SP2" s="439"/>
      <c r="SQ2" s="439"/>
      <c r="SR2" s="439"/>
      <c r="SS2" s="439"/>
      <c r="ST2" s="439"/>
      <c r="SU2" s="439"/>
      <c r="SV2" s="439"/>
      <c r="SW2" s="439"/>
      <c r="SX2" s="439"/>
      <c r="SY2" s="439"/>
      <c r="SZ2" s="439"/>
      <c r="TA2" s="439"/>
      <c r="TB2" s="439"/>
      <c r="TC2" s="439"/>
      <c r="TD2" s="439"/>
      <c r="TE2" s="439"/>
      <c r="TF2" s="439"/>
      <c r="TG2" s="439"/>
      <c r="TH2" s="439"/>
      <c r="TI2" s="439"/>
      <c r="TJ2" s="439"/>
      <c r="TK2" s="439"/>
      <c r="TL2" s="439"/>
      <c r="TM2" s="439"/>
      <c r="TN2" s="439"/>
      <c r="TO2" s="439"/>
      <c r="TP2" s="439"/>
      <c r="TQ2" s="439"/>
      <c r="TR2" s="439"/>
      <c r="TS2" s="439"/>
      <c r="TT2" s="439"/>
      <c r="TU2" s="439"/>
      <c r="TV2" s="439"/>
      <c r="TW2" s="439"/>
      <c r="TX2" s="439"/>
      <c r="TY2" s="439"/>
      <c r="TZ2" s="439"/>
      <c r="UA2" s="439"/>
      <c r="UB2" s="439"/>
      <c r="UC2" s="439"/>
      <c r="UD2" s="439"/>
      <c r="UE2" s="439"/>
      <c r="UF2" s="439"/>
      <c r="UG2" s="439"/>
      <c r="UH2" s="439"/>
      <c r="UI2" s="439"/>
      <c r="UJ2" s="439"/>
      <c r="UK2" s="439"/>
      <c r="UL2" s="439"/>
      <c r="UM2" s="439"/>
      <c r="UN2" s="439"/>
      <c r="UO2" s="439"/>
      <c r="UP2" s="439"/>
      <c r="UQ2" s="439"/>
      <c r="UR2" s="439"/>
      <c r="US2" s="439"/>
      <c r="UT2" s="439"/>
      <c r="UU2" s="439"/>
      <c r="UV2" s="439"/>
      <c r="UW2" s="439"/>
      <c r="UX2" s="439"/>
      <c r="UY2" s="439"/>
      <c r="UZ2" s="439"/>
      <c r="VA2" s="439"/>
      <c r="VB2" s="439"/>
      <c r="VC2" s="439"/>
      <c r="VD2" s="439"/>
      <c r="VE2" s="439"/>
      <c r="VF2" s="439"/>
      <c r="VG2" s="439"/>
      <c r="VH2" s="439"/>
      <c r="VI2" s="439"/>
      <c r="VJ2" s="439"/>
      <c r="VK2" s="439"/>
      <c r="VL2" s="439"/>
      <c r="VM2" s="439"/>
      <c r="VN2" s="439"/>
      <c r="VO2" s="439"/>
      <c r="VP2" s="439"/>
      <c r="VQ2" s="439"/>
      <c r="VR2" s="439"/>
      <c r="VS2" s="439"/>
      <c r="VT2" s="439"/>
      <c r="VU2" s="439"/>
      <c r="VV2" s="439"/>
      <c r="VW2" s="439"/>
      <c r="VX2" s="439"/>
      <c r="VY2" s="439"/>
      <c r="VZ2" s="439"/>
      <c r="WA2" s="439"/>
      <c r="WB2" s="439"/>
      <c r="WC2" s="439"/>
      <c r="WD2" s="439"/>
      <c r="WE2" s="439"/>
      <c r="WF2" s="439"/>
      <c r="WG2" s="439"/>
      <c r="WH2" s="439"/>
      <c r="WI2" s="439"/>
      <c r="WJ2" s="439"/>
      <c r="WK2" s="439"/>
      <c r="WL2" s="439"/>
      <c r="WM2" s="439"/>
      <c r="WN2" s="439"/>
      <c r="WO2" s="439"/>
      <c r="WP2" s="439"/>
      <c r="WQ2" s="439"/>
      <c r="WR2" s="439"/>
      <c r="WS2" s="439"/>
      <c r="WT2" s="439"/>
      <c r="WU2" s="439"/>
      <c r="WV2" s="439"/>
      <c r="WW2" s="439"/>
      <c r="WX2" s="439"/>
      <c r="WY2" s="439"/>
      <c r="WZ2" s="439"/>
      <c r="XA2" s="439"/>
      <c r="XB2" s="439"/>
      <c r="XC2" s="439"/>
      <c r="XD2" s="439"/>
      <c r="XE2" s="439"/>
      <c r="XF2" s="439"/>
      <c r="XG2" s="439"/>
      <c r="XH2" s="439"/>
      <c r="XI2" s="439"/>
      <c r="XJ2" s="439"/>
      <c r="XK2" s="439"/>
      <c r="XL2" s="439"/>
      <c r="XM2" s="439"/>
      <c r="XN2" s="439"/>
      <c r="XO2" s="439"/>
      <c r="XP2" s="439"/>
      <c r="XQ2" s="439"/>
      <c r="XR2" s="439"/>
      <c r="XS2" s="439"/>
      <c r="XT2" s="439"/>
      <c r="XU2" s="439"/>
      <c r="XV2" s="439"/>
      <c r="XW2" s="439"/>
      <c r="XX2" s="439"/>
      <c r="XY2" s="439"/>
      <c r="XZ2" s="439"/>
      <c r="YA2" s="439"/>
      <c r="YB2" s="439"/>
      <c r="YC2" s="439"/>
      <c r="YD2" s="439"/>
      <c r="YE2" s="439"/>
      <c r="YF2" s="439"/>
      <c r="YG2" s="439"/>
      <c r="YH2" s="439"/>
      <c r="YI2" s="439"/>
      <c r="YJ2" s="439"/>
      <c r="YK2" s="439"/>
      <c r="YL2" s="439"/>
      <c r="YM2" s="439"/>
      <c r="YN2" s="439"/>
      <c r="YO2" s="439"/>
      <c r="YP2" s="439"/>
      <c r="YQ2" s="439"/>
      <c r="YR2" s="439"/>
      <c r="YS2" s="439"/>
      <c r="YT2" s="439"/>
      <c r="YU2" s="439"/>
      <c r="YV2" s="439"/>
      <c r="YW2" s="439"/>
      <c r="YX2" s="439"/>
      <c r="YY2" s="439"/>
      <c r="YZ2" s="439"/>
      <c r="ZA2" s="439"/>
      <c r="ZB2" s="439"/>
      <c r="ZC2" s="439"/>
      <c r="ZD2" s="439"/>
      <c r="ZE2" s="439"/>
      <c r="ZF2" s="439"/>
      <c r="ZG2" s="439"/>
      <c r="ZH2" s="439"/>
      <c r="ZI2" s="439"/>
      <c r="ZJ2" s="439"/>
      <c r="ZK2" s="439"/>
      <c r="ZL2" s="439"/>
      <c r="ZM2" s="439"/>
      <c r="ZN2" s="439"/>
      <c r="ZO2" s="439"/>
      <c r="ZP2" s="439"/>
      <c r="ZQ2" s="439"/>
      <c r="ZR2" s="439"/>
      <c r="ZS2" s="439"/>
      <c r="ZT2" s="439"/>
      <c r="ZU2" s="439"/>
      <c r="ZV2" s="439"/>
      <c r="ZW2" s="439"/>
      <c r="ZX2" s="439"/>
      <c r="ZY2" s="439"/>
      <c r="ZZ2" s="439"/>
      <c r="AAA2" s="439"/>
      <c r="AAB2" s="439"/>
      <c r="AAC2" s="439"/>
      <c r="AAD2" s="439"/>
      <c r="AAE2" s="439"/>
      <c r="AAF2" s="439"/>
      <c r="AAG2" s="439"/>
      <c r="AAH2" s="439"/>
      <c r="AAI2" s="439"/>
      <c r="AAJ2" s="439"/>
      <c r="AAK2" s="439"/>
      <c r="AAL2" s="439"/>
      <c r="AAM2" s="439"/>
      <c r="AAN2" s="439"/>
      <c r="AAO2" s="439"/>
      <c r="AAP2" s="439"/>
      <c r="AAQ2" s="439"/>
      <c r="AAR2" s="439"/>
      <c r="AAS2" s="439"/>
      <c r="AAT2" s="439"/>
      <c r="AAU2" s="439"/>
      <c r="AAV2" s="439"/>
      <c r="AAW2" s="439"/>
      <c r="AAX2" s="439"/>
      <c r="AAY2" s="439"/>
      <c r="AAZ2" s="439"/>
      <c r="ABA2" s="439"/>
      <c r="ABB2" s="439"/>
      <c r="ABC2" s="439"/>
      <c r="ABD2" s="439"/>
      <c r="ABE2" s="439"/>
      <c r="ABF2" s="439"/>
      <c r="ABG2" s="439"/>
      <c r="ABH2" s="439"/>
      <c r="ABI2" s="439"/>
      <c r="ABJ2" s="439"/>
      <c r="ABK2" s="439"/>
      <c r="ABL2" s="439"/>
      <c r="ABM2" s="439"/>
      <c r="ABN2" s="439"/>
      <c r="ABO2" s="439"/>
      <c r="ABP2" s="439"/>
      <c r="ABQ2" s="439"/>
      <c r="ABR2" s="439"/>
      <c r="ABS2" s="439"/>
      <c r="ABT2" s="439"/>
      <c r="ABU2" s="439"/>
      <c r="ABV2" s="439"/>
      <c r="ABW2" s="439"/>
      <c r="ABX2" s="439"/>
      <c r="ABY2" s="439"/>
      <c r="ABZ2" s="439"/>
      <c r="ACA2" s="439"/>
      <c r="ACB2" s="439"/>
      <c r="ACC2" s="439"/>
      <c r="ACD2" s="439"/>
      <c r="ACE2" s="439"/>
      <c r="ACF2" s="439"/>
      <c r="ACG2" s="439"/>
      <c r="ACH2" s="439"/>
      <c r="ACI2" s="439"/>
      <c r="ACJ2" s="439"/>
      <c r="ACK2" s="439"/>
      <c r="ACL2" s="439"/>
      <c r="ACM2" s="439"/>
      <c r="ACN2" s="439"/>
      <c r="ACO2" s="439"/>
      <c r="ACP2" s="439"/>
      <c r="ACQ2" s="439"/>
      <c r="ACR2" s="439"/>
      <c r="ACS2" s="439"/>
      <c r="ACT2" s="439"/>
      <c r="ACU2" s="439"/>
      <c r="ACV2" s="439"/>
      <c r="ACW2" s="439"/>
      <c r="ACX2" s="439"/>
      <c r="ACY2" s="439"/>
      <c r="ACZ2" s="439"/>
      <c r="ADA2" s="439"/>
      <c r="ADB2" s="439"/>
      <c r="ADC2" s="439"/>
      <c r="ADD2" s="439"/>
      <c r="ADE2" s="439"/>
      <c r="ADF2" s="439"/>
      <c r="ADG2" s="439"/>
      <c r="ADH2" s="439"/>
      <c r="ADI2" s="439"/>
      <c r="ADJ2" s="439"/>
      <c r="ADK2" s="439"/>
      <c r="ADL2" s="439"/>
      <c r="ADM2" s="439"/>
      <c r="ADN2" s="439"/>
      <c r="ADO2" s="439"/>
      <c r="ADP2" s="439"/>
      <c r="ADQ2" s="439"/>
      <c r="ADR2" s="439"/>
      <c r="ADS2" s="439"/>
      <c r="ADT2" s="439"/>
      <c r="ADU2" s="439"/>
      <c r="ADV2" s="439"/>
      <c r="ADW2" s="439"/>
      <c r="ADX2" s="439"/>
      <c r="ADY2" s="439"/>
      <c r="ADZ2" s="439"/>
      <c r="AEA2" s="439"/>
      <c r="AEB2" s="439"/>
      <c r="AEC2" s="439"/>
      <c r="AED2" s="439"/>
      <c r="AEE2" s="439"/>
      <c r="AEF2" s="439"/>
      <c r="AEG2" s="439"/>
      <c r="AEH2" s="439"/>
      <c r="AEI2" s="439"/>
      <c r="AEJ2" s="439"/>
      <c r="AEK2" s="439"/>
      <c r="AEL2" s="439"/>
      <c r="AEM2" s="439"/>
      <c r="AEN2" s="439"/>
      <c r="AEO2" s="439"/>
      <c r="AEP2" s="439"/>
      <c r="AEQ2" s="439"/>
      <c r="AER2" s="439"/>
      <c r="AES2" s="439"/>
      <c r="AET2" s="439"/>
      <c r="AEU2" s="439"/>
      <c r="AEV2" s="439"/>
      <c r="AEW2" s="439"/>
      <c r="AEX2" s="439"/>
      <c r="AEY2" s="439"/>
      <c r="AEZ2" s="439"/>
      <c r="AFA2" s="439"/>
      <c r="AFB2" s="439"/>
      <c r="AFC2" s="439"/>
      <c r="AFD2" s="439"/>
      <c r="AFE2" s="439"/>
      <c r="AFF2" s="439"/>
      <c r="AFG2" s="439"/>
      <c r="AFH2" s="439"/>
      <c r="AFI2" s="439"/>
      <c r="AFJ2" s="439"/>
      <c r="AFK2" s="439"/>
      <c r="AFL2" s="439"/>
      <c r="AFM2" s="439"/>
      <c r="AFN2" s="439"/>
      <c r="AFO2" s="439"/>
      <c r="AFP2" s="439"/>
      <c r="AFQ2" s="439"/>
      <c r="AFR2" s="439"/>
      <c r="AFS2" s="439"/>
      <c r="AFT2" s="439"/>
      <c r="AFU2" s="439"/>
      <c r="AFV2" s="439"/>
      <c r="AFW2" s="439"/>
      <c r="AFX2" s="439"/>
      <c r="AFY2" s="439"/>
      <c r="AFZ2" s="439"/>
      <c r="AGA2" s="439"/>
      <c r="AGB2" s="439"/>
      <c r="AGC2" s="439"/>
      <c r="AGD2" s="439"/>
      <c r="AGE2" s="439"/>
      <c r="AGF2" s="439"/>
      <c r="AGG2" s="439"/>
      <c r="AGH2" s="439"/>
      <c r="AGI2" s="439"/>
      <c r="AGJ2" s="439"/>
      <c r="AGK2" s="439"/>
      <c r="AGL2" s="439"/>
      <c r="AGM2" s="439"/>
      <c r="AGN2" s="439"/>
      <c r="AGO2" s="439"/>
      <c r="AGP2" s="439"/>
      <c r="AGQ2" s="439"/>
      <c r="AGR2" s="439"/>
      <c r="AGS2" s="439"/>
      <c r="AGT2" s="439"/>
      <c r="AGU2" s="439"/>
      <c r="AGV2" s="439"/>
      <c r="AGW2" s="439"/>
      <c r="AGX2" s="439"/>
      <c r="AGY2" s="439"/>
      <c r="AGZ2" s="439"/>
      <c r="AHA2" s="439"/>
      <c r="AHB2" s="439"/>
      <c r="AHC2" s="439"/>
      <c r="AHD2" s="439"/>
      <c r="AHE2" s="439"/>
      <c r="AHF2" s="439"/>
      <c r="AHG2" s="439"/>
      <c r="AHH2" s="439"/>
      <c r="AHI2" s="439"/>
      <c r="AHJ2" s="439"/>
      <c r="AHK2" s="439"/>
      <c r="AHL2" s="439"/>
      <c r="AHM2" s="439"/>
      <c r="AHN2" s="439"/>
      <c r="AHO2" s="439"/>
      <c r="AHP2" s="439"/>
      <c r="AHQ2" s="439"/>
      <c r="AHR2" s="439"/>
      <c r="AHS2" s="439"/>
      <c r="AHT2" s="439"/>
      <c r="AHU2" s="439"/>
      <c r="AHV2" s="439"/>
      <c r="AHW2" s="439"/>
      <c r="AHX2" s="439"/>
      <c r="AHY2" s="439"/>
      <c r="AHZ2" s="439"/>
      <c r="AIA2" s="439"/>
      <c r="AIB2" s="439"/>
      <c r="AIC2" s="439"/>
      <c r="AID2" s="439"/>
      <c r="AIE2" s="439"/>
      <c r="AIF2" s="439"/>
      <c r="AIG2" s="439"/>
      <c r="AIH2" s="439"/>
      <c r="AII2" s="439"/>
      <c r="AIJ2" s="439"/>
      <c r="AIK2" s="439"/>
      <c r="AIL2" s="439"/>
      <c r="AIM2" s="439"/>
      <c r="AIN2" s="439"/>
      <c r="AIO2" s="439"/>
      <c r="AIP2" s="439"/>
      <c r="AIQ2" s="439"/>
      <c r="AIR2" s="439"/>
      <c r="AIS2" s="439"/>
      <c r="AIT2" s="439"/>
      <c r="AIU2" s="439"/>
      <c r="AIV2" s="439"/>
      <c r="AIW2" s="439"/>
      <c r="AIX2" s="439"/>
      <c r="AIY2" s="439"/>
      <c r="AIZ2" s="439"/>
      <c r="AJA2" s="439"/>
      <c r="AJB2" s="439"/>
      <c r="AJC2" s="439"/>
      <c r="AJD2" s="439"/>
      <c r="AJE2" s="439"/>
      <c r="AJF2" s="439"/>
      <c r="AJG2" s="439"/>
      <c r="AJH2" s="439"/>
      <c r="AJI2" s="439"/>
      <c r="AJJ2" s="439"/>
      <c r="AJK2" s="439"/>
      <c r="AJL2" s="439"/>
      <c r="AJM2" s="439"/>
      <c r="AJN2" s="439"/>
      <c r="AJO2" s="439"/>
      <c r="AJP2" s="439"/>
      <c r="AJQ2" s="439"/>
      <c r="AJR2" s="439"/>
      <c r="AJS2" s="439"/>
      <c r="AJT2" s="439"/>
      <c r="AJU2" s="439"/>
      <c r="AJV2" s="439"/>
      <c r="AJW2" s="439"/>
      <c r="AJX2" s="439"/>
      <c r="AJY2" s="439"/>
      <c r="AJZ2" s="439"/>
      <c r="AKA2" s="439"/>
      <c r="AKB2" s="439"/>
      <c r="AKC2" s="439"/>
      <c r="AKD2" s="439"/>
      <c r="AKE2" s="439"/>
      <c r="AKF2" s="439"/>
      <c r="AKG2" s="439"/>
      <c r="AKH2" s="439"/>
      <c r="AKI2" s="439"/>
      <c r="AKJ2" s="439"/>
      <c r="AKK2" s="439"/>
      <c r="AKL2" s="439"/>
      <c r="AKM2" s="439"/>
      <c r="AKN2" s="439"/>
      <c r="AKO2" s="439"/>
      <c r="AKP2" s="439"/>
      <c r="AKQ2" s="439"/>
      <c r="AKR2" s="439"/>
      <c r="AKS2" s="439"/>
      <c r="AKT2" s="439"/>
      <c r="AKU2" s="439"/>
      <c r="AKV2" s="439"/>
      <c r="AKW2" s="439"/>
      <c r="AKX2" s="439"/>
      <c r="AKY2" s="439"/>
      <c r="AKZ2" s="439"/>
      <c r="ALA2" s="439"/>
      <c r="ALB2" s="439"/>
      <c r="ALC2" s="439"/>
      <c r="ALD2" s="439"/>
      <c r="ALE2" s="439"/>
      <c r="ALF2" s="439"/>
      <c r="ALG2" s="439"/>
      <c r="ALH2" s="439"/>
      <c r="ALI2" s="439"/>
      <c r="ALJ2" s="439"/>
      <c r="ALK2" s="439"/>
      <c r="ALL2" s="439"/>
      <c r="ALM2" s="439"/>
      <c r="ALN2" s="439"/>
      <c r="ALO2" s="439"/>
      <c r="ALP2" s="439"/>
      <c r="ALQ2" s="439"/>
      <c r="ALR2" s="439"/>
      <c r="ALS2" s="439"/>
      <c r="ALT2" s="439"/>
      <c r="ALU2" s="439"/>
      <c r="ALV2" s="439"/>
      <c r="ALW2" s="439"/>
      <c r="ALX2" s="439"/>
      <c r="ALY2" s="439"/>
      <c r="ALZ2" s="439"/>
      <c r="AMA2" s="439"/>
      <c r="AMB2" s="439"/>
      <c r="AMC2" s="439"/>
      <c r="AMD2" s="439"/>
      <c r="AME2" s="439"/>
      <c r="AMF2" s="439"/>
      <c r="AMG2" s="439"/>
      <c r="AMH2" s="439"/>
      <c r="AMI2" s="439"/>
      <c r="AMJ2" s="439"/>
      <c r="AMK2" s="439"/>
    </row>
    <row r="3" ht="20" customHeight="1" spans="2:12" x14ac:dyDescent="0.25">
      <c r="B3" s="448"/>
      <c r="E3" s="449"/>
      <c r="F3" s="449"/>
      <c r="G3" s="449"/>
      <c r="H3" s="449"/>
      <c r="I3" s="449"/>
      <c r="J3" s="449"/>
      <c r="K3" s="449"/>
      <c r="L3" s="449"/>
    </row>
    <row r="4" ht="9.75" customHeight="1" spans="1:12" x14ac:dyDescent="0.25">
      <c r="A4" s="448"/>
      <c r="C4" s="449"/>
      <c r="E4" s="449"/>
      <c r="F4" s="449"/>
      <c r="G4" s="449"/>
      <c r="H4" s="449"/>
      <c r="I4" s="449"/>
      <c r="J4" s="449"/>
      <c r="K4" s="449"/>
      <c r="L4" s="449"/>
    </row>
    <row r="5" ht="20" customHeight="1" spans="1:12" x14ac:dyDescent="0.25">
      <c r="A5" s="448"/>
      <c r="C5" s="449"/>
      <c r="E5" s="449"/>
      <c r="F5" s="449"/>
      <c r="G5" s="449"/>
      <c r="H5" s="449"/>
      <c r="I5" s="449"/>
      <c r="J5" s="449"/>
      <c r="K5" s="449"/>
      <c r="L5" s="449"/>
    </row>
    <row r="6" ht="20" customHeight="1" spans="3:12" x14ac:dyDescent="0.25">
      <c r="C6" s="449"/>
      <c r="E6" s="449"/>
      <c r="F6" s="449"/>
      <c r="G6" s="449"/>
      <c r="H6" s="449"/>
      <c r="I6" s="449"/>
      <c r="J6" s="449"/>
      <c r="K6" s="449"/>
      <c r="L6" s="449"/>
    </row>
    <row r="7" ht="20" customHeight="1" s="439" customFormat="1" x14ac:dyDescent="0.25"/>
    <row r="8" ht="20" customHeight="1" s="439" customFormat="1" x14ac:dyDescent="0.25"/>
    <row r="9" ht="44.25" customHeight="1" spans="1:30" s="642" customFormat="1" x14ac:dyDescent="0.25">
      <c r="A9" s="468" t="s">
        <v>113</v>
      </c>
      <c r="B9" s="468" t="s">
        <v>1507</v>
      </c>
      <c r="C9" s="468"/>
      <c r="D9" s="468"/>
      <c r="E9" s="468"/>
      <c r="F9" s="468"/>
      <c r="G9" s="468"/>
      <c r="H9" s="451" t="s">
        <v>1508</v>
      </c>
      <c r="I9" s="451"/>
      <c r="J9" s="451"/>
      <c r="K9" s="451"/>
      <c r="L9" s="451"/>
      <c r="M9" s="451"/>
      <c r="N9" s="451"/>
      <c r="O9" s="451"/>
      <c r="P9" s="451" t="s">
        <v>1509</v>
      </c>
      <c r="Q9" s="451" t="s">
        <v>1510</v>
      </c>
      <c r="R9" s="451" t="s">
        <v>1511</v>
      </c>
      <c r="S9" s="451"/>
      <c r="T9" s="451" t="s">
        <v>1512</v>
      </c>
      <c r="U9" s="451"/>
      <c r="V9" s="451"/>
      <c r="W9" s="451"/>
      <c r="X9" s="451"/>
      <c r="Y9" s="451"/>
      <c r="Z9" s="451"/>
      <c r="AA9" s="451" t="s">
        <v>1513</v>
      </c>
      <c r="AB9" s="451" t="s">
        <v>1514</v>
      </c>
      <c r="AC9" s="451" t="s">
        <v>825</v>
      </c>
      <c r="AD9" s="451" t="s">
        <v>1515</v>
      </c>
    </row>
    <row r="10" ht="12.75" customHeight="1" spans="1:30" s="642" customFormat="1" x14ac:dyDescent="0.25">
      <c r="A10" s="468"/>
      <c r="B10" s="468" t="s">
        <v>1628</v>
      </c>
      <c r="C10" s="468" t="s">
        <v>1629</v>
      </c>
      <c r="D10" s="468" t="s">
        <v>1630</v>
      </c>
      <c r="E10" s="468" t="s">
        <v>1518</v>
      </c>
      <c r="F10" s="468" t="s">
        <v>1519</v>
      </c>
      <c r="G10" s="468" t="s">
        <v>1520</v>
      </c>
      <c r="H10" s="643"/>
      <c r="I10" s="580"/>
      <c r="J10" s="580"/>
      <c r="K10" s="580"/>
      <c r="L10" s="580"/>
      <c r="M10" s="580"/>
      <c r="N10" s="580"/>
      <c r="O10" s="644"/>
      <c r="P10" s="451"/>
      <c r="Q10" s="451"/>
      <c r="R10" s="451"/>
      <c r="S10" s="451"/>
      <c r="T10" s="451" t="s">
        <v>1521</v>
      </c>
      <c r="U10" s="451"/>
      <c r="V10" s="451"/>
      <c r="W10" s="451"/>
      <c r="X10" s="451"/>
      <c r="Y10" s="451"/>
      <c r="Z10" s="451" t="s">
        <v>1522</v>
      </c>
      <c r="AA10" s="451"/>
      <c r="AB10" s="451"/>
      <c r="AC10" s="451"/>
      <c r="AD10" s="451"/>
    </row>
    <row r="11" ht="12.75" customHeight="1" spans="1:30" s="642" customFormat="1" x14ac:dyDescent="0.25">
      <c r="A11" s="468"/>
      <c r="B11" s="468"/>
      <c r="C11" s="468"/>
      <c r="D11" s="468"/>
      <c r="E11" s="468"/>
      <c r="F11" s="468"/>
      <c r="G11" s="468"/>
      <c r="H11" s="645" t="s">
        <v>1523</v>
      </c>
      <c r="I11" s="644"/>
      <c r="J11" s="451" t="s">
        <v>1524</v>
      </c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</row>
    <row r="12" ht="46.5" customHeight="1" spans="1:30" s="642" customFormat="1" x14ac:dyDescent="0.25">
      <c r="A12" s="468"/>
      <c r="B12" s="468"/>
      <c r="C12" s="468"/>
      <c r="D12" s="468"/>
      <c r="E12" s="468"/>
      <c r="F12" s="468"/>
      <c r="G12" s="468"/>
      <c r="H12" s="645"/>
      <c r="I12" s="646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  <c r="AA12" s="451"/>
      <c r="AB12" s="451"/>
      <c r="AC12" s="451"/>
      <c r="AD12" s="451"/>
    </row>
    <row r="13" ht="27.75" customHeight="1" spans="1:30" s="642" customFormat="1" x14ac:dyDescent="0.25">
      <c r="A13" s="468"/>
      <c r="B13" s="468"/>
      <c r="C13" s="468"/>
      <c r="D13" s="468"/>
      <c r="E13" s="468"/>
      <c r="F13" s="468"/>
      <c r="G13" s="468"/>
      <c r="H13" s="645"/>
      <c r="I13" s="647" t="s">
        <v>1525</v>
      </c>
      <c r="J13" s="648" t="s">
        <v>1526</v>
      </c>
      <c r="K13" s="648"/>
      <c r="L13" s="648"/>
      <c r="M13" s="451" t="s">
        <v>1527</v>
      </c>
      <c r="N13" s="451"/>
      <c r="O13" s="451"/>
      <c r="P13" s="451"/>
      <c r="Q13" s="451"/>
      <c r="R13" s="451" t="s">
        <v>1528</v>
      </c>
      <c r="S13" s="451" t="s">
        <v>1529</v>
      </c>
      <c r="T13" s="451" t="s">
        <v>1526</v>
      </c>
      <c r="U13" s="451"/>
      <c r="V13" s="451"/>
      <c r="W13" s="451" t="s">
        <v>1530</v>
      </c>
      <c r="X13" s="451"/>
      <c r="Y13" s="451"/>
      <c r="Z13" s="451"/>
      <c r="AA13" s="451"/>
      <c r="AB13" s="451"/>
      <c r="AC13" s="451"/>
      <c r="AD13" s="451"/>
    </row>
    <row r="14" ht="120" customHeight="1" spans="1:30" s="443" customFormat="1" x14ac:dyDescent="0.25">
      <c r="A14" s="468"/>
      <c r="B14" s="468"/>
      <c r="C14" s="468"/>
      <c r="D14" s="468"/>
      <c r="E14" s="468"/>
      <c r="F14" s="468"/>
      <c r="G14" s="468"/>
      <c r="H14" s="645"/>
      <c r="I14" s="647"/>
      <c r="J14" s="488" t="s">
        <v>1531</v>
      </c>
      <c r="K14" s="488" t="s">
        <v>1532</v>
      </c>
      <c r="L14" s="488" t="s">
        <v>1533</v>
      </c>
      <c r="M14" s="488" t="s">
        <v>1534</v>
      </c>
      <c r="N14" s="488" t="s">
        <v>1362</v>
      </c>
      <c r="O14" s="488" t="s">
        <v>1535</v>
      </c>
      <c r="P14" s="451"/>
      <c r="Q14" s="451"/>
      <c r="R14" s="451"/>
      <c r="S14" s="451"/>
      <c r="T14" s="451" t="s">
        <v>1531</v>
      </c>
      <c r="U14" s="451" t="s">
        <v>1532</v>
      </c>
      <c r="V14" s="451" t="s">
        <v>1533</v>
      </c>
      <c r="W14" s="451" t="s">
        <v>1534</v>
      </c>
      <c r="X14" s="451" t="s">
        <v>1362</v>
      </c>
      <c r="Y14" s="451" t="s">
        <v>1535</v>
      </c>
      <c r="Z14" s="451"/>
      <c r="AA14" s="451"/>
      <c r="AB14" s="451"/>
      <c r="AC14" s="451"/>
      <c r="AD14" s="451"/>
    </row>
    <row r="15" ht="140" customHeight="1" spans="1:30" s="649" customFormat="1" x14ac:dyDescent="0.25">
      <c r="A15" s="661"/>
      <c r="B15" s="661"/>
      <c r="C15" s="661"/>
      <c r="D15" s="661"/>
      <c r="E15" s="661"/>
      <c r="F15" s="661"/>
      <c r="G15" s="661"/>
      <c r="H15" s="661"/>
      <c r="I15" s="661"/>
      <c r="J15" s="651" t="s">
        <v>154</v>
      </c>
      <c r="K15" s="651" t="s">
        <v>157</v>
      </c>
      <c r="L15" s="651" t="s">
        <v>160</v>
      </c>
      <c r="M15" s="651" t="s">
        <v>164</v>
      </c>
      <c r="N15" s="651" t="s">
        <v>321</v>
      </c>
      <c r="O15" s="651" t="s">
        <v>329</v>
      </c>
      <c r="P15" s="651" t="s">
        <v>331</v>
      </c>
      <c r="Q15" s="651" t="s">
        <v>333</v>
      </c>
      <c r="R15" s="652" t="s">
        <v>1536</v>
      </c>
      <c r="S15" s="651" t="s">
        <v>1537</v>
      </c>
      <c r="T15" s="651" t="s">
        <v>424</v>
      </c>
      <c r="U15" s="651" t="s">
        <v>427</v>
      </c>
      <c r="V15" s="651" t="s">
        <v>430</v>
      </c>
      <c r="W15" s="651" t="s">
        <v>515</v>
      </c>
      <c r="X15" s="651" t="s">
        <v>350</v>
      </c>
      <c r="Y15" s="651" t="s">
        <v>353</v>
      </c>
      <c r="Z15" s="651" t="s">
        <v>355</v>
      </c>
      <c r="AA15" s="651" t="s">
        <v>357</v>
      </c>
      <c r="AB15" s="652" t="s">
        <v>1538</v>
      </c>
      <c r="AC15" s="652" t="s">
        <v>1539</v>
      </c>
      <c r="AD15" s="651" t="s">
        <v>1540</v>
      </c>
    </row>
    <row r="16" ht="27.75" customHeight="1" spans="1:30" s="649" customFormat="1" x14ac:dyDescent="0.25">
      <c r="A16" s="662" t="s">
        <v>1631</v>
      </c>
      <c r="B16" s="653"/>
      <c r="C16" s="653"/>
      <c r="D16" s="653"/>
      <c r="E16" s="653"/>
      <c r="F16" s="653"/>
      <c r="G16" s="653"/>
      <c r="H16" s="462"/>
      <c r="I16" s="462"/>
      <c r="J16" s="462"/>
      <c r="K16" s="462"/>
      <c r="L16" s="462"/>
      <c r="M16" s="462"/>
      <c r="N16" s="462"/>
      <c r="O16" s="462"/>
      <c r="P16" s="462"/>
      <c r="Q16" s="462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</row>
    <row r="17" ht="27.75" customHeight="1" spans="1:30" s="649" customFormat="1" x14ac:dyDescent="0.25">
      <c r="A17" s="662" t="s">
        <v>1632</v>
      </c>
      <c r="B17" s="653"/>
      <c r="C17" s="653"/>
      <c r="D17" s="653"/>
      <c r="E17" s="653"/>
      <c r="F17" s="653"/>
      <c r="G17" s="653"/>
      <c r="H17" s="462"/>
      <c r="I17" s="462"/>
      <c r="J17" s="462"/>
      <c r="K17" s="462"/>
      <c r="L17" s="462"/>
      <c r="M17" s="462"/>
      <c r="N17" s="462"/>
      <c r="O17" s="462"/>
      <c r="P17" s="462"/>
      <c r="Q17" s="462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</row>
    <row r="18" ht="27.75" customHeight="1" spans="1:30" s="649" customFormat="1" x14ac:dyDescent="0.25">
      <c r="A18" s="662" t="s">
        <v>1633</v>
      </c>
      <c r="B18" s="653"/>
      <c r="C18" s="653"/>
      <c r="D18" s="653"/>
      <c r="E18" s="653"/>
      <c r="F18" s="653"/>
      <c r="G18" s="653"/>
      <c r="H18" s="462"/>
      <c r="I18" s="462"/>
      <c r="J18" s="462"/>
      <c r="K18" s="462"/>
      <c r="L18" s="462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</row>
    <row r="19" ht="27.75" customHeight="1" spans="1:30" s="649" customFormat="1" x14ac:dyDescent="0.25">
      <c r="A19" s="662" t="s">
        <v>1634</v>
      </c>
      <c r="B19" s="653"/>
      <c r="C19" s="653"/>
      <c r="D19" s="653"/>
      <c r="E19" s="653"/>
      <c r="F19" s="653"/>
      <c r="G19" s="653"/>
      <c r="H19" s="462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</row>
    <row r="20" ht="27.75" customHeight="1" spans="1:30" s="649" customFormat="1" x14ac:dyDescent="0.25">
      <c r="A20" s="662" t="s">
        <v>1635</v>
      </c>
      <c r="B20" s="653"/>
      <c r="C20" s="653"/>
      <c r="D20" s="653"/>
      <c r="E20" s="653"/>
      <c r="F20" s="653"/>
      <c r="G20" s="653"/>
      <c r="H20" s="462"/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</row>
    <row r="21" ht="27.75" customHeight="1" spans="1:30" s="649" customFormat="1" x14ac:dyDescent="0.25">
      <c r="A21" s="662" t="s">
        <v>1636</v>
      </c>
      <c r="B21" s="653"/>
      <c r="C21" s="653"/>
      <c r="D21" s="653"/>
      <c r="E21" s="653"/>
      <c r="F21" s="653"/>
      <c r="G21" s="653"/>
      <c r="H21" s="462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</row>
    <row r="22" ht="27.75" customHeight="1" spans="1:30" s="649" customFormat="1" x14ac:dyDescent="0.25">
      <c r="A22" s="662" t="s">
        <v>1637</v>
      </c>
      <c r="B22" s="653"/>
      <c r="C22" s="653"/>
      <c r="D22" s="653"/>
      <c r="E22" s="653"/>
      <c r="F22" s="653"/>
      <c r="G22" s="653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</row>
    <row r="23" ht="27.75" customHeight="1" spans="1:30" s="649" customFormat="1" x14ac:dyDescent="0.25">
      <c r="A23" s="662" t="s">
        <v>1638</v>
      </c>
      <c r="B23" s="653"/>
      <c r="C23" s="653"/>
      <c r="D23" s="653"/>
      <c r="E23" s="653"/>
      <c r="F23" s="653"/>
      <c r="G23" s="653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</row>
    <row r="24" ht="27.75" customHeight="1" spans="1:30" s="649" customFormat="1" x14ac:dyDescent="0.25">
      <c r="A24" s="662" t="s">
        <v>1639</v>
      </c>
      <c r="B24" s="653"/>
      <c r="C24" s="653"/>
      <c r="D24" s="653"/>
      <c r="E24" s="653"/>
      <c r="F24" s="653"/>
      <c r="G24" s="653"/>
      <c r="H24" s="462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</row>
    <row r="25" ht="27.75" customHeight="1" spans="1:30" s="649" customFormat="1" x14ac:dyDescent="0.25">
      <c r="A25" s="662" t="s">
        <v>1640</v>
      </c>
      <c r="B25" s="653"/>
      <c r="C25" s="653"/>
      <c r="D25" s="653"/>
      <c r="E25" s="653"/>
      <c r="F25" s="653"/>
      <c r="G25" s="653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</row>
    <row r="26" ht="27.75" customHeight="1" spans="1:30" s="649" customFormat="1" x14ac:dyDescent="0.25">
      <c r="A26" s="662" t="s">
        <v>1641</v>
      </c>
      <c r="B26" s="653"/>
      <c r="C26" s="653"/>
      <c r="D26" s="653"/>
      <c r="E26" s="653"/>
      <c r="F26" s="653"/>
      <c r="G26" s="653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</row>
    <row r="27" ht="27.75" customHeight="1" spans="1:30" s="649" customFormat="1" x14ac:dyDescent="0.25">
      <c r="A27" s="662" t="s">
        <v>1642</v>
      </c>
      <c r="B27" s="653"/>
      <c r="C27" s="653"/>
      <c r="D27" s="653"/>
      <c r="E27" s="653"/>
      <c r="F27" s="653"/>
      <c r="G27" s="653"/>
      <c r="H27" s="462"/>
      <c r="I27" s="462"/>
      <c r="J27" s="462"/>
      <c r="K27" s="462"/>
      <c r="L27" s="462"/>
      <c r="M27" s="462"/>
      <c r="N27" s="462"/>
      <c r="O27" s="462"/>
      <c r="P27" s="462"/>
      <c r="Q27" s="462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</row>
    <row r="28" ht="27.75" customHeight="1" spans="1:30" s="649" customFormat="1" x14ac:dyDescent="0.25">
      <c r="A28" s="662" t="s">
        <v>1643</v>
      </c>
      <c r="B28" s="653"/>
      <c r="C28" s="653"/>
      <c r="D28" s="653"/>
      <c r="E28" s="653"/>
      <c r="F28" s="653"/>
      <c r="G28" s="653"/>
      <c r="H28" s="462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</row>
    <row r="29" ht="27.75" customHeight="1" spans="1:30" s="649" customFormat="1" x14ac:dyDescent="0.25">
      <c r="A29" s="662" t="s">
        <v>1644</v>
      </c>
      <c r="B29" s="653"/>
      <c r="C29" s="653"/>
      <c r="D29" s="653"/>
      <c r="E29" s="653"/>
      <c r="F29" s="653"/>
      <c r="G29" s="653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</row>
    <row r="30" ht="27.75" customHeight="1" spans="1:30" s="649" customFormat="1" x14ac:dyDescent="0.25">
      <c r="A30" s="662" t="s">
        <v>1645</v>
      </c>
      <c r="B30" s="653"/>
      <c r="C30" s="653"/>
      <c r="D30" s="653"/>
      <c r="E30" s="653"/>
      <c r="F30" s="653"/>
      <c r="G30" s="653"/>
      <c r="H30" s="462"/>
      <c r="I30" s="462"/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</row>
    <row r="31" ht="27.75" customHeight="1" spans="1:30" s="649" customFormat="1" x14ac:dyDescent="0.25">
      <c r="A31" s="662" t="s">
        <v>1646</v>
      </c>
      <c r="B31" s="653"/>
      <c r="C31" s="653"/>
      <c r="D31" s="653"/>
      <c r="E31" s="653"/>
      <c r="F31" s="653"/>
      <c r="G31" s="653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</row>
    <row r="32" ht="27.75" customHeight="1" spans="1:30" s="649" customFormat="1" x14ac:dyDescent="0.25">
      <c r="A32" s="662" t="s">
        <v>1647</v>
      </c>
      <c r="B32" s="653"/>
      <c r="C32" s="653"/>
      <c r="D32" s="653"/>
      <c r="E32" s="653"/>
      <c r="F32" s="653"/>
      <c r="G32" s="653"/>
      <c r="H32" s="462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</row>
    <row r="33" ht="27.75" customHeight="1" spans="1:30" s="649" customFormat="1" x14ac:dyDescent="0.25">
      <c r="A33" s="662" t="s">
        <v>1648</v>
      </c>
      <c r="B33" s="653"/>
      <c r="C33" s="653"/>
      <c r="D33" s="653"/>
      <c r="E33" s="653"/>
      <c r="F33" s="653"/>
      <c r="G33" s="653"/>
      <c r="H33" s="462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</row>
    <row r="34" ht="27.75" customHeight="1" spans="1:30" s="649" customFormat="1" x14ac:dyDescent="0.25">
      <c r="A34" s="662" t="s">
        <v>1649</v>
      </c>
      <c r="B34" s="653"/>
      <c r="C34" s="653"/>
      <c r="D34" s="653"/>
      <c r="E34" s="653"/>
      <c r="F34" s="653"/>
      <c r="G34" s="653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</row>
    <row r="35" ht="27.75" customHeight="1" spans="1:30" s="649" customFormat="1" x14ac:dyDescent="0.25">
      <c r="A35" s="662" t="s">
        <v>1650</v>
      </c>
      <c r="B35" s="653"/>
      <c r="C35" s="653"/>
      <c r="D35" s="653"/>
      <c r="E35" s="653"/>
      <c r="F35" s="653"/>
      <c r="G35" s="653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</row>
    <row r="36" ht="27.75" customHeight="1" spans="1:30" s="649" customFormat="1" x14ac:dyDescent="0.25">
      <c r="A36" s="662" t="s">
        <v>1651</v>
      </c>
      <c r="B36" s="653"/>
      <c r="C36" s="653"/>
      <c r="D36" s="653"/>
      <c r="E36" s="653"/>
      <c r="F36" s="653"/>
      <c r="G36" s="653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</row>
    <row r="37" ht="27.75" customHeight="1" spans="1:30" s="649" customFormat="1" x14ac:dyDescent="0.25">
      <c r="A37" s="662" t="s">
        <v>1652</v>
      </c>
      <c r="B37" s="653"/>
      <c r="C37" s="653"/>
      <c r="D37" s="653"/>
      <c r="E37" s="653"/>
      <c r="F37" s="653"/>
      <c r="G37" s="653"/>
      <c r="H37" s="462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</row>
    <row r="38" ht="27.75" customHeight="1" spans="1:30" s="649" customFormat="1" x14ac:dyDescent="0.25">
      <c r="A38" s="662" t="s">
        <v>1653</v>
      </c>
      <c r="B38" s="653"/>
      <c r="C38" s="653"/>
      <c r="D38" s="653"/>
      <c r="E38" s="653"/>
      <c r="F38" s="653"/>
      <c r="G38" s="653"/>
      <c r="H38" s="462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</row>
    <row r="39" ht="27.75" customHeight="1" spans="1:30" s="649" customFormat="1" x14ac:dyDescent="0.25">
      <c r="A39" s="662" t="s">
        <v>1654</v>
      </c>
      <c r="B39" s="653"/>
      <c r="C39" s="653"/>
      <c r="D39" s="653"/>
      <c r="E39" s="653"/>
      <c r="F39" s="653"/>
      <c r="G39" s="653"/>
      <c r="H39" s="462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</row>
    <row r="40" ht="27.75" customHeight="1" spans="1:30" s="649" customFormat="1" x14ac:dyDescent="0.25">
      <c r="A40" s="662" t="s">
        <v>1655</v>
      </c>
      <c r="B40" s="653"/>
      <c r="C40" s="653"/>
      <c r="D40" s="653"/>
      <c r="E40" s="653"/>
      <c r="F40" s="653"/>
      <c r="G40" s="653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</row>
    <row r="41" ht="27.75" customHeight="1" spans="1:30" s="649" customFormat="1" x14ac:dyDescent="0.25">
      <c r="A41" s="662" t="s">
        <v>1656</v>
      </c>
      <c r="B41" s="653"/>
      <c r="C41" s="653"/>
      <c r="D41" s="653"/>
      <c r="E41" s="653"/>
      <c r="F41" s="653"/>
      <c r="G41" s="653"/>
      <c r="H41" s="462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</row>
    <row r="42" ht="27.75" customHeight="1" spans="1:30" s="649" customFormat="1" x14ac:dyDescent="0.25">
      <c r="A42" s="662" t="s">
        <v>1657</v>
      </c>
      <c r="B42" s="653"/>
      <c r="C42" s="653"/>
      <c r="D42" s="653"/>
      <c r="E42" s="653"/>
      <c r="F42" s="653"/>
      <c r="G42" s="653"/>
      <c r="H42" s="462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</row>
    <row r="43" ht="27.75" customHeight="1" spans="1:30" s="649" customFormat="1" x14ac:dyDescent="0.25">
      <c r="A43" s="662" t="s">
        <v>1658</v>
      </c>
      <c r="B43" s="653"/>
      <c r="C43" s="653"/>
      <c r="D43" s="653"/>
      <c r="E43" s="653"/>
      <c r="F43" s="653"/>
      <c r="G43" s="653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</row>
    <row r="44" ht="27.75" customHeight="1" spans="1:30" s="649" customFormat="1" x14ac:dyDescent="0.25">
      <c r="A44" s="662" t="s">
        <v>1659</v>
      </c>
      <c r="B44" s="653"/>
      <c r="C44" s="653"/>
      <c r="D44" s="653"/>
      <c r="E44" s="653"/>
      <c r="F44" s="653"/>
      <c r="G44" s="653"/>
      <c r="H44" s="462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</row>
    <row r="45" ht="27.75" customHeight="1" spans="1:30" s="649" customFormat="1" x14ac:dyDescent="0.25">
      <c r="A45" s="662" t="s">
        <v>1660</v>
      </c>
      <c r="B45" s="653"/>
      <c r="C45" s="653"/>
      <c r="D45" s="653"/>
      <c r="E45" s="653"/>
      <c r="F45" s="653"/>
      <c r="G45" s="653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>
        <v>0</v>
      </c>
      <c r="S45" s="462">
        <v>0</v>
      </c>
      <c r="T45" s="462"/>
      <c r="U45" s="462"/>
      <c r="V45" s="462"/>
      <c r="W45" s="462"/>
      <c r="X45" s="462"/>
      <c r="Y45" s="462"/>
      <c r="Z45" s="462"/>
      <c r="AA45" s="462"/>
      <c r="AB45" s="462">
        <v>0</v>
      </c>
      <c r="AC45" s="462"/>
      <c r="AD45" s="462">
        <v>0</v>
      </c>
    </row>
    <row r="46" ht="27.75" customHeight="1" spans="1:30" s="649" customFormat="1" x14ac:dyDescent="0.25">
      <c r="A46" s="662" t="s">
        <v>1661</v>
      </c>
      <c r="B46" s="653"/>
      <c r="C46" s="653"/>
      <c r="D46" s="653"/>
      <c r="E46" s="653"/>
      <c r="F46" s="653"/>
      <c r="G46" s="653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>
        <v>0</v>
      </c>
      <c r="S46" s="462">
        <v>0</v>
      </c>
      <c r="T46" s="462"/>
      <c r="U46" s="462"/>
      <c r="V46" s="462"/>
      <c r="W46" s="462"/>
      <c r="X46" s="462"/>
      <c r="Y46" s="462"/>
      <c r="Z46" s="462"/>
      <c r="AA46" s="462"/>
      <c r="AB46" s="462">
        <v>0</v>
      </c>
      <c r="AC46" s="462"/>
      <c r="AD46" s="462">
        <v>0</v>
      </c>
    </row>
    <row r="47" ht="27.75" customHeight="1" spans="1:30" s="649" customFormat="1" x14ac:dyDescent="0.25">
      <c r="A47" s="662" t="s">
        <v>1662</v>
      </c>
      <c r="B47" s="653"/>
      <c r="C47" s="653"/>
      <c r="D47" s="653"/>
      <c r="E47" s="653"/>
      <c r="F47" s="653"/>
      <c r="G47" s="653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>
        <v>0</v>
      </c>
      <c r="S47" s="462">
        <v>0</v>
      </c>
      <c r="T47" s="462"/>
      <c r="U47" s="462"/>
      <c r="V47" s="462"/>
      <c r="W47" s="462"/>
      <c r="X47" s="462"/>
      <c r="Y47" s="462"/>
      <c r="Z47" s="462"/>
      <c r="AA47" s="462"/>
      <c r="AB47" s="462">
        <v>0</v>
      </c>
      <c r="AC47" s="462"/>
      <c r="AD47" s="462">
        <v>0</v>
      </c>
    </row>
    <row r="48" ht="27.75" customHeight="1" spans="1:30" s="649" customFormat="1" x14ac:dyDescent="0.25">
      <c r="A48" s="662" t="s">
        <v>1663</v>
      </c>
      <c r="B48" s="653"/>
      <c r="C48" s="653"/>
      <c r="D48" s="653"/>
      <c r="E48" s="653"/>
      <c r="F48" s="653"/>
      <c r="G48" s="653"/>
      <c r="H48" s="462"/>
      <c r="I48" s="462"/>
      <c r="J48" s="462"/>
      <c r="K48" s="462"/>
      <c r="L48" s="462"/>
      <c r="M48" s="462"/>
      <c r="N48" s="462"/>
      <c r="O48" s="462"/>
      <c r="P48" s="462"/>
      <c r="Q48" s="462"/>
      <c r="R48" s="462">
        <v>0</v>
      </c>
      <c r="S48" s="462">
        <v>0</v>
      </c>
      <c r="T48" s="462"/>
      <c r="U48" s="462"/>
      <c r="V48" s="462"/>
      <c r="W48" s="462"/>
      <c r="X48" s="462"/>
      <c r="Y48" s="462"/>
      <c r="Z48" s="462"/>
      <c r="AA48" s="462"/>
      <c r="AB48" s="462">
        <v>0</v>
      </c>
      <c r="AC48" s="462"/>
      <c r="AD48" s="462">
        <v>0</v>
      </c>
    </row>
    <row r="49" ht="27.75" customHeight="1" spans="1:30" s="649" customFormat="1" x14ac:dyDescent="0.25">
      <c r="A49" s="662" t="s">
        <v>1664</v>
      </c>
      <c r="B49" s="653"/>
      <c r="C49" s="653"/>
      <c r="D49" s="653"/>
      <c r="E49" s="653"/>
      <c r="F49" s="653"/>
      <c r="G49" s="653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>
        <v>0</v>
      </c>
      <c r="S49" s="462">
        <v>0</v>
      </c>
      <c r="T49" s="462"/>
      <c r="U49" s="462"/>
      <c r="V49" s="462"/>
      <c r="W49" s="462"/>
      <c r="X49" s="462"/>
      <c r="Y49" s="462"/>
      <c r="Z49" s="462"/>
      <c r="AA49" s="462"/>
      <c r="AB49" s="462">
        <v>0</v>
      </c>
      <c r="AC49" s="462"/>
      <c r="AD49" s="462">
        <v>0</v>
      </c>
    </row>
    <row r="50" ht="27.75" customHeight="1" spans="1:30" s="649" customFormat="1" x14ac:dyDescent="0.25">
      <c r="A50" s="662" t="s">
        <v>1665</v>
      </c>
      <c r="B50" s="653"/>
      <c r="C50" s="653"/>
      <c r="D50" s="653"/>
      <c r="E50" s="653"/>
      <c r="F50" s="653"/>
      <c r="G50" s="653"/>
      <c r="H50" s="462"/>
      <c r="I50" s="462"/>
      <c r="J50" s="462"/>
      <c r="K50" s="462"/>
      <c r="L50" s="462"/>
      <c r="M50" s="462"/>
      <c r="N50" s="462"/>
      <c r="O50" s="462"/>
      <c r="P50" s="462"/>
      <c r="Q50" s="462"/>
      <c r="R50" s="462">
        <v>0</v>
      </c>
      <c r="S50" s="462">
        <v>0</v>
      </c>
      <c r="T50" s="462"/>
      <c r="U50" s="462"/>
      <c r="V50" s="462"/>
      <c r="W50" s="462"/>
      <c r="X50" s="462"/>
      <c r="Y50" s="462"/>
      <c r="Z50" s="462"/>
      <c r="AA50" s="462"/>
      <c r="AB50" s="462">
        <v>0</v>
      </c>
      <c r="AC50" s="462"/>
      <c r="AD50" s="462">
        <v>0</v>
      </c>
    </row>
    <row r="51" ht="27.75" customHeight="1" spans="1:30" s="649" customFormat="1" x14ac:dyDescent="0.25">
      <c r="A51" s="662" t="s">
        <v>1666</v>
      </c>
      <c r="B51" s="653"/>
      <c r="C51" s="653"/>
      <c r="D51" s="653"/>
      <c r="E51" s="653"/>
      <c r="F51" s="653"/>
      <c r="G51" s="653"/>
      <c r="H51" s="462"/>
      <c r="I51" s="462"/>
      <c r="J51" s="462"/>
      <c r="K51" s="462"/>
      <c r="L51" s="462"/>
      <c r="M51" s="462"/>
      <c r="N51" s="462"/>
      <c r="O51" s="462"/>
      <c r="P51" s="462"/>
      <c r="Q51" s="462"/>
      <c r="R51" s="462">
        <v>0</v>
      </c>
      <c r="S51" s="462">
        <v>0</v>
      </c>
      <c r="T51" s="462"/>
      <c r="U51" s="462"/>
      <c r="V51" s="462"/>
      <c r="W51" s="462"/>
      <c r="X51" s="462"/>
      <c r="Y51" s="462"/>
      <c r="Z51" s="462"/>
      <c r="AA51" s="462"/>
      <c r="AB51" s="462">
        <v>0</v>
      </c>
      <c r="AC51" s="462"/>
      <c r="AD51" s="462">
        <v>0</v>
      </c>
    </row>
    <row r="52" ht="27.75" customHeight="1" spans="1:30" s="649" customFormat="1" x14ac:dyDescent="0.25">
      <c r="A52" s="662" t="s">
        <v>1667</v>
      </c>
      <c r="B52" s="653"/>
      <c r="C52" s="653"/>
      <c r="D52" s="653"/>
      <c r="E52" s="653"/>
      <c r="F52" s="653"/>
      <c r="G52" s="653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2">
        <v>0</v>
      </c>
      <c r="S52" s="462">
        <v>0</v>
      </c>
      <c r="T52" s="462"/>
      <c r="U52" s="462"/>
      <c r="V52" s="462"/>
      <c r="W52" s="462"/>
      <c r="X52" s="462"/>
      <c r="Y52" s="462"/>
      <c r="Z52" s="462"/>
      <c r="AA52" s="462"/>
      <c r="AB52" s="462">
        <v>0</v>
      </c>
      <c r="AC52" s="462"/>
      <c r="AD52" s="462">
        <v>0</v>
      </c>
    </row>
    <row r="53" ht="27.75" customHeight="1" spans="1:30" s="649" customFormat="1" x14ac:dyDescent="0.25">
      <c r="A53" s="662" t="s">
        <v>1668</v>
      </c>
      <c r="B53" s="653"/>
      <c r="C53" s="653"/>
      <c r="D53" s="653"/>
      <c r="E53" s="653"/>
      <c r="F53" s="653"/>
      <c r="G53" s="653"/>
      <c r="H53" s="462"/>
      <c r="I53" s="462"/>
      <c r="J53" s="462"/>
      <c r="K53" s="462"/>
      <c r="L53" s="462"/>
      <c r="M53" s="462"/>
      <c r="N53" s="462"/>
      <c r="O53" s="462"/>
      <c r="P53" s="462"/>
      <c r="Q53" s="462"/>
      <c r="R53" s="462">
        <v>0</v>
      </c>
      <c r="S53" s="462">
        <v>0</v>
      </c>
      <c r="T53" s="462"/>
      <c r="U53" s="462"/>
      <c r="V53" s="462"/>
      <c r="W53" s="462"/>
      <c r="X53" s="462"/>
      <c r="Y53" s="462"/>
      <c r="Z53" s="462"/>
      <c r="AA53" s="462"/>
      <c r="AB53" s="462">
        <v>0</v>
      </c>
      <c r="AC53" s="462"/>
      <c r="AD53" s="462">
        <v>0</v>
      </c>
    </row>
    <row r="54" ht="27.75" customHeight="1" spans="1:30" s="649" customFormat="1" x14ac:dyDescent="0.25">
      <c r="A54" s="662" t="s">
        <v>1669</v>
      </c>
      <c r="B54" s="653"/>
      <c r="C54" s="653"/>
      <c r="D54" s="653"/>
      <c r="E54" s="653"/>
      <c r="F54" s="653"/>
      <c r="G54" s="653"/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>
        <v>0</v>
      </c>
      <c r="S54" s="462">
        <v>0</v>
      </c>
      <c r="T54" s="462"/>
      <c r="U54" s="462"/>
      <c r="V54" s="462"/>
      <c r="W54" s="462"/>
      <c r="X54" s="462"/>
      <c r="Y54" s="462"/>
      <c r="Z54" s="462"/>
      <c r="AA54" s="462"/>
      <c r="AB54" s="462">
        <v>0</v>
      </c>
      <c r="AC54" s="462"/>
      <c r="AD54" s="462">
        <v>0</v>
      </c>
    </row>
    <row r="55" ht="27.75" customHeight="1" spans="1:30" s="649" customFormat="1" x14ac:dyDescent="0.25">
      <c r="A55" s="662" t="s">
        <v>1670</v>
      </c>
      <c r="B55" s="653"/>
      <c r="C55" s="653"/>
      <c r="D55" s="653"/>
      <c r="E55" s="653"/>
      <c r="F55" s="653"/>
      <c r="G55" s="653"/>
      <c r="H55" s="462"/>
      <c r="I55" s="462"/>
      <c r="J55" s="462"/>
      <c r="K55" s="462"/>
      <c r="L55" s="462"/>
      <c r="M55" s="462"/>
      <c r="N55" s="462"/>
      <c r="O55" s="462"/>
      <c r="P55" s="462"/>
      <c r="Q55" s="462"/>
      <c r="R55" s="462">
        <v>0</v>
      </c>
      <c r="S55" s="462">
        <v>0</v>
      </c>
      <c r="T55" s="462"/>
      <c r="U55" s="462"/>
      <c r="V55" s="462"/>
      <c r="W55" s="462"/>
      <c r="X55" s="462"/>
      <c r="Y55" s="462"/>
      <c r="Z55" s="462"/>
      <c r="AA55" s="462"/>
      <c r="AB55" s="462">
        <v>0</v>
      </c>
      <c r="AC55" s="462"/>
      <c r="AD55" s="462">
        <v>0</v>
      </c>
    </row>
    <row r="56" ht="27.75" customHeight="1" spans="1:30" s="649" customFormat="1" x14ac:dyDescent="0.25">
      <c r="A56" s="662" t="s">
        <v>1671</v>
      </c>
      <c r="B56" s="653"/>
      <c r="C56" s="653"/>
      <c r="D56" s="653"/>
      <c r="E56" s="653"/>
      <c r="F56" s="653"/>
      <c r="G56" s="653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>
        <v>0</v>
      </c>
      <c r="S56" s="462">
        <v>0</v>
      </c>
      <c r="T56" s="462"/>
      <c r="U56" s="462"/>
      <c r="V56" s="462"/>
      <c r="W56" s="462"/>
      <c r="X56" s="462"/>
      <c r="Y56" s="462"/>
      <c r="Z56" s="462"/>
      <c r="AA56" s="462"/>
      <c r="AB56" s="462">
        <v>0</v>
      </c>
      <c r="AC56" s="462"/>
      <c r="AD56" s="462">
        <v>0</v>
      </c>
    </row>
    <row r="57" ht="27.75" customHeight="1" spans="1:30" s="649" customFormat="1" x14ac:dyDescent="0.25">
      <c r="A57" s="662" t="s">
        <v>1672</v>
      </c>
      <c r="B57" s="653"/>
      <c r="C57" s="653"/>
      <c r="D57" s="653"/>
      <c r="E57" s="653"/>
      <c r="F57" s="653"/>
      <c r="G57" s="653"/>
      <c r="H57" s="462"/>
      <c r="I57" s="462"/>
      <c r="J57" s="462"/>
      <c r="K57" s="462"/>
      <c r="L57" s="462"/>
      <c r="M57" s="462"/>
      <c r="N57" s="462"/>
      <c r="O57" s="462"/>
      <c r="P57" s="462"/>
      <c r="Q57" s="462"/>
      <c r="R57" s="462">
        <v>0</v>
      </c>
      <c r="S57" s="462">
        <v>0</v>
      </c>
      <c r="T57" s="462"/>
      <c r="U57" s="462"/>
      <c r="V57" s="462"/>
      <c r="W57" s="462"/>
      <c r="X57" s="462"/>
      <c r="Y57" s="462"/>
      <c r="Z57" s="462"/>
      <c r="AA57" s="462"/>
      <c r="AB57" s="462">
        <v>0</v>
      </c>
      <c r="AC57" s="462"/>
      <c r="AD57" s="462">
        <v>0</v>
      </c>
    </row>
    <row r="58" ht="27.75" customHeight="1" spans="1:30" s="649" customFormat="1" x14ac:dyDescent="0.25">
      <c r="A58" s="662" t="s">
        <v>1673</v>
      </c>
      <c r="B58" s="653"/>
      <c r="C58" s="653"/>
      <c r="D58" s="653"/>
      <c r="E58" s="653"/>
      <c r="F58" s="653"/>
      <c r="G58" s="653"/>
      <c r="H58" s="462"/>
      <c r="I58" s="462"/>
      <c r="J58" s="462"/>
      <c r="K58" s="462"/>
      <c r="L58" s="462"/>
      <c r="M58" s="462"/>
      <c r="N58" s="462"/>
      <c r="O58" s="462"/>
      <c r="P58" s="462"/>
      <c r="Q58" s="462"/>
      <c r="R58" s="462">
        <v>0</v>
      </c>
      <c r="S58" s="462">
        <v>0</v>
      </c>
      <c r="T58" s="462"/>
      <c r="U58" s="462"/>
      <c r="V58" s="462"/>
      <c r="W58" s="462"/>
      <c r="X58" s="462"/>
      <c r="Y58" s="462"/>
      <c r="Z58" s="462"/>
      <c r="AA58" s="462"/>
      <c r="AB58" s="462">
        <v>0</v>
      </c>
      <c r="AC58" s="462"/>
      <c r="AD58" s="462">
        <v>0</v>
      </c>
    </row>
    <row r="59" ht="27.75" customHeight="1" spans="1:30" s="649" customFormat="1" x14ac:dyDescent="0.25">
      <c r="A59" s="662" t="s">
        <v>1674</v>
      </c>
      <c r="B59" s="653"/>
      <c r="C59" s="653"/>
      <c r="D59" s="653"/>
      <c r="E59" s="653"/>
      <c r="F59" s="653"/>
      <c r="G59" s="653"/>
      <c r="H59" s="462"/>
      <c r="I59" s="462"/>
      <c r="J59" s="462"/>
      <c r="K59" s="462"/>
      <c r="L59" s="462"/>
      <c r="M59" s="462"/>
      <c r="N59" s="462"/>
      <c r="O59" s="462"/>
      <c r="P59" s="462"/>
      <c r="Q59" s="462"/>
      <c r="R59" s="462">
        <v>0</v>
      </c>
      <c r="S59" s="462">
        <v>0</v>
      </c>
      <c r="T59" s="462"/>
      <c r="U59" s="462"/>
      <c r="V59" s="462"/>
      <c r="W59" s="462"/>
      <c r="X59" s="462"/>
      <c r="Y59" s="462"/>
      <c r="Z59" s="462"/>
      <c r="AA59" s="462"/>
      <c r="AB59" s="462">
        <v>0</v>
      </c>
      <c r="AC59" s="462"/>
      <c r="AD59" s="462">
        <v>0</v>
      </c>
    </row>
    <row r="60" ht="27.75" customHeight="1" spans="1:30" s="649" customFormat="1" x14ac:dyDescent="0.25">
      <c r="A60" s="662" t="s">
        <v>1675</v>
      </c>
      <c r="B60" s="653"/>
      <c r="C60" s="653"/>
      <c r="D60" s="653"/>
      <c r="E60" s="653"/>
      <c r="F60" s="653"/>
      <c r="G60" s="653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2">
        <v>0</v>
      </c>
      <c r="S60" s="462">
        <v>0</v>
      </c>
      <c r="T60" s="462"/>
      <c r="U60" s="462"/>
      <c r="V60" s="462"/>
      <c r="W60" s="462"/>
      <c r="X60" s="462"/>
      <c r="Y60" s="462"/>
      <c r="Z60" s="462"/>
      <c r="AA60" s="462"/>
      <c r="AB60" s="462">
        <v>0</v>
      </c>
      <c r="AC60" s="462"/>
      <c r="AD60" s="462">
        <v>0</v>
      </c>
    </row>
    <row r="61" ht="27.75" customHeight="1" spans="1:30" s="649" customFormat="1" x14ac:dyDescent="0.25">
      <c r="A61" s="662" t="s">
        <v>1676</v>
      </c>
      <c r="B61" s="653"/>
      <c r="C61" s="653"/>
      <c r="D61" s="653"/>
      <c r="E61" s="653"/>
      <c r="F61" s="653"/>
      <c r="G61" s="653"/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>
        <v>0</v>
      </c>
      <c r="S61" s="462">
        <v>0</v>
      </c>
      <c r="T61" s="462"/>
      <c r="U61" s="462"/>
      <c r="V61" s="462"/>
      <c r="W61" s="462"/>
      <c r="X61" s="462"/>
      <c r="Y61" s="462"/>
      <c r="Z61" s="462"/>
      <c r="AA61" s="462"/>
      <c r="AB61" s="462">
        <v>0</v>
      </c>
      <c r="AC61" s="462"/>
      <c r="AD61" s="462">
        <v>0</v>
      </c>
    </row>
    <row r="62" ht="27.75" customHeight="1" spans="1:30" s="649" customFormat="1" x14ac:dyDescent="0.25">
      <c r="A62" s="662" t="s">
        <v>1677</v>
      </c>
      <c r="B62" s="653"/>
      <c r="C62" s="653"/>
      <c r="D62" s="653"/>
      <c r="E62" s="653"/>
      <c r="F62" s="653"/>
      <c r="G62" s="653"/>
      <c r="H62" s="462"/>
      <c r="I62" s="462"/>
      <c r="J62" s="462"/>
      <c r="K62" s="462"/>
      <c r="L62" s="462"/>
      <c r="M62" s="462"/>
      <c r="N62" s="462"/>
      <c r="O62" s="462"/>
      <c r="P62" s="462"/>
      <c r="Q62" s="462"/>
      <c r="R62" s="462">
        <v>0</v>
      </c>
      <c r="S62" s="462">
        <v>0</v>
      </c>
      <c r="T62" s="462"/>
      <c r="U62" s="462"/>
      <c r="V62" s="462"/>
      <c r="W62" s="462"/>
      <c r="X62" s="462"/>
      <c r="Y62" s="462"/>
      <c r="Z62" s="462"/>
      <c r="AA62" s="462"/>
      <c r="AB62" s="462">
        <v>0</v>
      </c>
      <c r="AC62" s="462"/>
      <c r="AD62" s="462">
        <v>0</v>
      </c>
    </row>
    <row r="63" ht="27.75" customHeight="1" spans="1:30" s="649" customFormat="1" x14ac:dyDescent="0.25">
      <c r="A63" s="662" t="s">
        <v>1678</v>
      </c>
      <c r="B63" s="653"/>
      <c r="C63" s="653"/>
      <c r="D63" s="653"/>
      <c r="E63" s="653"/>
      <c r="F63" s="653"/>
      <c r="G63" s="653"/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>
        <v>0</v>
      </c>
      <c r="S63" s="462">
        <v>0</v>
      </c>
      <c r="T63" s="462"/>
      <c r="U63" s="462"/>
      <c r="V63" s="462"/>
      <c r="W63" s="462"/>
      <c r="X63" s="462"/>
      <c r="Y63" s="462"/>
      <c r="Z63" s="462"/>
      <c r="AA63" s="462"/>
      <c r="AB63" s="462">
        <v>0</v>
      </c>
      <c r="AC63" s="462"/>
      <c r="AD63" s="462">
        <v>0</v>
      </c>
    </row>
    <row r="64" ht="27.75" customHeight="1" spans="1:30" s="649" customFormat="1" x14ac:dyDescent="0.25">
      <c r="A64" s="662" t="s">
        <v>1679</v>
      </c>
      <c r="B64" s="653"/>
      <c r="C64" s="653"/>
      <c r="D64" s="653"/>
      <c r="E64" s="653"/>
      <c r="F64" s="653"/>
      <c r="G64" s="653"/>
      <c r="H64" s="462"/>
      <c r="I64" s="462"/>
      <c r="J64" s="462"/>
      <c r="K64" s="462"/>
      <c r="L64" s="462"/>
      <c r="M64" s="462"/>
      <c r="N64" s="462"/>
      <c r="O64" s="462"/>
      <c r="P64" s="462"/>
      <c r="Q64" s="462"/>
      <c r="R64" s="462">
        <v>0</v>
      </c>
      <c r="S64" s="462">
        <v>0</v>
      </c>
      <c r="T64" s="462"/>
      <c r="U64" s="462"/>
      <c r="V64" s="462"/>
      <c r="W64" s="462"/>
      <c r="X64" s="462"/>
      <c r="Y64" s="462"/>
      <c r="Z64" s="462"/>
      <c r="AA64" s="462"/>
      <c r="AB64" s="462">
        <v>0</v>
      </c>
      <c r="AC64" s="462"/>
      <c r="AD64" s="462">
        <v>0</v>
      </c>
    </row>
    <row r="65" ht="27.75" customHeight="1" spans="1:30" s="649" customFormat="1" x14ac:dyDescent="0.25">
      <c r="A65" s="662" t="s">
        <v>1680</v>
      </c>
      <c r="B65" s="653"/>
      <c r="C65" s="653"/>
      <c r="D65" s="653"/>
      <c r="E65" s="653"/>
      <c r="F65" s="653"/>
      <c r="G65" s="653"/>
      <c r="H65" s="462"/>
      <c r="I65" s="462"/>
      <c r="J65" s="462"/>
      <c r="K65" s="462"/>
      <c r="L65" s="462"/>
      <c r="M65" s="462"/>
      <c r="N65" s="462"/>
      <c r="O65" s="462"/>
      <c r="P65" s="462"/>
      <c r="Q65" s="462"/>
      <c r="R65" s="462">
        <v>0</v>
      </c>
      <c r="S65" s="462">
        <v>0</v>
      </c>
      <c r="T65" s="462"/>
      <c r="U65" s="462"/>
      <c r="V65" s="462"/>
      <c r="W65" s="462"/>
      <c r="X65" s="462"/>
      <c r="Y65" s="462"/>
      <c r="Z65" s="462"/>
      <c r="AA65" s="462"/>
      <c r="AB65" s="462">
        <v>0</v>
      </c>
      <c r="AC65" s="462"/>
      <c r="AD65" s="462">
        <v>0</v>
      </c>
    </row>
    <row r="66" ht="27.75" customHeight="1" spans="1:30" s="649" customFormat="1" x14ac:dyDescent="0.25">
      <c r="A66" s="662" t="s">
        <v>1681</v>
      </c>
      <c r="B66" s="653"/>
      <c r="C66" s="653"/>
      <c r="D66" s="653"/>
      <c r="E66" s="653"/>
      <c r="F66" s="653"/>
      <c r="G66" s="653"/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>
        <v>0</v>
      </c>
      <c r="S66" s="462">
        <v>0</v>
      </c>
      <c r="T66" s="462"/>
      <c r="U66" s="462"/>
      <c r="V66" s="462"/>
      <c r="W66" s="462"/>
      <c r="X66" s="462"/>
      <c r="Y66" s="462"/>
      <c r="Z66" s="462"/>
      <c r="AA66" s="462"/>
      <c r="AB66" s="462">
        <v>0</v>
      </c>
      <c r="AC66" s="462"/>
      <c r="AD66" s="462">
        <v>0</v>
      </c>
    </row>
    <row r="67" ht="27.75" customHeight="1" spans="1:30" s="649" customFormat="1" x14ac:dyDescent="0.25">
      <c r="A67" s="662" t="s">
        <v>1682</v>
      </c>
      <c r="B67" s="653"/>
      <c r="C67" s="653"/>
      <c r="D67" s="653"/>
      <c r="E67" s="653"/>
      <c r="F67" s="653"/>
      <c r="G67" s="653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>
        <v>0</v>
      </c>
      <c r="S67" s="462">
        <v>0</v>
      </c>
      <c r="T67" s="462"/>
      <c r="U67" s="462"/>
      <c r="V67" s="462"/>
      <c r="W67" s="462"/>
      <c r="X67" s="462"/>
      <c r="Y67" s="462"/>
      <c r="Z67" s="462"/>
      <c r="AA67" s="462"/>
      <c r="AB67" s="462">
        <v>0</v>
      </c>
      <c r="AC67" s="462"/>
      <c r="AD67" s="462">
        <v>0</v>
      </c>
    </row>
    <row r="68" ht="27.75" customHeight="1" spans="1:30" s="649" customFormat="1" x14ac:dyDescent="0.25">
      <c r="A68" s="662" t="s">
        <v>1683</v>
      </c>
      <c r="B68" s="653"/>
      <c r="C68" s="653"/>
      <c r="D68" s="653"/>
      <c r="E68" s="653"/>
      <c r="F68" s="653"/>
      <c r="G68" s="653"/>
      <c r="H68" s="462"/>
      <c r="I68" s="462"/>
      <c r="J68" s="462"/>
      <c r="K68" s="462"/>
      <c r="L68" s="462"/>
      <c r="M68" s="462"/>
      <c r="N68" s="462"/>
      <c r="O68" s="462"/>
      <c r="P68" s="462"/>
      <c r="Q68" s="462"/>
      <c r="R68" s="462">
        <v>0</v>
      </c>
      <c r="S68" s="462">
        <v>0</v>
      </c>
      <c r="T68" s="462"/>
      <c r="U68" s="462"/>
      <c r="V68" s="462"/>
      <c r="W68" s="462"/>
      <c r="X68" s="462"/>
      <c r="Y68" s="462"/>
      <c r="Z68" s="462"/>
      <c r="AA68" s="462"/>
      <c r="AB68" s="462">
        <v>0</v>
      </c>
      <c r="AC68" s="462"/>
      <c r="AD68" s="462">
        <v>0</v>
      </c>
    </row>
    <row r="69" ht="27.75" customHeight="1" spans="1:30" s="649" customFormat="1" x14ac:dyDescent="0.25">
      <c r="A69" s="662" t="s">
        <v>1684</v>
      </c>
      <c r="B69" s="653"/>
      <c r="C69" s="653"/>
      <c r="D69" s="653"/>
      <c r="E69" s="653"/>
      <c r="F69" s="653"/>
      <c r="G69" s="653"/>
      <c r="H69" s="462"/>
      <c r="I69" s="462"/>
      <c r="J69" s="462"/>
      <c r="K69" s="462"/>
      <c r="L69" s="462"/>
      <c r="M69" s="462"/>
      <c r="N69" s="462"/>
      <c r="O69" s="462"/>
      <c r="P69" s="462"/>
      <c r="Q69" s="462"/>
      <c r="R69" s="462">
        <v>0</v>
      </c>
      <c r="S69" s="462">
        <v>0</v>
      </c>
      <c r="T69" s="462"/>
      <c r="U69" s="462"/>
      <c r="V69" s="462"/>
      <c r="W69" s="462"/>
      <c r="X69" s="462"/>
      <c r="Y69" s="462"/>
      <c r="Z69" s="462"/>
      <c r="AA69" s="462"/>
      <c r="AB69" s="462">
        <v>0</v>
      </c>
      <c r="AC69" s="462"/>
      <c r="AD69" s="462">
        <v>0</v>
      </c>
    </row>
    <row r="70" ht="27.75" customHeight="1" spans="1:30" s="649" customFormat="1" x14ac:dyDescent="0.25">
      <c r="A70" s="662" t="s">
        <v>1685</v>
      </c>
      <c r="B70" s="653"/>
      <c r="C70" s="653"/>
      <c r="D70" s="653"/>
      <c r="E70" s="653"/>
      <c r="F70" s="653"/>
      <c r="G70" s="653"/>
      <c r="H70" s="462"/>
      <c r="I70" s="462"/>
      <c r="J70" s="462"/>
      <c r="K70" s="462"/>
      <c r="L70" s="462"/>
      <c r="M70" s="462"/>
      <c r="N70" s="462"/>
      <c r="O70" s="462"/>
      <c r="P70" s="462"/>
      <c r="Q70" s="462"/>
      <c r="R70" s="462">
        <v>0</v>
      </c>
      <c r="S70" s="462">
        <v>0</v>
      </c>
      <c r="T70" s="462"/>
      <c r="U70" s="462"/>
      <c r="V70" s="462"/>
      <c r="W70" s="462"/>
      <c r="X70" s="462"/>
      <c r="Y70" s="462"/>
      <c r="Z70" s="462"/>
      <c r="AA70" s="462"/>
      <c r="AB70" s="462">
        <v>0</v>
      </c>
      <c r="AC70" s="462"/>
      <c r="AD70" s="462">
        <v>0</v>
      </c>
    </row>
    <row r="71" ht="27.75" customHeight="1" spans="1:30" s="649" customFormat="1" x14ac:dyDescent="0.25">
      <c r="A71" s="662" t="s">
        <v>1686</v>
      </c>
      <c r="B71" s="653"/>
      <c r="C71" s="653"/>
      <c r="D71" s="653"/>
      <c r="E71" s="653"/>
      <c r="F71" s="653"/>
      <c r="G71" s="653"/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2">
        <v>0</v>
      </c>
      <c r="S71" s="462">
        <v>0</v>
      </c>
      <c r="T71" s="462"/>
      <c r="U71" s="462"/>
      <c r="V71" s="462"/>
      <c r="W71" s="462"/>
      <c r="X71" s="462"/>
      <c r="Y71" s="462"/>
      <c r="Z71" s="462"/>
      <c r="AA71" s="462"/>
      <c r="AB71" s="462">
        <v>0</v>
      </c>
      <c r="AC71" s="462"/>
      <c r="AD71" s="462">
        <v>0</v>
      </c>
    </row>
    <row r="72" ht="27.75" customHeight="1" spans="1:30" s="649" customFormat="1" x14ac:dyDescent="0.25">
      <c r="A72" s="662" t="s">
        <v>1687</v>
      </c>
      <c r="B72" s="653"/>
      <c r="C72" s="653"/>
      <c r="D72" s="653"/>
      <c r="E72" s="653"/>
      <c r="F72" s="653"/>
      <c r="G72" s="653"/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>
        <v>0</v>
      </c>
      <c r="S72" s="462">
        <v>0</v>
      </c>
      <c r="T72" s="462"/>
      <c r="U72" s="462"/>
      <c r="V72" s="462"/>
      <c r="W72" s="462"/>
      <c r="X72" s="462"/>
      <c r="Y72" s="462"/>
      <c r="Z72" s="462"/>
      <c r="AA72" s="462"/>
      <c r="AB72" s="462">
        <v>0</v>
      </c>
      <c r="AC72" s="462"/>
      <c r="AD72" s="462">
        <v>0</v>
      </c>
    </row>
    <row r="73" ht="27.75" customHeight="1" spans="1:30" s="649" customFormat="1" x14ac:dyDescent="0.25">
      <c r="A73" s="662" t="s">
        <v>1688</v>
      </c>
      <c r="B73" s="653"/>
      <c r="C73" s="653"/>
      <c r="D73" s="653"/>
      <c r="E73" s="653"/>
      <c r="F73" s="653"/>
      <c r="G73" s="653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>
        <v>0</v>
      </c>
      <c r="S73" s="462">
        <v>0</v>
      </c>
      <c r="T73" s="462"/>
      <c r="U73" s="462"/>
      <c r="V73" s="462"/>
      <c r="W73" s="462"/>
      <c r="X73" s="462"/>
      <c r="Y73" s="462"/>
      <c r="Z73" s="462"/>
      <c r="AA73" s="462"/>
      <c r="AB73" s="462">
        <v>0</v>
      </c>
      <c r="AC73" s="462"/>
      <c r="AD73" s="462">
        <v>0</v>
      </c>
    </row>
    <row r="74" ht="27.75" customHeight="1" spans="1:30" s="649" customFormat="1" x14ac:dyDescent="0.25">
      <c r="A74" s="662" t="s">
        <v>1689</v>
      </c>
      <c r="B74" s="653"/>
      <c r="C74" s="653"/>
      <c r="D74" s="653"/>
      <c r="E74" s="653"/>
      <c r="F74" s="653"/>
      <c r="G74" s="653"/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>
        <v>0</v>
      </c>
      <c r="S74" s="462">
        <v>0</v>
      </c>
      <c r="T74" s="462"/>
      <c r="U74" s="462"/>
      <c r="V74" s="462"/>
      <c r="W74" s="462"/>
      <c r="X74" s="462"/>
      <c r="Y74" s="462"/>
      <c r="Z74" s="462"/>
      <c r="AA74" s="462"/>
      <c r="AB74" s="462">
        <v>0</v>
      </c>
      <c r="AC74" s="462"/>
      <c r="AD74" s="462">
        <v>0</v>
      </c>
    </row>
    <row r="75" ht="27.75" customHeight="1" spans="1:30" s="649" customFormat="1" x14ac:dyDescent="0.25">
      <c r="A75" s="662" t="s">
        <v>1690</v>
      </c>
      <c r="B75" s="653"/>
      <c r="C75" s="653"/>
      <c r="D75" s="653"/>
      <c r="E75" s="653"/>
      <c r="F75" s="653"/>
      <c r="G75" s="653"/>
      <c r="H75" s="462"/>
      <c r="I75" s="462"/>
      <c r="J75" s="462"/>
      <c r="K75" s="462"/>
      <c r="L75" s="462"/>
      <c r="M75" s="462"/>
      <c r="N75" s="462"/>
      <c r="O75" s="462"/>
      <c r="P75" s="462"/>
      <c r="Q75" s="462"/>
      <c r="R75" s="462">
        <v>0</v>
      </c>
      <c r="S75" s="462">
        <v>0</v>
      </c>
      <c r="T75" s="462"/>
      <c r="U75" s="462"/>
      <c r="V75" s="462"/>
      <c r="W75" s="462"/>
      <c r="X75" s="462"/>
      <c r="Y75" s="462"/>
      <c r="Z75" s="462"/>
      <c r="AA75" s="462"/>
      <c r="AB75" s="462">
        <v>0</v>
      </c>
      <c r="AC75" s="462"/>
      <c r="AD75" s="462">
        <v>0</v>
      </c>
    </row>
    <row r="76" ht="27.75" customHeight="1" spans="1:30" s="649" customFormat="1" x14ac:dyDescent="0.25">
      <c r="A76" s="662" t="s">
        <v>1691</v>
      </c>
      <c r="B76" s="653"/>
      <c r="C76" s="653"/>
      <c r="D76" s="653"/>
      <c r="E76" s="653"/>
      <c r="F76" s="653"/>
      <c r="G76" s="653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>
        <v>0</v>
      </c>
      <c r="S76" s="462">
        <v>0</v>
      </c>
      <c r="T76" s="462"/>
      <c r="U76" s="462"/>
      <c r="V76" s="462"/>
      <c r="W76" s="462"/>
      <c r="X76" s="462"/>
      <c r="Y76" s="462"/>
      <c r="Z76" s="462"/>
      <c r="AA76" s="462"/>
      <c r="AB76" s="462">
        <v>0</v>
      </c>
      <c r="AC76" s="462"/>
      <c r="AD76" s="462">
        <v>0</v>
      </c>
    </row>
    <row r="77" ht="27.75" customHeight="1" spans="1:30" s="649" customFormat="1" x14ac:dyDescent="0.25">
      <c r="A77" s="662" t="s">
        <v>1692</v>
      </c>
      <c r="B77" s="653"/>
      <c r="C77" s="653"/>
      <c r="D77" s="653"/>
      <c r="E77" s="653"/>
      <c r="F77" s="653"/>
      <c r="G77" s="653"/>
      <c r="H77" s="462"/>
      <c r="I77" s="462"/>
      <c r="J77" s="462"/>
      <c r="K77" s="462"/>
      <c r="L77" s="462"/>
      <c r="M77" s="462"/>
      <c r="N77" s="462"/>
      <c r="O77" s="462"/>
      <c r="P77" s="462"/>
      <c r="Q77" s="462"/>
      <c r="R77" s="462">
        <v>0</v>
      </c>
      <c r="S77" s="462">
        <v>0</v>
      </c>
      <c r="T77" s="462"/>
      <c r="U77" s="462"/>
      <c r="V77" s="462"/>
      <c r="W77" s="462"/>
      <c r="X77" s="462"/>
      <c r="Y77" s="462"/>
      <c r="Z77" s="462"/>
      <c r="AA77" s="462"/>
      <c r="AB77" s="462">
        <v>0</v>
      </c>
      <c r="AC77" s="462"/>
      <c r="AD77" s="462">
        <v>0</v>
      </c>
    </row>
    <row r="78" ht="27.75" customHeight="1" spans="1:30" s="649" customFormat="1" x14ac:dyDescent="0.25">
      <c r="A78" s="662" t="s">
        <v>1693</v>
      </c>
      <c r="B78" s="653"/>
      <c r="C78" s="653"/>
      <c r="D78" s="653"/>
      <c r="E78" s="653"/>
      <c r="F78" s="653"/>
      <c r="G78" s="653"/>
      <c r="H78" s="462"/>
      <c r="I78" s="462"/>
      <c r="J78" s="462"/>
      <c r="K78" s="462"/>
      <c r="L78" s="462"/>
      <c r="M78" s="462"/>
      <c r="N78" s="462"/>
      <c r="O78" s="462"/>
      <c r="P78" s="462"/>
      <c r="Q78" s="462"/>
      <c r="R78" s="462">
        <v>0</v>
      </c>
      <c r="S78" s="462">
        <v>0</v>
      </c>
      <c r="T78" s="462"/>
      <c r="U78" s="462"/>
      <c r="V78" s="462"/>
      <c r="W78" s="462"/>
      <c r="X78" s="462"/>
      <c r="Y78" s="462"/>
      <c r="Z78" s="462"/>
      <c r="AA78" s="462"/>
      <c r="AB78" s="462">
        <v>0</v>
      </c>
      <c r="AC78" s="462"/>
      <c r="AD78" s="462">
        <v>0</v>
      </c>
    </row>
    <row r="79" ht="27.75" customHeight="1" spans="1:30" s="649" customFormat="1" x14ac:dyDescent="0.25">
      <c r="A79" s="662" t="s">
        <v>1694</v>
      </c>
      <c r="B79" s="653"/>
      <c r="C79" s="653"/>
      <c r="D79" s="653"/>
      <c r="E79" s="653"/>
      <c r="F79" s="653"/>
      <c r="G79" s="653"/>
      <c r="H79" s="462"/>
      <c r="I79" s="462"/>
      <c r="J79" s="462"/>
      <c r="K79" s="462"/>
      <c r="L79" s="462"/>
      <c r="M79" s="462"/>
      <c r="N79" s="462"/>
      <c r="O79" s="462"/>
      <c r="P79" s="462"/>
      <c r="Q79" s="462"/>
      <c r="R79" s="462">
        <v>0</v>
      </c>
      <c r="S79" s="462">
        <v>0</v>
      </c>
      <c r="T79" s="462"/>
      <c r="U79" s="462"/>
      <c r="V79" s="462"/>
      <c r="W79" s="462"/>
      <c r="X79" s="462"/>
      <c r="Y79" s="462"/>
      <c r="Z79" s="462"/>
      <c r="AA79" s="462"/>
      <c r="AB79" s="462">
        <v>0</v>
      </c>
      <c r="AC79" s="462"/>
      <c r="AD79" s="462">
        <v>0</v>
      </c>
    </row>
    <row r="80" ht="27.75" customHeight="1" spans="1:30" s="649" customFormat="1" x14ac:dyDescent="0.25">
      <c r="A80" s="662" t="s">
        <v>1695</v>
      </c>
      <c r="B80" s="653"/>
      <c r="C80" s="653"/>
      <c r="D80" s="653"/>
      <c r="E80" s="653"/>
      <c r="F80" s="653"/>
      <c r="G80" s="653"/>
      <c r="H80" s="462"/>
      <c r="I80" s="462"/>
      <c r="J80" s="462"/>
      <c r="K80" s="462"/>
      <c r="L80" s="462"/>
      <c r="M80" s="462"/>
      <c r="N80" s="462"/>
      <c r="O80" s="462"/>
      <c r="P80" s="462"/>
      <c r="Q80" s="462"/>
      <c r="R80" s="462">
        <v>0</v>
      </c>
      <c r="S80" s="462">
        <v>0</v>
      </c>
      <c r="T80" s="462"/>
      <c r="U80" s="462"/>
      <c r="V80" s="462"/>
      <c r="W80" s="462"/>
      <c r="X80" s="462"/>
      <c r="Y80" s="462"/>
      <c r="Z80" s="462"/>
      <c r="AA80" s="462"/>
      <c r="AB80" s="462">
        <v>0</v>
      </c>
      <c r="AC80" s="462"/>
      <c r="AD80" s="462">
        <v>0</v>
      </c>
    </row>
    <row r="81" ht="27.75" customHeight="1" spans="1:30" s="649" customFormat="1" x14ac:dyDescent="0.25">
      <c r="A81" s="662" t="s">
        <v>1696</v>
      </c>
      <c r="B81" s="653"/>
      <c r="C81" s="653"/>
      <c r="D81" s="653"/>
      <c r="E81" s="653"/>
      <c r="F81" s="653"/>
      <c r="G81" s="653"/>
      <c r="H81" s="462"/>
      <c r="I81" s="462"/>
      <c r="J81" s="462"/>
      <c r="K81" s="462"/>
      <c r="L81" s="462"/>
      <c r="M81" s="462"/>
      <c r="N81" s="462"/>
      <c r="O81" s="462"/>
      <c r="P81" s="462"/>
      <c r="Q81" s="462"/>
      <c r="R81" s="462">
        <v>0</v>
      </c>
      <c r="S81" s="462">
        <v>0</v>
      </c>
      <c r="T81" s="462"/>
      <c r="U81" s="462"/>
      <c r="V81" s="462"/>
      <c r="W81" s="462"/>
      <c r="X81" s="462"/>
      <c r="Y81" s="462"/>
      <c r="Z81" s="462"/>
      <c r="AA81" s="462"/>
      <c r="AB81" s="462">
        <v>0</v>
      </c>
      <c r="AC81" s="462"/>
      <c r="AD81" s="462">
        <v>0</v>
      </c>
    </row>
    <row r="82" ht="27.75" customHeight="1" spans="1:30" s="649" customFormat="1" x14ac:dyDescent="0.25">
      <c r="A82" s="662" t="s">
        <v>1697</v>
      </c>
      <c r="B82" s="653"/>
      <c r="C82" s="653"/>
      <c r="D82" s="653"/>
      <c r="E82" s="653"/>
      <c r="F82" s="653"/>
      <c r="G82" s="653"/>
      <c r="H82" s="462"/>
      <c r="I82" s="462"/>
      <c r="J82" s="462"/>
      <c r="K82" s="462"/>
      <c r="L82" s="462"/>
      <c r="M82" s="462"/>
      <c r="N82" s="462"/>
      <c r="O82" s="462"/>
      <c r="P82" s="462"/>
      <c r="Q82" s="462"/>
      <c r="R82" s="462">
        <v>0</v>
      </c>
      <c r="S82" s="462">
        <v>0</v>
      </c>
      <c r="T82" s="462"/>
      <c r="U82" s="462"/>
      <c r="V82" s="462"/>
      <c r="W82" s="462"/>
      <c r="X82" s="462"/>
      <c r="Y82" s="462"/>
      <c r="Z82" s="462"/>
      <c r="AA82" s="462"/>
      <c r="AB82" s="462">
        <v>0</v>
      </c>
      <c r="AC82" s="462"/>
      <c r="AD82" s="462">
        <v>0</v>
      </c>
    </row>
    <row r="83" ht="27.75" customHeight="1" spans="1:30" s="649" customFormat="1" x14ac:dyDescent="0.25">
      <c r="A83" s="662" t="s">
        <v>1698</v>
      </c>
      <c r="B83" s="653"/>
      <c r="C83" s="653"/>
      <c r="D83" s="653"/>
      <c r="E83" s="653"/>
      <c r="F83" s="653"/>
      <c r="G83" s="653"/>
      <c r="H83" s="462"/>
      <c r="I83" s="462"/>
      <c r="J83" s="462"/>
      <c r="K83" s="462"/>
      <c r="L83" s="462"/>
      <c r="M83" s="462"/>
      <c r="N83" s="462"/>
      <c r="O83" s="462"/>
      <c r="P83" s="462"/>
      <c r="Q83" s="462"/>
      <c r="R83" s="462">
        <v>0</v>
      </c>
      <c r="S83" s="462">
        <v>0</v>
      </c>
      <c r="T83" s="462"/>
      <c r="U83" s="462"/>
      <c r="V83" s="462"/>
      <c r="W83" s="462"/>
      <c r="X83" s="462"/>
      <c r="Y83" s="462"/>
      <c r="Z83" s="462"/>
      <c r="AA83" s="462"/>
      <c r="AB83" s="462">
        <v>0</v>
      </c>
      <c r="AC83" s="462"/>
      <c r="AD83" s="462">
        <v>0</v>
      </c>
    </row>
    <row r="84" ht="27.75" customHeight="1" spans="1:30" s="649" customFormat="1" x14ac:dyDescent="0.25">
      <c r="A84" s="662" t="s">
        <v>1699</v>
      </c>
      <c r="B84" s="653"/>
      <c r="C84" s="653"/>
      <c r="D84" s="653"/>
      <c r="E84" s="653"/>
      <c r="F84" s="653"/>
      <c r="G84" s="653"/>
      <c r="H84" s="462"/>
      <c r="I84" s="462"/>
      <c r="J84" s="462"/>
      <c r="K84" s="462"/>
      <c r="L84" s="462"/>
      <c r="M84" s="462"/>
      <c r="N84" s="462"/>
      <c r="O84" s="462"/>
      <c r="P84" s="462"/>
      <c r="Q84" s="462"/>
      <c r="R84" s="462">
        <v>0</v>
      </c>
      <c r="S84" s="462">
        <v>0</v>
      </c>
      <c r="T84" s="462"/>
      <c r="U84" s="462"/>
      <c r="V84" s="462"/>
      <c r="W84" s="462"/>
      <c r="X84" s="462"/>
      <c r="Y84" s="462"/>
      <c r="Z84" s="462"/>
      <c r="AA84" s="462"/>
      <c r="AB84" s="462">
        <v>0</v>
      </c>
      <c r="AC84" s="462"/>
      <c r="AD84" s="462">
        <v>0</v>
      </c>
    </row>
    <row r="85" ht="27.75" customHeight="1" spans="1:30" s="649" customFormat="1" x14ac:dyDescent="0.25">
      <c r="A85" s="662" t="s">
        <v>1700</v>
      </c>
      <c r="B85" s="653"/>
      <c r="C85" s="653"/>
      <c r="D85" s="653"/>
      <c r="E85" s="653"/>
      <c r="F85" s="653"/>
      <c r="G85" s="653"/>
      <c r="H85" s="462"/>
      <c r="I85" s="462"/>
      <c r="J85" s="462"/>
      <c r="K85" s="462"/>
      <c r="L85" s="462"/>
      <c r="M85" s="462"/>
      <c r="N85" s="462"/>
      <c r="O85" s="462"/>
      <c r="P85" s="462"/>
      <c r="Q85" s="462"/>
      <c r="R85" s="462">
        <v>0</v>
      </c>
      <c r="S85" s="462">
        <v>0</v>
      </c>
      <c r="T85" s="462"/>
      <c r="U85" s="462"/>
      <c r="V85" s="462"/>
      <c r="W85" s="462"/>
      <c r="X85" s="462"/>
      <c r="Y85" s="462"/>
      <c r="Z85" s="462"/>
      <c r="AA85" s="462"/>
      <c r="AB85" s="462">
        <v>0</v>
      </c>
      <c r="AC85" s="462"/>
      <c r="AD85" s="462">
        <v>0</v>
      </c>
    </row>
    <row r="86" ht="27.75" customHeight="1" spans="1:30" s="649" customFormat="1" x14ac:dyDescent="0.25">
      <c r="A86" s="662" t="s">
        <v>1701</v>
      </c>
      <c r="B86" s="653"/>
      <c r="C86" s="653"/>
      <c r="D86" s="653"/>
      <c r="E86" s="653"/>
      <c r="F86" s="653"/>
      <c r="G86" s="653"/>
      <c r="H86" s="462"/>
      <c r="I86" s="462"/>
      <c r="J86" s="462"/>
      <c r="K86" s="462"/>
      <c r="L86" s="462"/>
      <c r="M86" s="462"/>
      <c r="N86" s="462"/>
      <c r="O86" s="462"/>
      <c r="P86" s="462"/>
      <c r="Q86" s="462"/>
      <c r="R86" s="462">
        <v>0</v>
      </c>
      <c r="S86" s="462">
        <v>0</v>
      </c>
      <c r="T86" s="462"/>
      <c r="U86" s="462"/>
      <c r="V86" s="462"/>
      <c r="W86" s="462"/>
      <c r="X86" s="462"/>
      <c r="Y86" s="462"/>
      <c r="Z86" s="462"/>
      <c r="AA86" s="462"/>
      <c r="AB86" s="462">
        <v>0</v>
      </c>
      <c r="AC86" s="462"/>
      <c r="AD86" s="462">
        <v>0</v>
      </c>
    </row>
    <row r="87" ht="27.75" customHeight="1" spans="1:30" s="649" customFormat="1" x14ac:dyDescent="0.25">
      <c r="A87" s="662" t="s">
        <v>1702</v>
      </c>
      <c r="B87" s="653"/>
      <c r="C87" s="653"/>
      <c r="D87" s="653"/>
      <c r="E87" s="653"/>
      <c r="F87" s="653"/>
      <c r="G87" s="653"/>
      <c r="H87" s="462"/>
      <c r="I87" s="462"/>
      <c r="J87" s="462"/>
      <c r="K87" s="462"/>
      <c r="L87" s="462"/>
      <c r="M87" s="462"/>
      <c r="N87" s="462"/>
      <c r="O87" s="462"/>
      <c r="P87" s="462"/>
      <c r="Q87" s="462"/>
      <c r="R87" s="462">
        <v>0</v>
      </c>
      <c r="S87" s="462">
        <v>0</v>
      </c>
      <c r="T87" s="462"/>
      <c r="U87" s="462"/>
      <c r="V87" s="462"/>
      <c r="W87" s="462"/>
      <c r="X87" s="462"/>
      <c r="Y87" s="462"/>
      <c r="Z87" s="462"/>
      <c r="AA87" s="462"/>
      <c r="AB87" s="462">
        <v>0</v>
      </c>
      <c r="AC87" s="462"/>
      <c r="AD87" s="462">
        <v>0</v>
      </c>
    </row>
    <row r="88" ht="27.75" customHeight="1" spans="1:30" s="649" customFormat="1" x14ac:dyDescent="0.25">
      <c r="A88" s="662" t="s">
        <v>1703</v>
      </c>
      <c r="B88" s="653"/>
      <c r="C88" s="653"/>
      <c r="D88" s="653"/>
      <c r="E88" s="653"/>
      <c r="F88" s="653"/>
      <c r="G88" s="653"/>
      <c r="H88" s="462"/>
      <c r="I88" s="462"/>
      <c r="J88" s="462"/>
      <c r="K88" s="462"/>
      <c r="L88" s="462"/>
      <c r="M88" s="462"/>
      <c r="N88" s="462"/>
      <c r="O88" s="462"/>
      <c r="P88" s="462"/>
      <c r="Q88" s="462"/>
      <c r="R88" s="462">
        <v>0</v>
      </c>
      <c r="S88" s="462">
        <v>0</v>
      </c>
      <c r="T88" s="462"/>
      <c r="U88" s="462"/>
      <c r="V88" s="462"/>
      <c r="W88" s="462"/>
      <c r="X88" s="462"/>
      <c r="Y88" s="462"/>
      <c r="Z88" s="462"/>
      <c r="AA88" s="462"/>
      <c r="AB88" s="462">
        <v>0</v>
      </c>
      <c r="AC88" s="462"/>
      <c r="AD88" s="462">
        <v>0</v>
      </c>
    </row>
    <row r="89" ht="27.75" customHeight="1" spans="1:30" s="649" customFormat="1" x14ac:dyDescent="0.25">
      <c r="A89" s="662" t="s">
        <v>1704</v>
      </c>
      <c r="B89" s="653"/>
      <c r="C89" s="653"/>
      <c r="D89" s="653"/>
      <c r="E89" s="653"/>
      <c r="F89" s="653"/>
      <c r="G89" s="653"/>
      <c r="H89" s="462"/>
      <c r="I89" s="462"/>
      <c r="J89" s="462"/>
      <c r="K89" s="462"/>
      <c r="L89" s="462"/>
      <c r="M89" s="462"/>
      <c r="N89" s="462"/>
      <c r="O89" s="462"/>
      <c r="P89" s="462"/>
      <c r="Q89" s="462"/>
      <c r="R89" s="462">
        <v>0</v>
      </c>
      <c r="S89" s="462">
        <v>0</v>
      </c>
      <c r="T89" s="462"/>
      <c r="U89" s="462"/>
      <c r="V89" s="462"/>
      <c r="W89" s="462"/>
      <c r="X89" s="462"/>
      <c r="Y89" s="462"/>
      <c r="Z89" s="462"/>
      <c r="AA89" s="462"/>
      <c r="AB89" s="462">
        <v>0</v>
      </c>
      <c r="AC89" s="462"/>
      <c r="AD89" s="462">
        <v>0</v>
      </c>
    </row>
    <row r="90" ht="27.75" customHeight="1" spans="1:30" s="649" customFormat="1" x14ac:dyDescent="0.25">
      <c r="A90" s="662" t="s">
        <v>1705</v>
      </c>
      <c r="B90" s="653"/>
      <c r="C90" s="653"/>
      <c r="D90" s="653"/>
      <c r="E90" s="653"/>
      <c r="F90" s="653"/>
      <c r="G90" s="653"/>
      <c r="H90" s="462"/>
      <c r="I90" s="462"/>
      <c r="J90" s="462"/>
      <c r="K90" s="462"/>
      <c r="L90" s="462"/>
      <c r="M90" s="462"/>
      <c r="N90" s="462"/>
      <c r="O90" s="462"/>
      <c r="P90" s="462"/>
      <c r="Q90" s="462"/>
      <c r="R90" s="462">
        <v>0</v>
      </c>
      <c r="S90" s="462">
        <v>0</v>
      </c>
      <c r="T90" s="462"/>
      <c r="U90" s="462"/>
      <c r="V90" s="462"/>
      <c r="W90" s="462"/>
      <c r="X90" s="462"/>
      <c r="Y90" s="462"/>
      <c r="Z90" s="462"/>
      <c r="AA90" s="462"/>
      <c r="AB90" s="462">
        <v>0</v>
      </c>
      <c r="AC90" s="462"/>
      <c r="AD90" s="462">
        <v>0</v>
      </c>
    </row>
    <row r="91" ht="27.75" customHeight="1" spans="1:30" s="649" customFormat="1" x14ac:dyDescent="0.25">
      <c r="A91" s="662" t="s">
        <v>1706</v>
      </c>
      <c r="B91" s="653"/>
      <c r="C91" s="653"/>
      <c r="D91" s="653"/>
      <c r="E91" s="653"/>
      <c r="F91" s="653"/>
      <c r="G91" s="653"/>
      <c r="H91" s="462"/>
      <c r="I91" s="462"/>
      <c r="J91" s="462"/>
      <c r="K91" s="462"/>
      <c r="L91" s="462"/>
      <c r="M91" s="462"/>
      <c r="N91" s="462"/>
      <c r="O91" s="462"/>
      <c r="P91" s="462"/>
      <c r="Q91" s="462"/>
      <c r="R91" s="462">
        <v>0</v>
      </c>
      <c r="S91" s="462">
        <v>0</v>
      </c>
      <c r="T91" s="462"/>
      <c r="U91" s="462"/>
      <c r="V91" s="462"/>
      <c r="W91" s="462"/>
      <c r="X91" s="462"/>
      <c r="Y91" s="462"/>
      <c r="Z91" s="462"/>
      <c r="AA91" s="462"/>
      <c r="AB91" s="462">
        <v>0</v>
      </c>
      <c r="AC91" s="462"/>
      <c r="AD91" s="462">
        <v>0</v>
      </c>
    </row>
    <row r="92" ht="27.75" customHeight="1" spans="1:30" s="649" customFormat="1" x14ac:dyDescent="0.25">
      <c r="A92" s="662" t="s">
        <v>1707</v>
      </c>
      <c r="B92" s="653"/>
      <c r="C92" s="653"/>
      <c r="D92" s="653"/>
      <c r="E92" s="653"/>
      <c r="F92" s="653"/>
      <c r="G92" s="653"/>
      <c r="H92" s="462"/>
      <c r="I92" s="462"/>
      <c r="J92" s="462"/>
      <c r="K92" s="462"/>
      <c r="L92" s="462"/>
      <c r="M92" s="462"/>
      <c r="N92" s="462"/>
      <c r="O92" s="462"/>
      <c r="P92" s="462"/>
      <c r="Q92" s="462"/>
      <c r="R92" s="462">
        <v>0</v>
      </c>
      <c r="S92" s="462">
        <v>0</v>
      </c>
      <c r="T92" s="462"/>
      <c r="U92" s="462"/>
      <c r="V92" s="462"/>
      <c r="W92" s="462"/>
      <c r="X92" s="462"/>
      <c r="Y92" s="462"/>
      <c r="Z92" s="462"/>
      <c r="AA92" s="462"/>
      <c r="AB92" s="462">
        <v>0</v>
      </c>
      <c r="AC92" s="462"/>
      <c r="AD92" s="462">
        <v>0</v>
      </c>
    </row>
    <row r="93" ht="27.75" customHeight="1" spans="1:30" s="649" customFormat="1" x14ac:dyDescent="0.25">
      <c r="A93" s="662" t="s">
        <v>1708</v>
      </c>
      <c r="B93" s="653"/>
      <c r="C93" s="653"/>
      <c r="D93" s="653"/>
      <c r="E93" s="653"/>
      <c r="F93" s="653"/>
      <c r="G93" s="653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>
        <v>0</v>
      </c>
      <c r="S93" s="462">
        <v>0</v>
      </c>
      <c r="T93" s="462"/>
      <c r="U93" s="462"/>
      <c r="V93" s="462"/>
      <c r="W93" s="462"/>
      <c r="X93" s="462"/>
      <c r="Y93" s="462"/>
      <c r="Z93" s="462"/>
      <c r="AA93" s="462"/>
      <c r="AB93" s="462">
        <v>0</v>
      </c>
      <c r="AC93" s="462"/>
      <c r="AD93" s="462">
        <v>0</v>
      </c>
    </row>
    <row r="94" ht="27.75" customHeight="1" spans="1:30" s="649" customFormat="1" x14ac:dyDescent="0.25">
      <c r="A94" s="662" t="s">
        <v>1709</v>
      </c>
      <c r="B94" s="653"/>
      <c r="C94" s="653"/>
      <c r="D94" s="653"/>
      <c r="E94" s="653"/>
      <c r="F94" s="653"/>
      <c r="G94" s="653"/>
      <c r="H94" s="462"/>
      <c r="I94" s="462"/>
      <c r="J94" s="462"/>
      <c r="K94" s="462"/>
      <c r="L94" s="462"/>
      <c r="M94" s="462"/>
      <c r="N94" s="462"/>
      <c r="O94" s="462"/>
      <c r="P94" s="462"/>
      <c r="Q94" s="462"/>
      <c r="R94" s="462">
        <v>0</v>
      </c>
      <c r="S94" s="462">
        <v>0</v>
      </c>
      <c r="T94" s="462"/>
      <c r="U94" s="462"/>
      <c r="V94" s="462"/>
      <c r="W94" s="462"/>
      <c r="X94" s="462"/>
      <c r="Y94" s="462"/>
      <c r="Z94" s="462"/>
      <c r="AA94" s="462"/>
      <c r="AB94" s="462">
        <v>0</v>
      </c>
      <c r="AC94" s="462"/>
      <c r="AD94" s="462">
        <v>0</v>
      </c>
    </row>
    <row r="95" ht="27.75" customHeight="1" spans="1:30" s="649" customFormat="1" x14ac:dyDescent="0.25">
      <c r="A95" s="662" t="s">
        <v>1710</v>
      </c>
      <c r="B95" s="653"/>
      <c r="C95" s="653"/>
      <c r="D95" s="653"/>
      <c r="E95" s="653"/>
      <c r="F95" s="653"/>
      <c r="G95" s="653"/>
      <c r="H95" s="462"/>
      <c r="I95" s="462"/>
      <c r="J95" s="462"/>
      <c r="K95" s="462"/>
      <c r="L95" s="462"/>
      <c r="M95" s="462"/>
      <c r="N95" s="462"/>
      <c r="O95" s="462"/>
      <c r="P95" s="462"/>
      <c r="Q95" s="462"/>
      <c r="R95" s="462">
        <v>0</v>
      </c>
      <c r="S95" s="462">
        <v>0</v>
      </c>
      <c r="T95" s="462"/>
      <c r="U95" s="462"/>
      <c r="V95" s="462"/>
      <c r="W95" s="462"/>
      <c r="X95" s="462"/>
      <c r="Y95" s="462"/>
      <c r="Z95" s="462"/>
      <c r="AA95" s="462"/>
      <c r="AB95" s="462">
        <v>0</v>
      </c>
      <c r="AC95" s="462"/>
      <c r="AD95" s="462">
        <v>0</v>
      </c>
    </row>
    <row r="96" ht="27.75" customHeight="1" spans="1:30" s="649" customFormat="1" x14ac:dyDescent="0.25">
      <c r="A96" s="662" t="s">
        <v>1711</v>
      </c>
      <c r="B96" s="653"/>
      <c r="C96" s="653"/>
      <c r="D96" s="653"/>
      <c r="E96" s="653"/>
      <c r="F96" s="653"/>
      <c r="G96" s="653"/>
      <c r="H96" s="462"/>
      <c r="I96" s="462"/>
      <c r="J96" s="462"/>
      <c r="K96" s="462"/>
      <c r="L96" s="462"/>
      <c r="M96" s="462"/>
      <c r="N96" s="462"/>
      <c r="O96" s="462"/>
      <c r="P96" s="462"/>
      <c r="Q96" s="462"/>
      <c r="R96" s="462">
        <v>0</v>
      </c>
      <c r="S96" s="462">
        <v>0</v>
      </c>
      <c r="T96" s="462"/>
      <c r="U96" s="462"/>
      <c r="V96" s="462"/>
      <c r="W96" s="462"/>
      <c r="X96" s="462"/>
      <c r="Y96" s="462"/>
      <c r="Z96" s="462"/>
      <c r="AA96" s="462"/>
      <c r="AB96" s="462">
        <v>0</v>
      </c>
      <c r="AC96" s="462"/>
      <c r="AD96" s="462">
        <v>0</v>
      </c>
    </row>
    <row r="97" ht="27.75" customHeight="1" spans="1:30" s="649" customFormat="1" x14ac:dyDescent="0.25">
      <c r="A97" s="662" t="s">
        <v>1712</v>
      </c>
      <c r="B97" s="653"/>
      <c r="C97" s="653"/>
      <c r="D97" s="653"/>
      <c r="E97" s="653"/>
      <c r="F97" s="653"/>
      <c r="G97" s="653"/>
      <c r="H97" s="462"/>
      <c r="I97" s="462"/>
      <c r="J97" s="462"/>
      <c r="K97" s="462"/>
      <c r="L97" s="462"/>
      <c r="M97" s="462"/>
      <c r="N97" s="462"/>
      <c r="O97" s="462"/>
      <c r="P97" s="462"/>
      <c r="Q97" s="462"/>
      <c r="R97" s="462">
        <v>0</v>
      </c>
      <c r="S97" s="462">
        <v>0</v>
      </c>
      <c r="T97" s="462"/>
      <c r="U97" s="462"/>
      <c r="V97" s="462"/>
      <c r="W97" s="462"/>
      <c r="X97" s="462"/>
      <c r="Y97" s="462"/>
      <c r="Z97" s="462"/>
      <c r="AA97" s="462"/>
      <c r="AB97" s="462">
        <v>0</v>
      </c>
      <c r="AC97" s="462"/>
      <c r="AD97" s="462">
        <v>0</v>
      </c>
    </row>
    <row r="98" ht="27.75" customHeight="1" spans="1:30" s="649" customFormat="1" x14ac:dyDescent="0.25">
      <c r="A98" s="662" t="s">
        <v>1713</v>
      </c>
      <c r="B98" s="653"/>
      <c r="C98" s="653"/>
      <c r="D98" s="653"/>
      <c r="E98" s="653"/>
      <c r="F98" s="653"/>
      <c r="G98" s="653"/>
      <c r="H98" s="462"/>
      <c r="I98" s="462"/>
      <c r="J98" s="462"/>
      <c r="K98" s="462"/>
      <c r="L98" s="462"/>
      <c r="M98" s="462"/>
      <c r="N98" s="462"/>
      <c r="O98" s="462"/>
      <c r="P98" s="462"/>
      <c r="Q98" s="462"/>
      <c r="R98" s="462">
        <v>0</v>
      </c>
      <c r="S98" s="462">
        <v>0</v>
      </c>
      <c r="T98" s="462"/>
      <c r="U98" s="462"/>
      <c r="V98" s="462"/>
      <c r="W98" s="462"/>
      <c r="X98" s="462"/>
      <c r="Y98" s="462"/>
      <c r="Z98" s="462"/>
      <c r="AA98" s="462"/>
      <c r="AB98" s="462">
        <v>0</v>
      </c>
      <c r="AC98" s="462"/>
      <c r="AD98" s="462">
        <v>0</v>
      </c>
    </row>
    <row r="99" ht="27.75" customHeight="1" spans="1:30" s="649" customFormat="1" x14ac:dyDescent="0.25">
      <c r="A99" s="662" t="s">
        <v>1714</v>
      </c>
      <c r="B99" s="653"/>
      <c r="C99" s="653"/>
      <c r="D99" s="653"/>
      <c r="E99" s="653"/>
      <c r="F99" s="653"/>
      <c r="G99" s="653"/>
      <c r="H99" s="462"/>
      <c r="I99" s="462"/>
      <c r="J99" s="462"/>
      <c r="K99" s="462"/>
      <c r="L99" s="462"/>
      <c r="M99" s="462"/>
      <c r="N99" s="462"/>
      <c r="O99" s="462"/>
      <c r="P99" s="462"/>
      <c r="Q99" s="462"/>
      <c r="R99" s="462">
        <v>0</v>
      </c>
      <c r="S99" s="462">
        <v>0</v>
      </c>
      <c r="T99" s="462"/>
      <c r="U99" s="462"/>
      <c r="V99" s="462"/>
      <c r="W99" s="462"/>
      <c r="X99" s="462"/>
      <c r="Y99" s="462"/>
      <c r="Z99" s="462"/>
      <c r="AA99" s="462"/>
      <c r="AB99" s="462">
        <v>0</v>
      </c>
      <c r="AC99" s="462"/>
      <c r="AD99" s="462">
        <v>0</v>
      </c>
    </row>
    <row r="100" ht="27.75" customHeight="1" spans="1:30" s="649" customFormat="1" x14ac:dyDescent="0.25">
      <c r="A100" s="662" t="s">
        <v>1715</v>
      </c>
      <c r="B100" s="653"/>
      <c r="C100" s="653"/>
      <c r="D100" s="653"/>
      <c r="E100" s="653"/>
      <c r="F100" s="653"/>
      <c r="G100" s="653"/>
      <c r="H100" s="462"/>
      <c r="I100" s="462"/>
      <c r="J100" s="462"/>
      <c r="K100" s="462"/>
      <c r="L100" s="462"/>
      <c r="M100" s="462"/>
      <c r="N100" s="462"/>
      <c r="O100" s="462"/>
      <c r="P100" s="462"/>
      <c r="Q100" s="462"/>
      <c r="R100" s="462">
        <v>0</v>
      </c>
      <c r="S100" s="462">
        <v>0</v>
      </c>
      <c r="T100" s="462"/>
      <c r="U100" s="462"/>
      <c r="V100" s="462"/>
      <c r="W100" s="462"/>
      <c r="X100" s="462"/>
      <c r="Y100" s="462"/>
      <c r="Z100" s="462"/>
      <c r="AA100" s="462"/>
      <c r="AB100" s="462">
        <v>0</v>
      </c>
      <c r="AC100" s="462"/>
      <c r="AD100" s="462">
        <v>0</v>
      </c>
    </row>
    <row r="101" ht="27.75" customHeight="1" spans="1:30" s="649" customFormat="1" x14ac:dyDescent="0.25">
      <c r="A101" s="662" t="s">
        <v>1716</v>
      </c>
      <c r="B101" s="653"/>
      <c r="C101" s="653"/>
      <c r="D101" s="653"/>
      <c r="E101" s="653"/>
      <c r="F101" s="653"/>
      <c r="G101" s="653"/>
      <c r="H101" s="462"/>
      <c r="I101" s="462"/>
      <c r="J101" s="462"/>
      <c r="K101" s="462"/>
      <c r="L101" s="462"/>
      <c r="M101" s="462"/>
      <c r="N101" s="462"/>
      <c r="O101" s="462"/>
      <c r="P101" s="462"/>
      <c r="Q101" s="462"/>
      <c r="R101" s="462">
        <v>0</v>
      </c>
      <c r="S101" s="462">
        <v>0</v>
      </c>
      <c r="T101" s="462"/>
      <c r="U101" s="462"/>
      <c r="V101" s="462"/>
      <c r="W101" s="462"/>
      <c r="X101" s="462"/>
      <c r="Y101" s="462"/>
      <c r="Z101" s="462"/>
      <c r="AA101" s="462"/>
      <c r="AB101" s="462">
        <v>0</v>
      </c>
      <c r="AC101" s="462"/>
      <c r="AD101" s="462">
        <v>0</v>
      </c>
    </row>
    <row r="102" ht="27.75" customHeight="1" spans="1:30" s="649" customFormat="1" x14ac:dyDescent="0.25">
      <c r="A102" s="662" t="s">
        <v>1717</v>
      </c>
      <c r="B102" s="653"/>
      <c r="C102" s="653"/>
      <c r="D102" s="653"/>
      <c r="E102" s="653"/>
      <c r="F102" s="653"/>
      <c r="G102" s="653"/>
      <c r="H102" s="462"/>
      <c r="I102" s="462"/>
      <c r="J102" s="462"/>
      <c r="K102" s="462"/>
      <c r="L102" s="462"/>
      <c r="M102" s="462"/>
      <c r="N102" s="462"/>
      <c r="O102" s="462"/>
      <c r="P102" s="462"/>
      <c r="Q102" s="462"/>
      <c r="R102" s="462">
        <v>0</v>
      </c>
      <c r="S102" s="462">
        <v>0</v>
      </c>
      <c r="T102" s="462"/>
      <c r="U102" s="462"/>
      <c r="V102" s="462"/>
      <c r="W102" s="462"/>
      <c r="X102" s="462"/>
      <c r="Y102" s="462"/>
      <c r="Z102" s="462"/>
      <c r="AA102" s="462"/>
      <c r="AB102" s="462">
        <v>0</v>
      </c>
      <c r="AC102" s="462"/>
      <c r="AD102" s="462">
        <v>0</v>
      </c>
    </row>
    <row r="103" ht="27.75" customHeight="1" spans="1:30" s="649" customFormat="1" x14ac:dyDescent="0.25">
      <c r="A103" s="662" t="s">
        <v>1718</v>
      </c>
      <c r="B103" s="653"/>
      <c r="C103" s="653"/>
      <c r="D103" s="653"/>
      <c r="E103" s="653"/>
      <c r="F103" s="653"/>
      <c r="G103" s="653"/>
      <c r="H103" s="462"/>
      <c r="I103" s="462"/>
      <c r="J103" s="462"/>
      <c r="K103" s="462"/>
      <c r="L103" s="462"/>
      <c r="M103" s="462"/>
      <c r="N103" s="462"/>
      <c r="O103" s="462"/>
      <c r="P103" s="462"/>
      <c r="Q103" s="462"/>
      <c r="R103" s="462">
        <v>0</v>
      </c>
      <c r="S103" s="462">
        <v>0</v>
      </c>
      <c r="T103" s="462"/>
      <c r="U103" s="462"/>
      <c r="V103" s="462"/>
      <c r="W103" s="462"/>
      <c r="X103" s="462"/>
      <c r="Y103" s="462"/>
      <c r="Z103" s="462"/>
      <c r="AA103" s="462"/>
      <c r="AB103" s="462">
        <v>0</v>
      </c>
      <c r="AC103" s="462"/>
      <c r="AD103" s="462">
        <v>0</v>
      </c>
    </row>
    <row r="104" ht="27.75" customHeight="1" spans="1:30" s="649" customFormat="1" x14ac:dyDescent="0.25">
      <c r="A104" s="662" t="s">
        <v>1719</v>
      </c>
      <c r="B104" s="653"/>
      <c r="C104" s="653"/>
      <c r="D104" s="653"/>
      <c r="E104" s="653"/>
      <c r="F104" s="653"/>
      <c r="G104" s="653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>
        <v>0</v>
      </c>
      <c r="S104" s="462">
        <v>0</v>
      </c>
      <c r="T104" s="462"/>
      <c r="U104" s="462"/>
      <c r="V104" s="462"/>
      <c r="W104" s="462"/>
      <c r="X104" s="462"/>
      <c r="Y104" s="462"/>
      <c r="Z104" s="462"/>
      <c r="AA104" s="462"/>
      <c r="AB104" s="462">
        <v>0</v>
      </c>
      <c r="AC104" s="462"/>
      <c r="AD104" s="462">
        <v>0</v>
      </c>
    </row>
    <row r="105" ht="27.75" customHeight="1" spans="1:30" s="649" customFormat="1" x14ac:dyDescent="0.25">
      <c r="A105" s="662" t="s">
        <v>1720</v>
      </c>
      <c r="B105" s="653"/>
      <c r="C105" s="653"/>
      <c r="D105" s="653"/>
      <c r="E105" s="653"/>
      <c r="F105" s="653"/>
      <c r="G105" s="653"/>
      <c r="H105" s="462"/>
      <c r="I105" s="462"/>
      <c r="J105" s="462"/>
      <c r="K105" s="462"/>
      <c r="L105" s="462"/>
      <c r="M105" s="462"/>
      <c r="N105" s="462"/>
      <c r="O105" s="462"/>
      <c r="P105" s="462"/>
      <c r="Q105" s="462"/>
      <c r="R105" s="462">
        <v>0</v>
      </c>
      <c r="S105" s="462">
        <v>0</v>
      </c>
      <c r="T105" s="462"/>
      <c r="U105" s="462"/>
      <c r="V105" s="462"/>
      <c r="W105" s="462"/>
      <c r="X105" s="462"/>
      <c r="Y105" s="462"/>
      <c r="Z105" s="462"/>
      <c r="AA105" s="462"/>
      <c r="AB105" s="462">
        <v>0</v>
      </c>
      <c r="AC105" s="462"/>
      <c r="AD105" s="462">
        <v>0</v>
      </c>
    </row>
    <row r="106" ht="27.75" customHeight="1" spans="1:30" s="649" customFormat="1" x14ac:dyDescent="0.25">
      <c r="A106" s="662" t="s">
        <v>1721</v>
      </c>
      <c r="B106" s="653"/>
      <c r="C106" s="653"/>
      <c r="D106" s="653"/>
      <c r="E106" s="653"/>
      <c r="F106" s="653"/>
      <c r="G106" s="653"/>
      <c r="H106" s="462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>
        <v>0</v>
      </c>
      <c r="S106" s="462">
        <v>0</v>
      </c>
      <c r="T106" s="462"/>
      <c r="U106" s="462"/>
      <c r="V106" s="462"/>
      <c r="W106" s="462"/>
      <c r="X106" s="462"/>
      <c r="Y106" s="462"/>
      <c r="Z106" s="462"/>
      <c r="AA106" s="462"/>
      <c r="AB106" s="462">
        <v>0</v>
      </c>
      <c r="AC106" s="462"/>
      <c r="AD106" s="462">
        <v>0</v>
      </c>
    </row>
    <row r="107" ht="27.75" customHeight="1" spans="1:30" s="649" customFormat="1" x14ac:dyDescent="0.25">
      <c r="A107" s="662" t="s">
        <v>1722</v>
      </c>
      <c r="B107" s="653"/>
      <c r="C107" s="653"/>
      <c r="D107" s="653"/>
      <c r="E107" s="653"/>
      <c r="F107" s="653"/>
      <c r="G107" s="653"/>
      <c r="H107" s="462"/>
      <c r="I107" s="462"/>
      <c r="J107" s="462"/>
      <c r="K107" s="462"/>
      <c r="L107" s="462"/>
      <c r="M107" s="462"/>
      <c r="N107" s="462"/>
      <c r="O107" s="462"/>
      <c r="P107" s="462"/>
      <c r="Q107" s="462"/>
      <c r="R107" s="462">
        <v>0</v>
      </c>
      <c r="S107" s="462">
        <v>0</v>
      </c>
      <c r="T107" s="462"/>
      <c r="U107" s="462"/>
      <c r="V107" s="462"/>
      <c r="W107" s="462"/>
      <c r="X107" s="462"/>
      <c r="Y107" s="462"/>
      <c r="Z107" s="462"/>
      <c r="AA107" s="462"/>
      <c r="AB107" s="462">
        <v>0</v>
      </c>
      <c r="AC107" s="462"/>
      <c r="AD107" s="462">
        <v>0</v>
      </c>
    </row>
    <row r="108" ht="27.75" customHeight="1" spans="1:30" s="649" customFormat="1" x14ac:dyDescent="0.25">
      <c r="A108" s="662" t="s">
        <v>1723</v>
      </c>
      <c r="B108" s="653"/>
      <c r="C108" s="653"/>
      <c r="D108" s="653"/>
      <c r="E108" s="653"/>
      <c r="F108" s="653"/>
      <c r="G108" s="653"/>
      <c r="H108" s="462"/>
      <c r="I108" s="462"/>
      <c r="J108" s="462"/>
      <c r="K108" s="462"/>
      <c r="L108" s="462"/>
      <c r="M108" s="462"/>
      <c r="N108" s="462"/>
      <c r="O108" s="462"/>
      <c r="P108" s="462"/>
      <c r="Q108" s="462"/>
      <c r="R108" s="462">
        <v>0</v>
      </c>
      <c r="S108" s="462">
        <v>0</v>
      </c>
      <c r="T108" s="462"/>
      <c r="U108" s="462"/>
      <c r="V108" s="462"/>
      <c r="W108" s="462"/>
      <c r="X108" s="462"/>
      <c r="Y108" s="462"/>
      <c r="Z108" s="462"/>
      <c r="AA108" s="462"/>
      <c r="AB108" s="462">
        <v>0</v>
      </c>
      <c r="AC108" s="462"/>
      <c r="AD108" s="462">
        <v>0</v>
      </c>
    </row>
    <row r="109" ht="27.75" customHeight="1" spans="1:30" s="649" customFormat="1" x14ac:dyDescent="0.25">
      <c r="A109" s="662" t="s">
        <v>1724</v>
      </c>
      <c r="B109" s="653"/>
      <c r="C109" s="653"/>
      <c r="D109" s="653"/>
      <c r="E109" s="653"/>
      <c r="F109" s="653"/>
      <c r="G109" s="653"/>
      <c r="H109" s="462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>
        <v>0</v>
      </c>
      <c r="S109" s="462">
        <v>0</v>
      </c>
      <c r="T109" s="462"/>
      <c r="U109" s="462"/>
      <c r="V109" s="462"/>
      <c r="W109" s="462"/>
      <c r="X109" s="462"/>
      <c r="Y109" s="462"/>
      <c r="Z109" s="462"/>
      <c r="AA109" s="462"/>
      <c r="AB109" s="462">
        <v>0</v>
      </c>
      <c r="AC109" s="462"/>
      <c r="AD109" s="462">
        <v>0</v>
      </c>
    </row>
    <row r="110" ht="27.75" customHeight="1" spans="1:30" s="649" customFormat="1" x14ac:dyDescent="0.25">
      <c r="A110" s="662" t="s">
        <v>1725</v>
      </c>
      <c r="B110" s="653"/>
      <c r="C110" s="653"/>
      <c r="D110" s="653"/>
      <c r="E110" s="653"/>
      <c r="F110" s="653"/>
      <c r="G110" s="653"/>
      <c r="H110" s="462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>
        <v>0</v>
      </c>
      <c r="S110" s="462">
        <v>0</v>
      </c>
      <c r="T110" s="462"/>
      <c r="U110" s="462"/>
      <c r="V110" s="462"/>
      <c r="W110" s="462"/>
      <c r="X110" s="462"/>
      <c r="Y110" s="462"/>
      <c r="Z110" s="462"/>
      <c r="AA110" s="462"/>
      <c r="AB110" s="462">
        <v>0</v>
      </c>
      <c r="AC110" s="462"/>
      <c r="AD110" s="462">
        <v>0</v>
      </c>
    </row>
    <row r="111" ht="27.75" customHeight="1" spans="1:30" s="649" customFormat="1" x14ac:dyDescent="0.25">
      <c r="A111" s="662" t="s">
        <v>1726</v>
      </c>
      <c r="B111" s="653"/>
      <c r="C111" s="653"/>
      <c r="D111" s="653"/>
      <c r="E111" s="653"/>
      <c r="F111" s="653"/>
      <c r="G111" s="653"/>
      <c r="H111" s="462"/>
      <c r="I111" s="462"/>
      <c r="J111" s="462"/>
      <c r="K111" s="462"/>
      <c r="L111" s="462"/>
      <c r="M111" s="462"/>
      <c r="N111" s="462"/>
      <c r="O111" s="462"/>
      <c r="P111" s="462"/>
      <c r="Q111" s="462"/>
      <c r="R111" s="462">
        <v>0</v>
      </c>
      <c r="S111" s="462">
        <v>0</v>
      </c>
      <c r="T111" s="462"/>
      <c r="U111" s="462"/>
      <c r="V111" s="462"/>
      <c r="W111" s="462"/>
      <c r="X111" s="462"/>
      <c r="Y111" s="462"/>
      <c r="Z111" s="462"/>
      <c r="AA111" s="462"/>
      <c r="AB111" s="462">
        <v>0</v>
      </c>
      <c r="AC111" s="462"/>
      <c r="AD111" s="462">
        <v>0</v>
      </c>
    </row>
    <row r="112" ht="27.75" customHeight="1" spans="1:30" s="649" customFormat="1" x14ac:dyDescent="0.25">
      <c r="A112" s="662" t="s">
        <v>1727</v>
      </c>
      <c r="B112" s="653"/>
      <c r="C112" s="653"/>
      <c r="D112" s="653"/>
      <c r="E112" s="653"/>
      <c r="F112" s="653"/>
      <c r="G112" s="653"/>
      <c r="H112" s="462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>
        <v>0</v>
      </c>
      <c r="S112" s="462">
        <v>0</v>
      </c>
      <c r="T112" s="462"/>
      <c r="U112" s="462"/>
      <c r="V112" s="462"/>
      <c r="W112" s="462"/>
      <c r="X112" s="462"/>
      <c r="Y112" s="462"/>
      <c r="Z112" s="462"/>
      <c r="AA112" s="462"/>
      <c r="AB112" s="462">
        <v>0</v>
      </c>
      <c r="AC112" s="462"/>
      <c r="AD112" s="462">
        <v>0</v>
      </c>
    </row>
    <row r="113" ht="27.75" customHeight="1" spans="1:30" s="649" customFormat="1" x14ac:dyDescent="0.25">
      <c r="A113" s="662" t="s">
        <v>1728</v>
      </c>
      <c r="B113" s="653"/>
      <c r="C113" s="653"/>
      <c r="D113" s="653"/>
      <c r="E113" s="653"/>
      <c r="F113" s="653"/>
      <c r="G113" s="653"/>
      <c r="H113" s="462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>
        <v>0</v>
      </c>
      <c r="S113" s="462">
        <v>0</v>
      </c>
      <c r="T113" s="462"/>
      <c r="U113" s="462"/>
      <c r="V113" s="462"/>
      <c r="W113" s="462"/>
      <c r="X113" s="462"/>
      <c r="Y113" s="462"/>
      <c r="Z113" s="462"/>
      <c r="AA113" s="462"/>
      <c r="AB113" s="462">
        <v>0</v>
      </c>
      <c r="AC113" s="462"/>
      <c r="AD113" s="462">
        <v>0</v>
      </c>
    </row>
    <row r="114" ht="27.75" customHeight="1" spans="1:30" s="649" customFormat="1" x14ac:dyDescent="0.25">
      <c r="A114" s="662" t="s">
        <v>1729</v>
      </c>
      <c r="B114" s="653"/>
      <c r="C114" s="653"/>
      <c r="D114" s="653"/>
      <c r="E114" s="653"/>
      <c r="F114" s="653"/>
      <c r="G114" s="653"/>
      <c r="H114" s="462"/>
      <c r="I114" s="462"/>
      <c r="J114" s="462"/>
      <c r="K114" s="462"/>
      <c r="L114" s="462"/>
      <c r="M114" s="462"/>
      <c r="N114" s="462"/>
      <c r="O114" s="462"/>
      <c r="P114" s="462"/>
      <c r="Q114" s="462"/>
      <c r="R114" s="462">
        <v>0</v>
      </c>
      <c r="S114" s="462">
        <v>0</v>
      </c>
      <c r="T114" s="462"/>
      <c r="U114" s="462"/>
      <c r="V114" s="462"/>
      <c r="W114" s="462"/>
      <c r="X114" s="462"/>
      <c r="Y114" s="462"/>
      <c r="Z114" s="462"/>
      <c r="AA114" s="462"/>
      <c r="AB114" s="462">
        <v>0</v>
      </c>
      <c r="AC114" s="462"/>
      <c r="AD114" s="462">
        <v>0</v>
      </c>
    </row>
    <row r="115" ht="27.75" customHeight="1" spans="1:30" s="649" customFormat="1" x14ac:dyDescent="0.25">
      <c r="A115" s="662" t="s">
        <v>1730</v>
      </c>
      <c r="B115" s="653"/>
      <c r="C115" s="653"/>
      <c r="D115" s="653"/>
      <c r="E115" s="653"/>
      <c r="F115" s="653"/>
      <c r="G115" s="653"/>
      <c r="H115" s="462"/>
      <c r="I115" s="462"/>
      <c r="J115" s="462"/>
      <c r="K115" s="462"/>
      <c r="L115" s="462"/>
      <c r="M115" s="462"/>
      <c r="N115" s="462"/>
      <c r="O115" s="462"/>
      <c r="P115" s="462"/>
      <c r="Q115" s="462"/>
      <c r="R115" s="462">
        <v>0</v>
      </c>
      <c r="S115" s="462">
        <v>0</v>
      </c>
      <c r="T115" s="462"/>
      <c r="U115" s="462"/>
      <c r="V115" s="462"/>
      <c r="W115" s="462"/>
      <c r="X115" s="462"/>
      <c r="Y115" s="462"/>
      <c r="Z115" s="462"/>
      <c r="AA115" s="462"/>
      <c r="AB115" s="462">
        <v>0</v>
      </c>
      <c r="AC115" s="462"/>
      <c r="AD115" s="462">
        <v>0</v>
      </c>
    </row>
    <row r="116" ht="28.5" customHeight="1" spans="1:30" s="654" customFormat="1" x14ac:dyDescent="0.25">
      <c r="A116" s="662" t="s">
        <v>1731</v>
      </c>
      <c r="B116" s="655" t="s">
        <v>1605</v>
      </c>
      <c r="C116" s="655"/>
      <c r="D116" s="655"/>
      <c r="E116" s="655"/>
      <c r="F116" s="655"/>
      <c r="G116" s="655"/>
      <c r="H116" s="462"/>
      <c r="I116" s="462"/>
      <c r="J116" s="462"/>
      <c r="K116" s="462"/>
      <c r="L116" s="462"/>
      <c r="M116" s="462"/>
      <c r="N116" s="462"/>
      <c r="O116" s="462"/>
      <c r="P116" s="462"/>
      <c r="Q116" s="462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</row>
  </sheetData>
  <sheetProtection sheet="1" algorithmName="SHA-512" hashValue="V3Pz9JSt2f/wFLbK5Lt8Q038+KP1j3P7eguCGDAQREI3Ee6TcKI3IcaKIYTElNXkrRdYH2wWKEPO9BDOsQYEew==" saltValue="VmAmP9/7wdDVjMZgV4PlBA==" spinCount="100000" objects="1" scenarios="1"/>
  <mergeCells count="31">
    <mergeCell ref="A1:AC1"/>
    <mergeCell ref="B9:G9"/>
    <mergeCell ref="H9:O9"/>
    <mergeCell ref="R9:S12"/>
    <mergeCell ref="T9:Z9"/>
    <mergeCell ref="A9:A14"/>
    <mergeCell ref="P9:P14"/>
    <mergeCell ref="Q9:Q14"/>
    <mergeCell ref="T10:Y12"/>
    <mergeCell ref="AA9:AA14"/>
    <mergeCell ref="AB9:AB14"/>
    <mergeCell ref="AC9:AC14"/>
    <mergeCell ref="AD9:AD14"/>
    <mergeCell ref="B10:B14"/>
    <mergeCell ref="C10:C14"/>
    <mergeCell ref="D10:D14"/>
    <mergeCell ref="E10:E14"/>
    <mergeCell ref="F10:F14"/>
    <mergeCell ref="G10:G14"/>
    <mergeCell ref="J11:O12"/>
    <mergeCell ref="Z10:Z14"/>
    <mergeCell ref="H11:H14"/>
    <mergeCell ref="J13:L13"/>
    <mergeCell ref="M13:O13"/>
    <mergeCell ref="T13:V13"/>
    <mergeCell ref="W13:Y13"/>
    <mergeCell ref="I13:I14"/>
    <mergeCell ref="R13:R14"/>
    <mergeCell ref="S13:S14"/>
    <mergeCell ref="A15:G15"/>
    <mergeCell ref="B116:G116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23" fitToWidth="1" fitToHeight="1" firstPageNumber="1" useFirstPageNumber="1" copies="1"/>
  <headerFooter>
    <oddFooter>&amp;R&amp;P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31"/>
  <sheetViews>
    <sheetView workbookViewId="0" zoomScale="60" zoomScaleNormal="70" view="pageBreakPreview">
      <selection activeCell="AA11" sqref="AA11"/>
    </sheetView>
  </sheetViews>
  <sheetFormatPr defaultRowHeight="20.25" outlineLevelRow="0" outlineLevelCol="0" x14ac:dyDescent="0" defaultColWidth="10" customHeight="1"/>
  <cols>
    <col min="1" max="1" width="11.7265625" style="663" customWidth="1"/>
    <col min="2" max="2" width="19.1796875" style="663" customWidth="1"/>
    <col min="3" max="3" width="20.90625" style="663" customWidth="1"/>
    <col min="4" max="26" width="12.81640625" style="663" customWidth="1"/>
    <col min="27" max="27" width="14.90625" style="663" customWidth="1"/>
    <col min="28" max="16384" width="10" style="663" customWidth="1"/>
  </cols>
  <sheetData>
    <row r="1" ht="30.75" customHeight="1" spans="1:28" x14ac:dyDescent="0.25">
      <c r="A1" s="664" t="s">
        <v>1732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  <c r="AA1" s="665"/>
      <c r="AB1" s="665" t="s">
        <v>94</v>
      </c>
    </row>
    <row r="2" ht="31.5" customHeight="1" spans="4:1027" s="666" customFormat="1" x14ac:dyDescent="0.25">
      <c r="D2" s="667"/>
      <c r="E2" s="668"/>
      <c r="F2" s="669"/>
      <c r="G2" s="669"/>
      <c r="H2" s="669"/>
      <c r="I2" s="669"/>
      <c r="J2" s="669"/>
      <c r="K2" s="669"/>
      <c r="L2" s="670"/>
      <c r="M2" s="669"/>
      <c r="N2" s="669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  <c r="AM2" s="466"/>
      <c r="AN2" s="466"/>
      <c r="AO2" s="466"/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466"/>
      <c r="BB2" s="466"/>
      <c r="BC2" s="466"/>
      <c r="BD2" s="466"/>
      <c r="BE2" s="466"/>
      <c r="BF2" s="466"/>
      <c r="BG2" s="466"/>
      <c r="BH2" s="466"/>
      <c r="BI2" s="466"/>
      <c r="BJ2" s="466"/>
      <c r="BK2" s="466"/>
      <c r="BL2" s="466"/>
      <c r="BM2" s="466"/>
      <c r="BN2" s="466"/>
      <c r="BO2" s="466"/>
      <c r="BP2" s="466"/>
      <c r="BQ2" s="466"/>
      <c r="BR2" s="466"/>
      <c r="BS2" s="466"/>
      <c r="BT2" s="466"/>
      <c r="BU2" s="466"/>
      <c r="BV2" s="466"/>
      <c r="BW2" s="466"/>
      <c r="BX2" s="466"/>
      <c r="BY2" s="466"/>
      <c r="BZ2" s="466"/>
      <c r="CA2" s="466"/>
      <c r="CB2" s="466"/>
      <c r="CC2" s="466"/>
      <c r="CD2" s="466"/>
      <c r="CE2" s="466"/>
      <c r="CF2" s="466"/>
      <c r="CG2" s="466"/>
      <c r="CH2" s="466"/>
      <c r="CI2" s="466"/>
      <c r="CJ2" s="466"/>
      <c r="CK2" s="466"/>
      <c r="CL2" s="466"/>
      <c r="CM2" s="466"/>
      <c r="CN2" s="466"/>
      <c r="CO2" s="466"/>
      <c r="CP2" s="466"/>
      <c r="CQ2" s="466"/>
      <c r="CR2" s="466"/>
      <c r="CS2" s="466"/>
      <c r="CT2" s="466"/>
      <c r="CU2" s="466"/>
      <c r="CV2" s="466"/>
      <c r="CW2" s="466"/>
      <c r="CX2" s="466"/>
      <c r="CY2" s="466"/>
      <c r="CZ2" s="466"/>
      <c r="DA2" s="466"/>
      <c r="DB2" s="466"/>
      <c r="DC2" s="466"/>
      <c r="DD2" s="466"/>
      <c r="DE2" s="466"/>
      <c r="DF2" s="466"/>
      <c r="DG2" s="466"/>
      <c r="DH2" s="466"/>
      <c r="DI2" s="466"/>
      <c r="DJ2" s="466"/>
      <c r="DK2" s="466"/>
      <c r="DL2" s="466"/>
      <c r="DM2" s="466"/>
      <c r="DN2" s="466"/>
      <c r="DO2" s="466"/>
      <c r="DP2" s="466"/>
      <c r="DQ2" s="466"/>
      <c r="DR2" s="466"/>
      <c r="DS2" s="466"/>
      <c r="DT2" s="466"/>
      <c r="DU2" s="466"/>
      <c r="DV2" s="466"/>
      <c r="DW2" s="466"/>
      <c r="DX2" s="466"/>
      <c r="DY2" s="466"/>
      <c r="DZ2" s="466"/>
      <c r="EA2" s="466"/>
      <c r="EB2" s="466"/>
      <c r="EC2" s="466"/>
      <c r="ED2" s="466"/>
      <c r="EE2" s="466"/>
      <c r="EF2" s="466"/>
      <c r="EG2" s="466"/>
      <c r="EH2" s="466"/>
      <c r="EI2" s="466"/>
      <c r="EJ2" s="466"/>
      <c r="EK2" s="466"/>
      <c r="EL2" s="466"/>
      <c r="EM2" s="466"/>
      <c r="EN2" s="466"/>
      <c r="EO2" s="466"/>
      <c r="EP2" s="466"/>
      <c r="EQ2" s="466"/>
      <c r="ER2" s="466"/>
      <c r="ES2" s="466"/>
      <c r="ET2" s="466"/>
      <c r="EU2" s="466"/>
      <c r="EV2" s="466"/>
      <c r="EW2" s="466"/>
      <c r="EX2" s="466"/>
      <c r="EY2" s="466"/>
      <c r="EZ2" s="466"/>
      <c r="FA2" s="466"/>
      <c r="FB2" s="466"/>
      <c r="FC2" s="466"/>
      <c r="FD2" s="466"/>
      <c r="FE2" s="466"/>
      <c r="FF2" s="466"/>
      <c r="FG2" s="466"/>
      <c r="FH2" s="466"/>
      <c r="FI2" s="466"/>
      <c r="FJ2" s="466"/>
      <c r="FK2" s="466"/>
      <c r="FL2" s="466"/>
      <c r="FM2" s="466"/>
      <c r="FN2" s="466"/>
      <c r="FO2" s="466"/>
      <c r="FP2" s="466"/>
      <c r="FQ2" s="466"/>
      <c r="FR2" s="466"/>
      <c r="FS2" s="466"/>
      <c r="FT2" s="466"/>
      <c r="FU2" s="466"/>
      <c r="FV2" s="466"/>
      <c r="FW2" s="466"/>
      <c r="FX2" s="466"/>
      <c r="FY2" s="466"/>
      <c r="FZ2" s="466"/>
      <c r="GA2" s="466"/>
      <c r="GB2" s="466"/>
      <c r="GC2" s="466"/>
      <c r="GD2" s="466"/>
      <c r="GE2" s="466"/>
      <c r="GF2" s="466"/>
      <c r="GG2" s="466"/>
      <c r="GH2" s="466"/>
      <c r="GI2" s="466"/>
      <c r="GJ2" s="466"/>
      <c r="GK2" s="466"/>
      <c r="GL2" s="466"/>
      <c r="GM2" s="466"/>
      <c r="GN2" s="466"/>
      <c r="GO2" s="466"/>
      <c r="GP2" s="466"/>
      <c r="GQ2" s="466"/>
      <c r="GR2" s="466"/>
      <c r="GS2" s="466"/>
      <c r="GT2" s="466"/>
      <c r="GU2" s="466"/>
      <c r="GV2" s="466"/>
      <c r="GW2" s="466"/>
      <c r="GX2" s="466"/>
      <c r="GY2" s="466"/>
      <c r="GZ2" s="466"/>
      <c r="HA2" s="466"/>
      <c r="HB2" s="466"/>
      <c r="HC2" s="466"/>
      <c r="HD2" s="466"/>
      <c r="HE2" s="466"/>
      <c r="HF2" s="466"/>
      <c r="HG2" s="466"/>
      <c r="HH2" s="466"/>
      <c r="HI2" s="466"/>
      <c r="HJ2" s="466"/>
      <c r="HK2" s="466"/>
      <c r="HL2" s="466"/>
      <c r="HM2" s="466"/>
      <c r="HN2" s="466"/>
      <c r="HO2" s="466"/>
      <c r="HP2" s="466"/>
      <c r="HQ2" s="466"/>
      <c r="HR2" s="466"/>
      <c r="HS2" s="466"/>
      <c r="HT2" s="466"/>
      <c r="HU2" s="466"/>
      <c r="HV2" s="466"/>
      <c r="HW2" s="466"/>
      <c r="HX2" s="466"/>
      <c r="HY2" s="466"/>
      <c r="HZ2" s="466"/>
      <c r="IA2" s="466"/>
      <c r="IB2" s="466"/>
      <c r="IC2" s="466"/>
      <c r="ID2" s="466"/>
      <c r="IE2" s="466"/>
      <c r="IF2" s="466"/>
      <c r="IG2" s="466"/>
      <c r="IH2" s="466"/>
      <c r="II2" s="466"/>
      <c r="IJ2" s="466"/>
      <c r="IK2" s="466"/>
      <c r="IL2" s="466"/>
      <c r="IM2" s="466"/>
      <c r="IN2" s="466"/>
      <c r="IO2" s="466"/>
      <c r="IP2" s="466"/>
      <c r="IQ2" s="466"/>
      <c r="IR2" s="466"/>
      <c r="IS2" s="466"/>
      <c r="IT2" s="466"/>
      <c r="IU2" s="466"/>
      <c r="IV2" s="466"/>
      <c r="IW2" s="466"/>
      <c r="IX2" s="466"/>
      <c r="IY2" s="466"/>
      <c r="IZ2" s="466"/>
      <c r="JA2" s="466"/>
      <c r="JB2" s="466"/>
      <c r="JC2" s="466"/>
      <c r="JD2" s="466"/>
      <c r="JE2" s="466"/>
      <c r="JF2" s="466"/>
      <c r="JG2" s="466"/>
      <c r="JH2" s="466"/>
      <c r="JI2" s="466"/>
      <c r="JJ2" s="466"/>
      <c r="JK2" s="466"/>
      <c r="JL2" s="466"/>
      <c r="JM2" s="466"/>
      <c r="JN2" s="466"/>
      <c r="JO2" s="466"/>
      <c r="JP2" s="466"/>
      <c r="JQ2" s="466"/>
      <c r="JR2" s="466"/>
      <c r="JS2" s="466"/>
      <c r="JT2" s="466"/>
      <c r="JU2" s="466"/>
      <c r="JV2" s="466"/>
      <c r="JW2" s="466"/>
      <c r="JX2" s="466"/>
      <c r="JY2" s="466"/>
      <c r="JZ2" s="466"/>
      <c r="KA2" s="466"/>
      <c r="KB2" s="466"/>
      <c r="KC2" s="466"/>
      <c r="KD2" s="466"/>
      <c r="KE2" s="466"/>
      <c r="KF2" s="466"/>
      <c r="KG2" s="466"/>
      <c r="KH2" s="466"/>
      <c r="KI2" s="466"/>
      <c r="KJ2" s="466"/>
      <c r="KK2" s="466"/>
      <c r="KL2" s="466"/>
      <c r="KM2" s="466"/>
      <c r="KN2" s="466"/>
      <c r="KO2" s="466"/>
      <c r="KP2" s="466"/>
      <c r="KQ2" s="466"/>
      <c r="KR2" s="466"/>
      <c r="KS2" s="466"/>
      <c r="KT2" s="466"/>
      <c r="KU2" s="466"/>
      <c r="KV2" s="466"/>
      <c r="KW2" s="466"/>
      <c r="KX2" s="466"/>
      <c r="KY2" s="466"/>
      <c r="KZ2" s="466"/>
      <c r="LA2" s="466"/>
      <c r="LB2" s="466"/>
      <c r="LC2" s="466"/>
      <c r="LD2" s="466"/>
      <c r="LE2" s="466"/>
      <c r="LF2" s="466"/>
      <c r="LG2" s="466"/>
      <c r="LH2" s="466"/>
      <c r="LI2" s="466"/>
      <c r="LJ2" s="466"/>
      <c r="LK2" s="466"/>
      <c r="LL2" s="466"/>
      <c r="LM2" s="466"/>
      <c r="LN2" s="466"/>
      <c r="LO2" s="466"/>
      <c r="LP2" s="466"/>
      <c r="LQ2" s="466"/>
      <c r="LR2" s="466"/>
      <c r="LS2" s="466"/>
      <c r="LT2" s="466"/>
      <c r="LU2" s="466"/>
      <c r="LV2" s="466"/>
      <c r="LW2" s="466"/>
      <c r="LX2" s="466"/>
      <c r="LY2" s="466"/>
      <c r="LZ2" s="466"/>
      <c r="MA2" s="466"/>
      <c r="MB2" s="466"/>
      <c r="MC2" s="466"/>
      <c r="MD2" s="466"/>
      <c r="ME2" s="466"/>
      <c r="MF2" s="466"/>
      <c r="MG2" s="466"/>
      <c r="MH2" s="466"/>
      <c r="MI2" s="466"/>
      <c r="MJ2" s="466"/>
      <c r="MK2" s="466"/>
      <c r="ML2" s="466"/>
      <c r="MM2" s="466"/>
      <c r="MN2" s="466"/>
      <c r="MO2" s="466"/>
      <c r="MP2" s="466"/>
      <c r="MQ2" s="466"/>
      <c r="MR2" s="466"/>
      <c r="MS2" s="466"/>
      <c r="MT2" s="466"/>
      <c r="MU2" s="466"/>
      <c r="MV2" s="466"/>
      <c r="MW2" s="466"/>
      <c r="MX2" s="466"/>
      <c r="MY2" s="466"/>
      <c r="MZ2" s="466"/>
      <c r="NA2" s="466"/>
      <c r="NB2" s="466"/>
      <c r="NC2" s="466"/>
      <c r="ND2" s="466"/>
      <c r="NE2" s="466"/>
      <c r="NF2" s="466"/>
      <c r="NG2" s="466"/>
      <c r="NH2" s="466"/>
      <c r="NI2" s="466"/>
      <c r="NJ2" s="466"/>
      <c r="NK2" s="466"/>
      <c r="NL2" s="466"/>
      <c r="NM2" s="466"/>
      <c r="NN2" s="466"/>
      <c r="NO2" s="466"/>
      <c r="NP2" s="466"/>
      <c r="NQ2" s="466"/>
      <c r="NR2" s="466"/>
      <c r="NS2" s="466"/>
      <c r="NT2" s="466"/>
      <c r="NU2" s="466"/>
      <c r="NV2" s="466"/>
      <c r="NW2" s="466"/>
      <c r="NX2" s="466"/>
      <c r="NY2" s="466"/>
      <c r="NZ2" s="466"/>
      <c r="OA2" s="466"/>
      <c r="OB2" s="466"/>
      <c r="OC2" s="466"/>
      <c r="OD2" s="466"/>
      <c r="OE2" s="466"/>
      <c r="OF2" s="466"/>
      <c r="OG2" s="466"/>
      <c r="OH2" s="466"/>
      <c r="OI2" s="466"/>
      <c r="OJ2" s="466"/>
      <c r="OK2" s="466"/>
      <c r="OL2" s="466"/>
      <c r="OM2" s="466"/>
      <c r="ON2" s="466"/>
      <c r="OO2" s="466"/>
      <c r="OP2" s="466"/>
      <c r="OQ2" s="466"/>
      <c r="OR2" s="466"/>
      <c r="OS2" s="466"/>
      <c r="OT2" s="466"/>
      <c r="OU2" s="466"/>
      <c r="OV2" s="466"/>
      <c r="OW2" s="466"/>
      <c r="OX2" s="466"/>
      <c r="OY2" s="466"/>
      <c r="OZ2" s="466"/>
      <c r="PA2" s="466"/>
      <c r="PB2" s="466"/>
      <c r="PC2" s="466"/>
      <c r="PD2" s="466"/>
      <c r="PE2" s="466"/>
      <c r="PF2" s="466"/>
      <c r="PG2" s="466"/>
      <c r="PH2" s="466"/>
      <c r="PI2" s="466"/>
      <c r="PJ2" s="466"/>
      <c r="PK2" s="466"/>
      <c r="PL2" s="466"/>
      <c r="PM2" s="466"/>
      <c r="PN2" s="466"/>
      <c r="PO2" s="466"/>
      <c r="PP2" s="466"/>
      <c r="PQ2" s="466"/>
      <c r="PR2" s="466"/>
      <c r="PS2" s="466"/>
      <c r="PT2" s="466"/>
      <c r="PU2" s="466"/>
      <c r="PV2" s="466"/>
      <c r="PW2" s="466"/>
      <c r="PX2" s="466"/>
      <c r="PY2" s="466"/>
      <c r="PZ2" s="466"/>
      <c r="QA2" s="466"/>
      <c r="QB2" s="466"/>
      <c r="QC2" s="466"/>
      <c r="QD2" s="466"/>
      <c r="QE2" s="466"/>
      <c r="QF2" s="466"/>
      <c r="QG2" s="466"/>
      <c r="QH2" s="466"/>
      <c r="QI2" s="466"/>
      <c r="QJ2" s="466"/>
      <c r="QK2" s="466"/>
      <c r="QL2" s="466"/>
      <c r="QM2" s="466"/>
      <c r="QN2" s="466"/>
      <c r="QO2" s="466"/>
      <c r="QP2" s="466"/>
      <c r="QQ2" s="466"/>
      <c r="QR2" s="466"/>
      <c r="QS2" s="466"/>
      <c r="QT2" s="466"/>
      <c r="QU2" s="466"/>
      <c r="QV2" s="466"/>
      <c r="QW2" s="466"/>
      <c r="QX2" s="466"/>
      <c r="QY2" s="466"/>
      <c r="QZ2" s="466"/>
      <c r="RA2" s="466"/>
      <c r="RB2" s="466"/>
      <c r="RC2" s="466"/>
      <c r="RD2" s="466"/>
      <c r="RE2" s="466"/>
      <c r="RF2" s="466"/>
      <c r="RG2" s="466"/>
      <c r="RH2" s="466"/>
      <c r="RI2" s="466"/>
      <c r="RJ2" s="466"/>
      <c r="RK2" s="466"/>
      <c r="RL2" s="466"/>
      <c r="RM2" s="466"/>
      <c r="RN2" s="466"/>
      <c r="RO2" s="466"/>
      <c r="RP2" s="466"/>
      <c r="RQ2" s="466"/>
      <c r="RR2" s="466"/>
      <c r="RS2" s="466"/>
      <c r="RT2" s="466"/>
      <c r="RU2" s="466"/>
      <c r="RV2" s="466"/>
      <c r="RW2" s="466"/>
      <c r="RX2" s="466"/>
      <c r="RY2" s="466"/>
      <c r="RZ2" s="466"/>
      <c r="SA2" s="466"/>
      <c r="SB2" s="466"/>
      <c r="SC2" s="466"/>
      <c r="SD2" s="466"/>
      <c r="SE2" s="466"/>
      <c r="SF2" s="466"/>
      <c r="SG2" s="466"/>
      <c r="SH2" s="466"/>
      <c r="SI2" s="466"/>
      <c r="SJ2" s="466"/>
      <c r="SK2" s="466"/>
      <c r="SL2" s="466"/>
      <c r="SM2" s="466"/>
      <c r="SN2" s="466"/>
      <c r="SO2" s="466"/>
      <c r="SP2" s="466"/>
      <c r="SQ2" s="466"/>
      <c r="SR2" s="466"/>
      <c r="SS2" s="466"/>
      <c r="ST2" s="466"/>
      <c r="SU2" s="466"/>
      <c r="SV2" s="466"/>
      <c r="SW2" s="466"/>
      <c r="SX2" s="466"/>
      <c r="SY2" s="466"/>
      <c r="SZ2" s="466"/>
      <c r="TA2" s="466"/>
      <c r="TB2" s="466"/>
      <c r="TC2" s="466"/>
      <c r="TD2" s="466"/>
      <c r="TE2" s="466"/>
      <c r="TF2" s="466"/>
      <c r="TG2" s="466"/>
      <c r="TH2" s="466"/>
      <c r="TI2" s="466"/>
      <c r="TJ2" s="466"/>
      <c r="TK2" s="466"/>
      <c r="TL2" s="466"/>
      <c r="TM2" s="466"/>
      <c r="TN2" s="466"/>
      <c r="TO2" s="466"/>
      <c r="TP2" s="466"/>
      <c r="TQ2" s="466"/>
      <c r="TR2" s="466"/>
      <c r="TS2" s="466"/>
      <c r="TT2" s="466"/>
      <c r="TU2" s="466"/>
      <c r="TV2" s="466"/>
      <c r="TW2" s="466"/>
      <c r="TX2" s="466"/>
      <c r="TY2" s="466"/>
      <c r="TZ2" s="466"/>
      <c r="UA2" s="466"/>
      <c r="UB2" s="466"/>
      <c r="UC2" s="466"/>
      <c r="UD2" s="466"/>
      <c r="UE2" s="466"/>
      <c r="UF2" s="466"/>
      <c r="UG2" s="466"/>
      <c r="UH2" s="466"/>
      <c r="UI2" s="466"/>
      <c r="UJ2" s="466"/>
      <c r="UK2" s="466"/>
      <c r="UL2" s="466"/>
      <c r="UM2" s="466"/>
      <c r="UN2" s="466"/>
      <c r="UO2" s="466"/>
      <c r="UP2" s="466"/>
      <c r="UQ2" s="466"/>
      <c r="UR2" s="466"/>
      <c r="US2" s="466"/>
      <c r="UT2" s="466"/>
      <c r="UU2" s="466"/>
      <c r="UV2" s="466"/>
      <c r="UW2" s="466"/>
      <c r="UX2" s="466"/>
      <c r="UY2" s="466"/>
      <c r="UZ2" s="466"/>
      <c r="VA2" s="466"/>
      <c r="VB2" s="466"/>
      <c r="VC2" s="466"/>
      <c r="VD2" s="466"/>
      <c r="VE2" s="466"/>
      <c r="VF2" s="466"/>
      <c r="VG2" s="466"/>
      <c r="VH2" s="466"/>
      <c r="VI2" s="466"/>
      <c r="VJ2" s="466"/>
      <c r="VK2" s="466"/>
      <c r="VL2" s="466"/>
      <c r="VM2" s="466"/>
      <c r="VN2" s="466"/>
      <c r="VO2" s="466"/>
      <c r="VP2" s="466"/>
      <c r="VQ2" s="466"/>
      <c r="VR2" s="466"/>
      <c r="VS2" s="466"/>
      <c r="VT2" s="466"/>
      <c r="VU2" s="466"/>
      <c r="VV2" s="466"/>
      <c r="VW2" s="466"/>
      <c r="VX2" s="466"/>
      <c r="VY2" s="466"/>
      <c r="VZ2" s="466"/>
      <c r="WA2" s="466"/>
      <c r="WB2" s="466"/>
      <c r="WC2" s="466"/>
      <c r="WD2" s="466"/>
      <c r="WE2" s="466"/>
      <c r="WF2" s="466"/>
      <c r="WG2" s="466"/>
      <c r="WH2" s="466"/>
      <c r="WI2" s="466"/>
      <c r="WJ2" s="466"/>
      <c r="WK2" s="466"/>
      <c r="WL2" s="466"/>
      <c r="WM2" s="466"/>
      <c r="WN2" s="466"/>
      <c r="WO2" s="466"/>
      <c r="WP2" s="466"/>
      <c r="WQ2" s="466"/>
      <c r="WR2" s="466"/>
      <c r="WS2" s="466"/>
      <c r="WT2" s="466"/>
      <c r="WU2" s="466"/>
      <c r="WV2" s="466"/>
      <c r="WW2" s="466"/>
      <c r="WX2" s="466"/>
      <c r="WY2" s="466"/>
      <c r="WZ2" s="466"/>
      <c r="XA2" s="466"/>
      <c r="XB2" s="466"/>
      <c r="XC2" s="466"/>
      <c r="XD2" s="466"/>
      <c r="XE2" s="466"/>
      <c r="XF2" s="466"/>
      <c r="XG2" s="466"/>
      <c r="XH2" s="466"/>
      <c r="XI2" s="466"/>
      <c r="XJ2" s="466"/>
      <c r="XK2" s="466"/>
      <c r="XL2" s="466"/>
      <c r="XM2" s="466"/>
      <c r="XN2" s="466"/>
      <c r="XO2" s="466"/>
      <c r="XP2" s="466"/>
      <c r="XQ2" s="466"/>
      <c r="XR2" s="466"/>
      <c r="XS2" s="466"/>
      <c r="XT2" s="466"/>
      <c r="XU2" s="466"/>
      <c r="XV2" s="466"/>
      <c r="XW2" s="466"/>
      <c r="XX2" s="466"/>
      <c r="XY2" s="466"/>
      <c r="XZ2" s="466"/>
      <c r="YA2" s="466"/>
      <c r="YB2" s="466"/>
      <c r="YC2" s="466"/>
      <c r="YD2" s="466"/>
      <c r="YE2" s="466"/>
      <c r="YF2" s="466"/>
      <c r="YG2" s="466"/>
      <c r="YH2" s="466"/>
      <c r="YI2" s="466"/>
      <c r="YJ2" s="466"/>
      <c r="YK2" s="466"/>
      <c r="YL2" s="466"/>
      <c r="YM2" s="466"/>
      <c r="YN2" s="466"/>
      <c r="YO2" s="466"/>
      <c r="YP2" s="466"/>
      <c r="YQ2" s="466"/>
      <c r="YR2" s="466"/>
      <c r="YS2" s="466"/>
      <c r="YT2" s="466"/>
      <c r="YU2" s="466"/>
      <c r="YV2" s="466"/>
      <c r="YW2" s="466"/>
      <c r="YX2" s="466"/>
      <c r="YY2" s="466"/>
      <c r="YZ2" s="466"/>
      <c r="ZA2" s="466"/>
      <c r="ZB2" s="466"/>
      <c r="ZC2" s="466"/>
      <c r="ZD2" s="466"/>
      <c r="ZE2" s="466"/>
      <c r="ZF2" s="466"/>
      <c r="ZG2" s="466"/>
      <c r="ZH2" s="466"/>
      <c r="ZI2" s="466"/>
      <c r="ZJ2" s="466"/>
      <c r="ZK2" s="466"/>
      <c r="ZL2" s="466"/>
      <c r="ZM2" s="466"/>
      <c r="ZN2" s="466"/>
      <c r="ZO2" s="466"/>
      <c r="ZP2" s="466"/>
      <c r="ZQ2" s="466"/>
      <c r="ZR2" s="466"/>
      <c r="ZS2" s="466"/>
      <c r="ZT2" s="466"/>
      <c r="ZU2" s="466"/>
      <c r="ZV2" s="466"/>
      <c r="ZW2" s="466"/>
      <c r="ZX2" s="466"/>
      <c r="ZY2" s="466"/>
      <c r="ZZ2" s="466"/>
      <c r="AAA2" s="466"/>
      <c r="AAB2" s="466"/>
      <c r="AAC2" s="466"/>
      <c r="AAD2" s="466"/>
      <c r="AAE2" s="466"/>
      <c r="AAF2" s="466"/>
      <c r="AAG2" s="466"/>
      <c r="AAH2" s="466"/>
      <c r="AAI2" s="466"/>
      <c r="AAJ2" s="466"/>
      <c r="AAK2" s="466"/>
      <c r="AAL2" s="466"/>
      <c r="AAM2" s="466"/>
      <c r="AAN2" s="466"/>
      <c r="AAO2" s="466"/>
      <c r="AAP2" s="466"/>
      <c r="AAQ2" s="466"/>
      <c r="AAR2" s="466"/>
      <c r="AAS2" s="466"/>
      <c r="AAT2" s="466"/>
      <c r="AAU2" s="466"/>
      <c r="AAV2" s="466"/>
      <c r="AAW2" s="466"/>
      <c r="AAX2" s="466"/>
      <c r="AAY2" s="466"/>
      <c r="AAZ2" s="466"/>
      <c r="ABA2" s="466"/>
      <c r="ABB2" s="466"/>
      <c r="ABC2" s="466"/>
      <c r="ABD2" s="466"/>
      <c r="ABE2" s="466"/>
      <c r="ABF2" s="466"/>
      <c r="ABG2" s="466"/>
      <c r="ABH2" s="466"/>
      <c r="ABI2" s="466"/>
      <c r="ABJ2" s="466"/>
      <c r="ABK2" s="466"/>
      <c r="ABL2" s="466"/>
      <c r="ABM2" s="466"/>
      <c r="ABN2" s="466"/>
      <c r="ABO2" s="466"/>
      <c r="ABP2" s="466"/>
      <c r="ABQ2" s="466"/>
      <c r="ABR2" s="466"/>
      <c r="ABS2" s="466"/>
      <c r="ABT2" s="466"/>
      <c r="ABU2" s="466"/>
      <c r="ABV2" s="466"/>
      <c r="ABW2" s="466"/>
      <c r="ABX2" s="466"/>
      <c r="ABY2" s="466"/>
      <c r="ABZ2" s="466"/>
      <c r="ACA2" s="466"/>
      <c r="ACB2" s="466"/>
      <c r="ACC2" s="466"/>
      <c r="ACD2" s="466"/>
      <c r="ACE2" s="466"/>
      <c r="ACF2" s="466"/>
      <c r="ACG2" s="466"/>
      <c r="ACH2" s="466"/>
      <c r="ACI2" s="466"/>
      <c r="ACJ2" s="466"/>
      <c r="ACK2" s="466"/>
      <c r="ACL2" s="466"/>
      <c r="ACM2" s="466"/>
      <c r="ACN2" s="466"/>
      <c r="ACO2" s="466"/>
      <c r="ACP2" s="466"/>
      <c r="ACQ2" s="466"/>
      <c r="ACR2" s="466"/>
      <c r="ACS2" s="466"/>
      <c r="ACT2" s="466"/>
      <c r="ACU2" s="466"/>
      <c r="ACV2" s="466"/>
      <c r="ACW2" s="466"/>
      <c r="ACX2" s="466"/>
      <c r="ACY2" s="466"/>
      <c r="ACZ2" s="466"/>
      <c r="ADA2" s="466"/>
      <c r="ADB2" s="466"/>
      <c r="ADC2" s="466"/>
      <c r="ADD2" s="466"/>
      <c r="ADE2" s="466"/>
      <c r="ADF2" s="466"/>
      <c r="ADG2" s="466"/>
      <c r="ADH2" s="466"/>
      <c r="ADI2" s="466"/>
      <c r="ADJ2" s="466"/>
      <c r="ADK2" s="466"/>
      <c r="ADL2" s="466"/>
      <c r="ADM2" s="466"/>
      <c r="ADN2" s="466"/>
      <c r="ADO2" s="466"/>
      <c r="ADP2" s="466"/>
      <c r="ADQ2" s="466"/>
      <c r="ADR2" s="466"/>
      <c r="ADS2" s="466"/>
      <c r="ADT2" s="466"/>
      <c r="ADU2" s="466"/>
      <c r="ADV2" s="466"/>
      <c r="ADW2" s="466"/>
      <c r="ADX2" s="466"/>
      <c r="ADY2" s="466"/>
      <c r="ADZ2" s="466"/>
      <c r="AEA2" s="466"/>
      <c r="AEB2" s="466"/>
      <c r="AEC2" s="466"/>
      <c r="AED2" s="466"/>
      <c r="AEE2" s="466"/>
      <c r="AEF2" s="466"/>
      <c r="AEG2" s="466"/>
      <c r="AEH2" s="466"/>
      <c r="AEI2" s="466"/>
      <c r="AEJ2" s="466"/>
      <c r="AEK2" s="466"/>
      <c r="AEL2" s="466"/>
      <c r="AEM2" s="466"/>
      <c r="AEN2" s="466"/>
      <c r="AEO2" s="466"/>
      <c r="AEP2" s="466"/>
      <c r="AEQ2" s="466"/>
      <c r="AER2" s="466"/>
      <c r="AES2" s="466"/>
      <c r="AET2" s="466"/>
      <c r="AEU2" s="466"/>
      <c r="AEV2" s="466"/>
      <c r="AEW2" s="466"/>
      <c r="AEX2" s="466"/>
      <c r="AEY2" s="466"/>
      <c r="AEZ2" s="466"/>
      <c r="AFA2" s="466"/>
      <c r="AFB2" s="466"/>
      <c r="AFC2" s="466"/>
      <c r="AFD2" s="466"/>
      <c r="AFE2" s="466"/>
      <c r="AFF2" s="466"/>
      <c r="AFG2" s="466"/>
      <c r="AFH2" s="466"/>
      <c r="AFI2" s="466"/>
      <c r="AFJ2" s="466"/>
      <c r="AFK2" s="466"/>
      <c r="AFL2" s="466"/>
      <c r="AFM2" s="466"/>
      <c r="AFN2" s="466"/>
      <c r="AFO2" s="466"/>
      <c r="AFP2" s="466"/>
      <c r="AFQ2" s="466"/>
      <c r="AFR2" s="466"/>
      <c r="AFS2" s="466"/>
      <c r="AFT2" s="466"/>
      <c r="AFU2" s="466"/>
      <c r="AFV2" s="466"/>
      <c r="AFW2" s="466"/>
      <c r="AFX2" s="466"/>
      <c r="AFY2" s="466"/>
      <c r="AFZ2" s="466"/>
      <c r="AGA2" s="466"/>
      <c r="AGB2" s="466"/>
      <c r="AGC2" s="466"/>
      <c r="AGD2" s="466"/>
      <c r="AGE2" s="466"/>
      <c r="AGF2" s="466"/>
      <c r="AGG2" s="466"/>
      <c r="AGH2" s="466"/>
      <c r="AGI2" s="466"/>
      <c r="AGJ2" s="466"/>
      <c r="AGK2" s="466"/>
      <c r="AGL2" s="466"/>
      <c r="AGM2" s="466"/>
      <c r="AGN2" s="466"/>
      <c r="AGO2" s="466"/>
      <c r="AGP2" s="466"/>
      <c r="AGQ2" s="466"/>
      <c r="AGR2" s="466"/>
      <c r="AGS2" s="466"/>
      <c r="AGT2" s="466"/>
      <c r="AGU2" s="466"/>
      <c r="AGV2" s="466"/>
      <c r="AGW2" s="466"/>
      <c r="AGX2" s="466"/>
      <c r="AGY2" s="466"/>
      <c r="AGZ2" s="466"/>
      <c r="AHA2" s="466"/>
      <c r="AHB2" s="466"/>
      <c r="AHC2" s="466"/>
      <c r="AHD2" s="466"/>
      <c r="AHE2" s="466"/>
      <c r="AHF2" s="466"/>
      <c r="AHG2" s="466"/>
      <c r="AHH2" s="466"/>
      <c r="AHI2" s="466"/>
      <c r="AHJ2" s="466"/>
      <c r="AHK2" s="466"/>
      <c r="AHL2" s="466"/>
      <c r="AHM2" s="466"/>
      <c r="AHN2" s="466"/>
      <c r="AHO2" s="466"/>
      <c r="AHP2" s="466"/>
      <c r="AHQ2" s="466"/>
      <c r="AHR2" s="466"/>
      <c r="AHS2" s="466"/>
      <c r="AHT2" s="466"/>
      <c r="AHU2" s="466"/>
      <c r="AHV2" s="466"/>
      <c r="AHW2" s="466"/>
      <c r="AHX2" s="466"/>
      <c r="AHY2" s="466"/>
      <c r="AHZ2" s="466"/>
      <c r="AIA2" s="466"/>
      <c r="AIB2" s="466"/>
      <c r="AIC2" s="466"/>
      <c r="AID2" s="466"/>
      <c r="AIE2" s="466"/>
      <c r="AIF2" s="466"/>
      <c r="AIG2" s="466"/>
      <c r="AIH2" s="466"/>
      <c r="AII2" s="466"/>
      <c r="AIJ2" s="466"/>
      <c r="AIK2" s="466"/>
      <c r="AIL2" s="466"/>
      <c r="AIM2" s="466"/>
      <c r="AIN2" s="466"/>
      <c r="AIO2" s="466"/>
      <c r="AIP2" s="466"/>
      <c r="AIQ2" s="466"/>
      <c r="AIR2" s="466"/>
      <c r="AIS2" s="466"/>
      <c r="AIT2" s="466"/>
      <c r="AIU2" s="466"/>
      <c r="AIV2" s="466"/>
      <c r="AIW2" s="466"/>
      <c r="AIX2" s="466"/>
      <c r="AIY2" s="466"/>
      <c r="AIZ2" s="466"/>
      <c r="AJA2" s="466"/>
      <c r="AJB2" s="466"/>
      <c r="AJC2" s="466"/>
      <c r="AJD2" s="466"/>
      <c r="AJE2" s="466"/>
      <c r="AJF2" s="466"/>
      <c r="AJG2" s="466"/>
      <c r="AJH2" s="466"/>
      <c r="AJI2" s="466"/>
      <c r="AJJ2" s="466"/>
      <c r="AJK2" s="466"/>
      <c r="AJL2" s="466"/>
      <c r="AJM2" s="466"/>
      <c r="AJN2" s="466"/>
      <c r="AJO2" s="466"/>
      <c r="AJP2" s="466"/>
      <c r="AJQ2" s="466"/>
      <c r="AJR2" s="466"/>
      <c r="AJS2" s="466"/>
      <c r="AJT2" s="466"/>
      <c r="AJU2" s="466"/>
      <c r="AJV2" s="466"/>
      <c r="AJW2" s="466"/>
      <c r="AJX2" s="466"/>
      <c r="AJY2" s="466"/>
      <c r="AJZ2" s="466"/>
      <c r="AKA2" s="466"/>
      <c r="AKB2" s="466"/>
      <c r="AKC2" s="466"/>
      <c r="AKD2" s="466"/>
      <c r="AKE2" s="466"/>
      <c r="AKF2" s="466"/>
      <c r="AKG2" s="466"/>
      <c r="AKH2" s="466"/>
      <c r="AKI2" s="466"/>
      <c r="AKJ2" s="466"/>
      <c r="AKK2" s="466"/>
      <c r="AKL2" s="466"/>
      <c r="AKM2" s="466"/>
      <c r="AKN2" s="466"/>
      <c r="AKO2" s="466"/>
      <c r="AKP2" s="466"/>
      <c r="AKQ2" s="466"/>
      <c r="AKR2" s="466"/>
      <c r="AKS2" s="466"/>
      <c r="AKT2" s="466"/>
      <c r="AKU2" s="466"/>
      <c r="AKV2" s="466"/>
      <c r="AKW2" s="466"/>
      <c r="AKX2" s="466"/>
      <c r="AKY2" s="466"/>
      <c r="AKZ2" s="466"/>
      <c r="ALA2" s="466"/>
      <c r="ALB2" s="466"/>
      <c r="ALC2" s="466"/>
      <c r="ALD2" s="466"/>
      <c r="ALE2" s="466"/>
      <c r="ALF2" s="466"/>
      <c r="ALG2" s="466"/>
      <c r="ALH2" s="466"/>
      <c r="ALI2" s="466"/>
      <c r="ALJ2" s="466"/>
      <c r="ALK2" s="466"/>
      <c r="ALL2" s="466"/>
      <c r="ALM2" s="466"/>
      <c r="ALN2" s="466"/>
      <c r="ALO2" s="466"/>
      <c r="ALP2" s="466"/>
      <c r="ALQ2" s="466"/>
      <c r="ALR2" s="466"/>
      <c r="ALS2" s="466"/>
      <c r="ALT2" s="466"/>
      <c r="ALU2" s="466"/>
      <c r="ALV2" s="466"/>
      <c r="ALW2" s="466"/>
      <c r="ALX2" s="466"/>
      <c r="ALY2" s="466"/>
      <c r="ALZ2" s="466"/>
      <c r="AMA2" s="466"/>
      <c r="AMB2" s="466"/>
      <c r="AMC2" s="466"/>
      <c r="AMD2" s="466"/>
      <c r="AME2" s="466"/>
      <c r="AMF2" s="466"/>
      <c r="AMG2" s="466"/>
      <c r="AMH2" s="466"/>
      <c r="AMI2" s="466"/>
      <c r="AMJ2" s="466"/>
      <c r="AMK2" s="466"/>
      <c r="AML2" s="466"/>
      <c r="AMM2" s="466"/>
    </row>
    <row r="3" ht="20" customHeight="1" spans="4:14" s="656" customFormat="1" x14ac:dyDescent="0.25">
      <c r="D3" s="671"/>
      <c r="G3" s="672"/>
      <c r="H3" s="672"/>
      <c r="I3" s="672"/>
      <c r="J3" s="672"/>
      <c r="K3" s="672"/>
      <c r="L3" s="672"/>
      <c r="M3" s="672"/>
      <c r="N3" s="672"/>
    </row>
    <row r="4" ht="9.75" customHeight="1" spans="1:14" s="656" customFormat="1" x14ac:dyDescent="0.25">
      <c r="A4" s="671"/>
      <c r="B4" s="671"/>
      <c r="C4" s="671"/>
      <c r="E4" s="672"/>
      <c r="G4" s="672"/>
      <c r="H4" s="672"/>
      <c r="I4" s="672"/>
      <c r="J4" s="672"/>
      <c r="K4" s="672"/>
      <c r="L4" s="672"/>
      <c r="M4" s="672"/>
      <c r="N4" s="672"/>
    </row>
    <row r="5" ht="20" customHeight="1" spans="1:14" s="656" customFormat="1" x14ac:dyDescent="0.25">
      <c r="A5" s="671"/>
      <c r="B5" s="671"/>
      <c r="C5" s="671"/>
      <c r="E5" s="672"/>
      <c r="G5" s="672"/>
      <c r="H5" s="672"/>
      <c r="I5" s="672"/>
      <c r="J5" s="672"/>
      <c r="K5" s="672"/>
      <c r="L5" s="672"/>
      <c r="M5" s="672"/>
      <c r="N5" s="672"/>
    </row>
    <row r="6" ht="20" customHeight="1" spans="5:14" s="656" customFormat="1" x14ac:dyDescent="0.25">
      <c r="E6" s="672"/>
      <c r="G6" s="672"/>
      <c r="H6" s="672"/>
      <c r="I6" s="672"/>
      <c r="J6" s="672"/>
      <c r="K6" s="672"/>
      <c r="L6" s="672"/>
      <c r="M6" s="672"/>
      <c r="N6" s="672"/>
    </row>
    <row r="9" ht="43.5" customHeight="1" spans="1:28" s="673" customFormat="1" x14ac:dyDescent="0.25">
      <c r="A9" s="674" t="s">
        <v>113</v>
      </c>
      <c r="B9" s="674" t="s">
        <v>1507</v>
      </c>
      <c r="C9" s="674"/>
      <c r="D9" s="674" t="s">
        <v>1733</v>
      </c>
      <c r="E9" s="674"/>
      <c r="F9" s="674"/>
      <c r="G9" s="674"/>
      <c r="H9" s="674"/>
      <c r="I9" s="674"/>
      <c r="J9" s="674"/>
      <c r="K9" s="674"/>
      <c r="L9" s="674"/>
      <c r="M9" s="674"/>
      <c r="N9" s="674"/>
      <c r="O9" s="674"/>
      <c r="P9" s="674"/>
      <c r="Q9" s="674"/>
      <c r="R9" s="674"/>
      <c r="S9" s="674"/>
      <c r="T9" s="674"/>
      <c r="U9" s="674"/>
      <c r="V9" s="674"/>
      <c r="W9" s="674"/>
      <c r="X9" s="674"/>
      <c r="Y9" s="674"/>
      <c r="Z9" s="674"/>
      <c r="AA9" s="674"/>
      <c r="AB9" s="675" t="s">
        <v>818</v>
      </c>
    </row>
    <row r="10" ht="80" customHeight="1" spans="1:28" s="673" customFormat="1" x14ac:dyDescent="0.25">
      <c r="A10" s="674"/>
      <c r="B10" s="676" t="s">
        <v>1734</v>
      </c>
      <c r="C10" s="676" t="s">
        <v>1518</v>
      </c>
      <c r="D10" s="676" t="s">
        <v>1735</v>
      </c>
      <c r="E10" s="676" t="s">
        <v>1736</v>
      </c>
      <c r="F10" s="676" t="s">
        <v>1737</v>
      </c>
      <c r="G10" s="676" t="s">
        <v>1738</v>
      </c>
      <c r="H10" s="676" t="s">
        <v>1739</v>
      </c>
      <c r="I10" s="676" t="s">
        <v>1740</v>
      </c>
      <c r="J10" s="676" t="s">
        <v>1741</v>
      </c>
      <c r="K10" s="676" t="s">
        <v>1742</v>
      </c>
      <c r="L10" s="676" t="s">
        <v>1743</v>
      </c>
      <c r="M10" s="676" t="s">
        <v>1744</v>
      </c>
      <c r="N10" s="676" t="s">
        <v>1745</v>
      </c>
      <c r="O10" s="676" t="s">
        <v>1746</v>
      </c>
      <c r="P10" s="676" t="s">
        <v>1747</v>
      </c>
      <c r="Q10" s="676" t="s">
        <v>1748</v>
      </c>
      <c r="R10" s="676" t="s">
        <v>1749</v>
      </c>
      <c r="S10" s="676" t="s">
        <v>1750</v>
      </c>
      <c r="T10" s="676" t="s">
        <v>1751</v>
      </c>
      <c r="U10" s="676" t="s">
        <v>1752</v>
      </c>
      <c r="V10" s="676" t="s">
        <v>1753</v>
      </c>
      <c r="W10" s="676" t="s">
        <v>1754</v>
      </c>
      <c r="X10" s="676" t="s">
        <v>1755</v>
      </c>
      <c r="Y10" s="676" t="s">
        <v>1756</v>
      </c>
      <c r="Z10" s="676" t="s">
        <v>1757</v>
      </c>
      <c r="AA10" s="676" t="s">
        <v>1758</v>
      </c>
      <c r="AB10" s="675"/>
    </row>
    <row r="11" ht="27" customHeight="1" spans="1:28" s="673" customFormat="1" x14ac:dyDescent="0.25">
      <c r="A11" s="677" t="s">
        <v>1759</v>
      </c>
      <c r="B11" s="653"/>
      <c r="C11" s="653"/>
      <c r="D11" s="653">
        <v>0</v>
      </c>
      <c r="E11" s="653">
        <v>0</v>
      </c>
      <c r="F11" s="653">
        <v>0</v>
      </c>
      <c r="G11" s="653">
        <v>0</v>
      </c>
      <c r="H11" s="653">
        <v>0</v>
      </c>
      <c r="I11" s="653">
        <v>0</v>
      </c>
      <c r="J11" s="653">
        <v>0</v>
      </c>
      <c r="K11" s="653">
        <v>0</v>
      </c>
      <c r="L11" s="653">
        <v>0</v>
      </c>
      <c r="M11" s="653">
        <v>0</v>
      </c>
      <c r="N11" s="653">
        <v>0</v>
      </c>
      <c r="O11" s="653">
        <v>0</v>
      </c>
      <c r="P11" s="653">
        <v>0</v>
      </c>
      <c r="Q11" s="653">
        <v>0</v>
      </c>
      <c r="R11" s="653">
        <v>0</v>
      </c>
      <c r="S11" s="653">
        <v>0</v>
      </c>
      <c r="T11" s="653">
        <v>0</v>
      </c>
      <c r="U11" s="653">
        <v>0</v>
      </c>
      <c r="V11" s="653">
        <v>0</v>
      </c>
      <c r="W11" s="653">
        <v>0</v>
      </c>
      <c r="X11" s="653">
        <v>0</v>
      </c>
      <c r="Y11" s="653">
        <v>0</v>
      </c>
      <c r="Z11" s="653">
        <v>0</v>
      </c>
      <c r="AA11" s="653">
        <v>0</v>
      </c>
      <c r="AB11" s="653">
        <v>0</v>
      </c>
    </row>
    <row r="12" ht="27" customHeight="1" spans="1:28" s="673" customFormat="1" x14ac:dyDescent="0.25">
      <c r="A12" s="677" t="s">
        <v>1760</v>
      </c>
      <c r="B12" s="653"/>
      <c r="C12" s="653"/>
      <c r="D12" s="653">
        <v>0</v>
      </c>
      <c r="E12" s="653">
        <v>0</v>
      </c>
      <c r="F12" s="653">
        <v>0</v>
      </c>
      <c r="G12" s="653">
        <v>0</v>
      </c>
      <c r="H12" s="653">
        <v>0</v>
      </c>
      <c r="I12" s="653">
        <v>0</v>
      </c>
      <c r="J12" s="653">
        <v>0</v>
      </c>
      <c r="K12" s="653">
        <v>0</v>
      </c>
      <c r="L12" s="653">
        <v>0</v>
      </c>
      <c r="M12" s="653">
        <v>0</v>
      </c>
      <c r="N12" s="653">
        <v>0</v>
      </c>
      <c r="O12" s="653">
        <v>0</v>
      </c>
      <c r="P12" s="653">
        <v>0</v>
      </c>
      <c r="Q12" s="653">
        <v>0</v>
      </c>
      <c r="R12" s="653">
        <v>0</v>
      </c>
      <c r="S12" s="653">
        <v>0</v>
      </c>
      <c r="T12" s="653">
        <v>0</v>
      </c>
      <c r="U12" s="653">
        <v>0</v>
      </c>
      <c r="V12" s="653">
        <v>0</v>
      </c>
      <c r="W12" s="653">
        <v>0</v>
      </c>
      <c r="X12" s="653">
        <v>0</v>
      </c>
      <c r="Y12" s="653">
        <v>0</v>
      </c>
      <c r="Z12" s="653">
        <v>0</v>
      </c>
      <c r="AA12" s="653">
        <v>0</v>
      </c>
      <c r="AB12" s="653">
        <v>0</v>
      </c>
    </row>
    <row r="13" ht="27" customHeight="1" spans="1:28" s="673" customFormat="1" x14ac:dyDescent="0.25">
      <c r="A13" s="677" t="s">
        <v>1761</v>
      </c>
      <c r="B13" s="653"/>
      <c r="C13" s="653"/>
      <c r="D13" s="653">
        <v>0</v>
      </c>
      <c r="E13" s="653">
        <v>0</v>
      </c>
      <c r="F13" s="653">
        <v>0</v>
      </c>
      <c r="G13" s="653">
        <v>0</v>
      </c>
      <c r="H13" s="653">
        <v>0</v>
      </c>
      <c r="I13" s="653">
        <v>0</v>
      </c>
      <c r="J13" s="653">
        <v>0</v>
      </c>
      <c r="K13" s="653">
        <v>0</v>
      </c>
      <c r="L13" s="653">
        <v>0</v>
      </c>
      <c r="M13" s="653">
        <v>0</v>
      </c>
      <c r="N13" s="653">
        <v>0</v>
      </c>
      <c r="O13" s="653">
        <v>0</v>
      </c>
      <c r="P13" s="653">
        <v>0</v>
      </c>
      <c r="Q13" s="653">
        <v>0</v>
      </c>
      <c r="R13" s="653">
        <v>0</v>
      </c>
      <c r="S13" s="653">
        <v>0</v>
      </c>
      <c r="T13" s="653">
        <v>0</v>
      </c>
      <c r="U13" s="653">
        <v>0</v>
      </c>
      <c r="V13" s="653">
        <v>0</v>
      </c>
      <c r="W13" s="653">
        <v>0</v>
      </c>
      <c r="X13" s="653">
        <v>0</v>
      </c>
      <c r="Y13" s="653">
        <v>0</v>
      </c>
      <c r="Z13" s="653">
        <v>0</v>
      </c>
      <c r="AA13" s="653">
        <v>0</v>
      </c>
      <c r="AB13" s="653">
        <v>0</v>
      </c>
    </row>
    <row r="14" ht="27" customHeight="1" spans="1:28" s="673" customFormat="1" x14ac:dyDescent="0.25">
      <c r="A14" s="677" t="s">
        <v>1762</v>
      </c>
      <c r="B14" s="653"/>
      <c r="C14" s="653"/>
      <c r="D14" s="653">
        <v>0</v>
      </c>
      <c r="E14" s="653">
        <v>0</v>
      </c>
      <c r="F14" s="653">
        <v>0</v>
      </c>
      <c r="G14" s="653">
        <v>0</v>
      </c>
      <c r="H14" s="653">
        <v>0</v>
      </c>
      <c r="I14" s="653">
        <v>0</v>
      </c>
      <c r="J14" s="653">
        <v>0</v>
      </c>
      <c r="K14" s="653">
        <v>0</v>
      </c>
      <c r="L14" s="653">
        <v>0</v>
      </c>
      <c r="M14" s="653">
        <v>0</v>
      </c>
      <c r="N14" s="653">
        <v>0</v>
      </c>
      <c r="O14" s="653">
        <v>0</v>
      </c>
      <c r="P14" s="653">
        <v>0</v>
      </c>
      <c r="Q14" s="653">
        <v>0</v>
      </c>
      <c r="R14" s="653">
        <v>0</v>
      </c>
      <c r="S14" s="653">
        <v>0</v>
      </c>
      <c r="T14" s="653">
        <v>0</v>
      </c>
      <c r="U14" s="653">
        <v>0</v>
      </c>
      <c r="V14" s="653">
        <v>0</v>
      </c>
      <c r="W14" s="653">
        <v>0</v>
      </c>
      <c r="X14" s="653">
        <v>0</v>
      </c>
      <c r="Y14" s="653">
        <v>0</v>
      </c>
      <c r="Z14" s="653">
        <v>0</v>
      </c>
      <c r="AA14" s="653">
        <v>0</v>
      </c>
      <c r="AB14" s="653">
        <v>0</v>
      </c>
    </row>
    <row r="15" ht="27" customHeight="1" spans="1:28" s="673" customFormat="1" x14ac:dyDescent="0.25">
      <c r="A15" s="677" t="s">
        <v>1763</v>
      </c>
      <c r="B15" s="653"/>
      <c r="C15" s="653"/>
      <c r="D15" s="653">
        <v>0</v>
      </c>
      <c r="E15" s="653">
        <v>0</v>
      </c>
      <c r="F15" s="653">
        <v>0</v>
      </c>
      <c r="G15" s="653">
        <v>0</v>
      </c>
      <c r="H15" s="653">
        <v>0</v>
      </c>
      <c r="I15" s="653">
        <v>0</v>
      </c>
      <c r="J15" s="653">
        <v>0</v>
      </c>
      <c r="K15" s="653">
        <v>0</v>
      </c>
      <c r="L15" s="653">
        <v>0</v>
      </c>
      <c r="M15" s="653">
        <v>0</v>
      </c>
      <c r="N15" s="653">
        <v>0</v>
      </c>
      <c r="O15" s="653">
        <v>0</v>
      </c>
      <c r="P15" s="653">
        <v>0</v>
      </c>
      <c r="Q15" s="653">
        <v>0</v>
      </c>
      <c r="R15" s="653">
        <v>0</v>
      </c>
      <c r="S15" s="653">
        <v>0</v>
      </c>
      <c r="T15" s="653">
        <v>0</v>
      </c>
      <c r="U15" s="653">
        <v>0</v>
      </c>
      <c r="V15" s="653">
        <v>0</v>
      </c>
      <c r="W15" s="653">
        <v>0</v>
      </c>
      <c r="X15" s="653">
        <v>0</v>
      </c>
      <c r="Y15" s="653">
        <v>0</v>
      </c>
      <c r="Z15" s="653">
        <v>0</v>
      </c>
      <c r="AA15" s="653">
        <v>0</v>
      </c>
      <c r="AB15" s="653">
        <v>0</v>
      </c>
    </row>
    <row r="16" ht="27" customHeight="1" spans="1:28" s="673" customFormat="1" x14ac:dyDescent="0.25">
      <c r="A16" s="677" t="s">
        <v>1764</v>
      </c>
      <c r="B16" s="653"/>
      <c r="C16" s="653"/>
      <c r="D16" s="653">
        <v>0</v>
      </c>
      <c r="E16" s="653">
        <v>0</v>
      </c>
      <c r="F16" s="653">
        <v>0</v>
      </c>
      <c r="G16" s="653">
        <v>0</v>
      </c>
      <c r="H16" s="653">
        <v>0</v>
      </c>
      <c r="I16" s="653">
        <v>0</v>
      </c>
      <c r="J16" s="653">
        <v>0</v>
      </c>
      <c r="K16" s="653">
        <v>0</v>
      </c>
      <c r="L16" s="653">
        <v>0</v>
      </c>
      <c r="M16" s="653">
        <v>0</v>
      </c>
      <c r="N16" s="653">
        <v>0</v>
      </c>
      <c r="O16" s="653">
        <v>0</v>
      </c>
      <c r="P16" s="653">
        <v>0</v>
      </c>
      <c r="Q16" s="653">
        <v>0</v>
      </c>
      <c r="R16" s="653">
        <v>0</v>
      </c>
      <c r="S16" s="653">
        <v>0</v>
      </c>
      <c r="T16" s="653">
        <v>0</v>
      </c>
      <c r="U16" s="653">
        <v>0</v>
      </c>
      <c r="V16" s="653">
        <v>0</v>
      </c>
      <c r="W16" s="653">
        <v>0</v>
      </c>
      <c r="X16" s="653">
        <v>0</v>
      </c>
      <c r="Y16" s="653">
        <v>0</v>
      </c>
      <c r="Z16" s="653">
        <v>0</v>
      </c>
      <c r="AA16" s="653">
        <v>0</v>
      </c>
      <c r="AB16" s="653">
        <v>0</v>
      </c>
    </row>
    <row r="17" ht="27" customHeight="1" spans="1:28" s="673" customFormat="1" x14ac:dyDescent="0.25">
      <c r="A17" s="677" t="s">
        <v>1765</v>
      </c>
      <c r="B17" s="653"/>
      <c r="C17" s="653"/>
      <c r="D17" s="653">
        <v>0</v>
      </c>
      <c r="E17" s="653">
        <v>0</v>
      </c>
      <c r="F17" s="653">
        <v>0</v>
      </c>
      <c r="G17" s="653">
        <v>0</v>
      </c>
      <c r="H17" s="653">
        <v>0</v>
      </c>
      <c r="I17" s="653">
        <v>0</v>
      </c>
      <c r="J17" s="653">
        <v>0</v>
      </c>
      <c r="K17" s="653">
        <v>0</v>
      </c>
      <c r="L17" s="653">
        <v>0</v>
      </c>
      <c r="M17" s="653">
        <v>0</v>
      </c>
      <c r="N17" s="653">
        <v>0</v>
      </c>
      <c r="O17" s="653">
        <v>0</v>
      </c>
      <c r="P17" s="653">
        <v>0</v>
      </c>
      <c r="Q17" s="653">
        <v>0</v>
      </c>
      <c r="R17" s="653">
        <v>0</v>
      </c>
      <c r="S17" s="653">
        <v>0</v>
      </c>
      <c r="T17" s="653">
        <v>0</v>
      </c>
      <c r="U17" s="653">
        <v>0</v>
      </c>
      <c r="V17" s="653">
        <v>0</v>
      </c>
      <c r="W17" s="653">
        <v>0</v>
      </c>
      <c r="X17" s="653">
        <v>0</v>
      </c>
      <c r="Y17" s="653">
        <v>0</v>
      </c>
      <c r="Z17" s="653">
        <v>0</v>
      </c>
      <c r="AA17" s="653">
        <v>0</v>
      </c>
      <c r="AB17" s="653">
        <v>0</v>
      </c>
    </row>
    <row r="18" ht="27" customHeight="1" spans="1:28" s="673" customFormat="1" x14ac:dyDescent="0.25">
      <c r="A18" s="677" t="s">
        <v>1766</v>
      </c>
      <c r="B18" s="653"/>
      <c r="C18" s="653"/>
      <c r="D18" s="653">
        <v>0</v>
      </c>
      <c r="E18" s="653">
        <v>0</v>
      </c>
      <c r="F18" s="653">
        <v>0</v>
      </c>
      <c r="G18" s="653">
        <v>0</v>
      </c>
      <c r="H18" s="653">
        <v>0</v>
      </c>
      <c r="I18" s="653">
        <v>0</v>
      </c>
      <c r="J18" s="653">
        <v>0</v>
      </c>
      <c r="K18" s="653">
        <v>0</v>
      </c>
      <c r="L18" s="653">
        <v>0</v>
      </c>
      <c r="M18" s="653">
        <v>0</v>
      </c>
      <c r="N18" s="653">
        <v>0</v>
      </c>
      <c r="O18" s="653">
        <v>0</v>
      </c>
      <c r="P18" s="653">
        <v>0</v>
      </c>
      <c r="Q18" s="653">
        <v>0</v>
      </c>
      <c r="R18" s="653">
        <v>0</v>
      </c>
      <c r="S18" s="653">
        <v>0</v>
      </c>
      <c r="T18" s="653">
        <v>0</v>
      </c>
      <c r="U18" s="653">
        <v>0</v>
      </c>
      <c r="V18" s="653">
        <v>0</v>
      </c>
      <c r="W18" s="653">
        <v>0</v>
      </c>
      <c r="X18" s="653">
        <v>0</v>
      </c>
      <c r="Y18" s="653">
        <v>0</v>
      </c>
      <c r="Z18" s="653">
        <v>0</v>
      </c>
      <c r="AA18" s="653">
        <v>0</v>
      </c>
      <c r="AB18" s="653">
        <v>0</v>
      </c>
    </row>
    <row r="19" ht="27" customHeight="1" spans="1:28" s="673" customFormat="1" x14ac:dyDescent="0.25">
      <c r="A19" s="677" t="s">
        <v>1767</v>
      </c>
      <c r="B19" s="653"/>
      <c r="C19" s="653"/>
      <c r="D19" s="653">
        <v>0</v>
      </c>
      <c r="E19" s="653">
        <v>0</v>
      </c>
      <c r="F19" s="653">
        <v>0</v>
      </c>
      <c r="G19" s="653">
        <v>0</v>
      </c>
      <c r="H19" s="653">
        <v>0</v>
      </c>
      <c r="I19" s="653">
        <v>0</v>
      </c>
      <c r="J19" s="653">
        <v>0</v>
      </c>
      <c r="K19" s="653">
        <v>0</v>
      </c>
      <c r="L19" s="653">
        <v>0</v>
      </c>
      <c r="M19" s="653">
        <v>0</v>
      </c>
      <c r="N19" s="653">
        <v>0</v>
      </c>
      <c r="O19" s="653">
        <v>0</v>
      </c>
      <c r="P19" s="653">
        <v>0</v>
      </c>
      <c r="Q19" s="653">
        <v>0</v>
      </c>
      <c r="R19" s="653">
        <v>0</v>
      </c>
      <c r="S19" s="653">
        <v>0</v>
      </c>
      <c r="T19" s="653">
        <v>0</v>
      </c>
      <c r="U19" s="653">
        <v>0</v>
      </c>
      <c r="V19" s="653">
        <v>0</v>
      </c>
      <c r="W19" s="653">
        <v>0</v>
      </c>
      <c r="X19" s="653">
        <v>0</v>
      </c>
      <c r="Y19" s="653">
        <v>0</v>
      </c>
      <c r="Z19" s="653">
        <v>0</v>
      </c>
      <c r="AA19" s="653">
        <v>0</v>
      </c>
      <c r="AB19" s="653">
        <v>0</v>
      </c>
    </row>
    <row r="20" ht="27" customHeight="1" spans="1:28" s="673" customFormat="1" x14ac:dyDescent="0.25">
      <c r="A20" s="677" t="s">
        <v>1768</v>
      </c>
      <c r="B20" s="653"/>
      <c r="C20" s="653"/>
      <c r="D20" s="653">
        <v>0</v>
      </c>
      <c r="E20" s="653">
        <v>0</v>
      </c>
      <c r="F20" s="653">
        <v>0</v>
      </c>
      <c r="G20" s="653">
        <v>0</v>
      </c>
      <c r="H20" s="653">
        <v>0</v>
      </c>
      <c r="I20" s="653">
        <v>0</v>
      </c>
      <c r="J20" s="653">
        <v>0</v>
      </c>
      <c r="K20" s="653">
        <v>0</v>
      </c>
      <c r="L20" s="653">
        <v>0</v>
      </c>
      <c r="M20" s="653">
        <v>0</v>
      </c>
      <c r="N20" s="653">
        <v>0</v>
      </c>
      <c r="O20" s="653">
        <v>0</v>
      </c>
      <c r="P20" s="653">
        <v>0</v>
      </c>
      <c r="Q20" s="653">
        <v>0</v>
      </c>
      <c r="R20" s="653">
        <v>0</v>
      </c>
      <c r="S20" s="653">
        <v>0</v>
      </c>
      <c r="T20" s="653">
        <v>0</v>
      </c>
      <c r="U20" s="653">
        <v>0</v>
      </c>
      <c r="V20" s="653">
        <v>0</v>
      </c>
      <c r="W20" s="653">
        <v>0</v>
      </c>
      <c r="X20" s="653">
        <v>0</v>
      </c>
      <c r="Y20" s="653">
        <v>0</v>
      </c>
      <c r="Z20" s="653">
        <v>0</v>
      </c>
      <c r="AA20" s="653">
        <v>0</v>
      </c>
      <c r="AB20" s="653">
        <v>0</v>
      </c>
    </row>
    <row r="21" ht="27" customHeight="1" spans="1:28" s="673" customFormat="1" x14ac:dyDescent="0.25">
      <c r="A21" s="677" t="s">
        <v>1769</v>
      </c>
      <c r="B21" s="653"/>
      <c r="C21" s="653"/>
      <c r="D21" s="653">
        <v>0</v>
      </c>
      <c r="E21" s="653">
        <v>0</v>
      </c>
      <c r="F21" s="653">
        <v>0</v>
      </c>
      <c r="G21" s="653">
        <v>0</v>
      </c>
      <c r="H21" s="653">
        <v>0</v>
      </c>
      <c r="I21" s="653">
        <v>0</v>
      </c>
      <c r="J21" s="653">
        <v>0</v>
      </c>
      <c r="K21" s="653">
        <v>0</v>
      </c>
      <c r="L21" s="653">
        <v>0</v>
      </c>
      <c r="M21" s="653">
        <v>0</v>
      </c>
      <c r="N21" s="653">
        <v>0</v>
      </c>
      <c r="O21" s="653">
        <v>0</v>
      </c>
      <c r="P21" s="653">
        <v>0</v>
      </c>
      <c r="Q21" s="653">
        <v>0</v>
      </c>
      <c r="R21" s="653">
        <v>0</v>
      </c>
      <c r="S21" s="653">
        <v>0</v>
      </c>
      <c r="T21" s="653">
        <v>0</v>
      </c>
      <c r="U21" s="653">
        <v>0</v>
      </c>
      <c r="V21" s="653">
        <v>0</v>
      </c>
      <c r="W21" s="653">
        <v>0</v>
      </c>
      <c r="X21" s="653">
        <v>0</v>
      </c>
      <c r="Y21" s="653">
        <v>0</v>
      </c>
      <c r="Z21" s="653">
        <v>0</v>
      </c>
      <c r="AA21" s="653">
        <v>0</v>
      </c>
      <c r="AB21" s="653">
        <v>0</v>
      </c>
    </row>
    <row r="22" ht="27" customHeight="1" spans="1:28" s="673" customFormat="1" x14ac:dyDescent="0.25">
      <c r="A22" s="677" t="s">
        <v>1770</v>
      </c>
      <c r="B22" s="653"/>
      <c r="C22" s="653"/>
      <c r="D22" s="653">
        <v>0</v>
      </c>
      <c r="E22" s="653">
        <v>0</v>
      </c>
      <c r="F22" s="653">
        <v>0</v>
      </c>
      <c r="G22" s="653">
        <v>0</v>
      </c>
      <c r="H22" s="653">
        <v>0</v>
      </c>
      <c r="I22" s="653">
        <v>0</v>
      </c>
      <c r="J22" s="653">
        <v>0</v>
      </c>
      <c r="K22" s="653">
        <v>0</v>
      </c>
      <c r="L22" s="653">
        <v>0</v>
      </c>
      <c r="M22" s="653">
        <v>0</v>
      </c>
      <c r="N22" s="653">
        <v>0</v>
      </c>
      <c r="O22" s="653">
        <v>0</v>
      </c>
      <c r="P22" s="653">
        <v>0</v>
      </c>
      <c r="Q22" s="653">
        <v>0</v>
      </c>
      <c r="R22" s="653">
        <v>0</v>
      </c>
      <c r="S22" s="653">
        <v>0</v>
      </c>
      <c r="T22" s="653">
        <v>0</v>
      </c>
      <c r="U22" s="653">
        <v>0</v>
      </c>
      <c r="V22" s="653">
        <v>0</v>
      </c>
      <c r="W22" s="653">
        <v>0</v>
      </c>
      <c r="X22" s="653">
        <v>0</v>
      </c>
      <c r="Y22" s="653">
        <v>0</v>
      </c>
      <c r="Z22" s="653">
        <v>0</v>
      </c>
      <c r="AA22" s="653">
        <v>0</v>
      </c>
      <c r="AB22" s="653">
        <v>0</v>
      </c>
    </row>
    <row r="23" ht="27" customHeight="1" spans="1:28" s="673" customFormat="1" x14ac:dyDescent="0.25">
      <c r="A23" s="677" t="s">
        <v>1771</v>
      </c>
      <c r="B23" s="653"/>
      <c r="C23" s="653"/>
      <c r="D23" s="653">
        <v>0</v>
      </c>
      <c r="E23" s="653">
        <v>0</v>
      </c>
      <c r="F23" s="653">
        <v>0</v>
      </c>
      <c r="G23" s="653">
        <v>0</v>
      </c>
      <c r="H23" s="653">
        <v>0</v>
      </c>
      <c r="I23" s="653">
        <v>0</v>
      </c>
      <c r="J23" s="653">
        <v>0</v>
      </c>
      <c r="K23" s="653">
        <v>0</v>
      </c>
      <c r="L23" s="653">
        <v>0</v>
      </c>
      <c r="M23" s="653">
        <v>0</v>
      </c>
      <c r="N23" s="653">
        <v>0</v>
      </c>
      <c r="O23" s="653">
        <v>0</v>
      </c>
      <c r="P23" s="653">
        <v>0</v>
      </c>
      <c r="Q23" s="653">
        <v>0</v>
      </c>
      <c r="R23" s="653">
        <v>0</v>
      </c>
      <c r="S23" s="653">
        <v>0</v>
      </c>
      <c r="T23" s="653">
        <v>0</v>
      </c>
      <c r="U23" s="653">
        <v>0</v>
      </c>
      <c r="V23" s="653">
        <v>0</v>
      </c>
      <c r="W23" s="653">
        <v>0</v>
      </c>
      <c r="X23" s="653">
        <v>0</v>
      </c>
      <c r="Y23" s="653">
        <v>0</v>
      </c>
      <c r="Z23" s="653">
        <v>0</v>
      </c>
      <c r="AA23" s="653">
        <v>0</v>
      </c>
      <c r="AB23" s="653">
        <v>0</v>
      </c>
    </row>
    <row r="24" ht="27" customHeight="1" spans="1:28" s="673" customFormat="1" x14ac:dyDescent="0.25">
      <c r="A24" s="677" t="s">
        <v>1772</v>
      </c>
      <c r="B24" s="653"/>
      <c r="C24" s="653"/>
      <c r="D24" s="653">
        <v>0</v>
      </c>
      <c r="E24" s="653">
        <v>0</v>
      </c>
      <c r="F24" s="653">
        <v>0</v>
      </c>
      <c r="G24" s="653">
        <v>0</v>
      </c>
      <c r="H24" s="653">
        <v>0</v>
      </c>
      <c r="I24" s="653">
        <v>0</v>
      </c>
      <c r="J24" s="653">
        <v>0</v>
      </c>
      <c r="K24" s="653">
        <v>0</v>
      </c>
      <c r="L24" s="653">
        <v>0</v>
      </c>
      <c r="M24" s="653">
        <v>0</v>
      </c>
      <c r="N24" s="653">
        <v>0</v>
      </c>
      <c r="O24" s="653">
        <v>0</v>
      </c>
      <c r="P24" s="653">
        <v>0</v>
      </c>
      <c r="Q24" s="653">
        <v>0</v>
      </c>
      <c r="R24" s="653">
        <v>0</v>
      </c>
      <c r="S24" s="653">
        <v>0</v>
      </c>
      <c r="T24" s="653">
        <v>0</v>
      </c>
      <c r="U24" s="653">
        <v>0</v>
      </c>
      <c r="V24" s="653">
        <v>0</v>
      </c>
      <c r="W24" s="653">
        <v>0</v>
      </c>
      <c r="X24" s="653">
        <v>0</v>
      </c>
      <c r="Y24" s="653">
        <v>0</v>
      </c>
      <c r="Z24" s="653">
        <v>0</v>
      </c>
      <c r="AA24" s="653">
        <v>0</v>
      </c>
      <c r="AB24" s="653">
        <v>0</v>
      </c>
    </row>
    <row r="25" ht="27" customHeight="1" spans="1:28" s="673" customFormat="1" x14ac:dyDescent="0.25">
      <c r="A25" s="677" t="s">
        <v>1773</v>
      </c>
      <c r="B25" s="653"/>
      <c r="C25" s="653"/>
      <c r="D25" s="653">
        <v>0</v>
      </c>
      <c r="E25" s="653">
        <v>0</v>
      </c>
      <c r="F25" s="653">
        <v>0</v>
      </c>
      <c r="G25" s="653">
        <v>0</v>
      </c>
      <c r="H25" s="653">
        <v>0</v>
      </c>
      <c r="I25" s="653">
        <v>0</v>
      </c>
      <c r="J25" s="653">
        <v>0</v>
      </c>
      <c r="K25" s="653">
        <v>0</v>
      </c>
      <c r="L25" s="653">
        <v>0</v>
      </c>
      <c r="M25" s="653">
        <v>0</v>
      </c>
      <c r="N25" s="653">
        <v>0</v>
      </c>
      <c r="O25" s="653">
        <v>0</v>
      </c>
      <c r="P25" s="653">
        <v>0</v>
      </c>
      <c r="Q25" s="653">
        <v>0</v>
      </c>
      <c r="R25" s="653">
        <v>0</v>
      </c>
      <c r="S25" s="653">
        <v>0</v>
      </c>
      <c r="T25" s="653">
        <v>0</v>
      </c>
      <c r="U25" s="653">
        <v>0</v>
      </c>
      <c r="V25" s="653">
        <v>0</v>
      </c>
      <c r="W25" s="653">
        <v>0</v>
      </c>
      <c r="X25" s="653">
        <v>0</v>
      </c>
      <c r="Y25" s="653">
        <v>0</v>
      </c>
      <c r="Z25" s="653">
        <v>0</v>
      </c>
      <c r="AA25" s="653">
        <v>0</v>
      </c>
      <c r="AB25" s="653">
        <v>0</v>
      </c>
    </row>
    <row r="26" ht="27" customHeight="1" spans="1:28" s="673" customFormat="1" x14ac:dyDescent="0.25">
      <c r="A26" s="677" t="s">
        <v>1774</v>
      </c>
      <c r="B26" s="653"/>
      <c r="C26" s="653"/>
      <c r="D26" s="653">
        <v>0</v>
      </c>
      <c r="E26" s="653">
        <v>0</v>
      </c>
      <c r="F26" s="653">
        <v>0</v>
      </c>
      <c r="G26" s="653">
        <v>0</v>
      </c>
      <c r="H26" s="653">
        <v>0</v>
      </c>
      <c r="I26" s="653">
        <v>0</v>
      </c>
      <c r="J26" s="653">
        <v>0</v>
      </c>
      <c r="K26" s="653">
        <v>0</v>
      </c>
      <c r="L26" s="653">
        <v>0</v>
      </c>
      <c r="M26" s="653">
        <v>0</v>
      </c>
      <c r="N26" s="653">
        <v>0</v>
      </c>
      <c r="O26" s="653">
        <v>0</v>
      </c>
      <c r="P26" s="653">
        <v>0</v>
      </c>
      <c r="Q26" s="653">
        <v>0</v>
      </c>
      <c r="R26" s="653">
        <v>0</v>
      </c>
      <c r="S26" s="653">
        <v>0</v>
      </c>
      <c r="T26" s="653">
        <v>0</v>
      </c>
      <c r="U26" s="653">
        <v>0</v>
      </c>
      <c r="V26" s="653">
        <v>0</v>
      </c>
      <c r="W26" s="653">
        <v>0</v>
      </c>
      <c r="X26" s="653">
        <v>0</v>
      </c>
      <c r="Y26" s="653">
        <v>0</v>
      </c>
      <c r="Z26" s="653">
        <v>0</v>
      </c>
      <c r="AA26" s="653">
        <v>0</v>
      </c>
      <c r="AB26" s="653">
        <v>0</v>
      </c>
    </row>
    <row r="27" ht="27" customHeight="1" spans="1:28" s="673" customFormat="1" x14ac:dyDescent="0.25">
      <c r="A27" s="677" t="s">
        <v>1775</v>
      </c>
      <c r="B27" s="653"/>
      <c r="C27" s="653"/>
      <c r="D27" s="653">
        <v>0</v>
      </c>
      <c r="E27" s="653">
        <v>0</v>
      </c>
      <c r="F27" s="653">
        <v>0</v>
      </c>
      <c r="G27" s="653">
        <v>0</v>
      </c>
      <c r="H27" s="653">
        <v>0</v>
      </c>
      <c r="I27" s="653">
        <v>0</v>
      </c>
      <c r="J27" s="653">
        <v>0</v>
      </c>
      <c r="K27" s="653">
        <v>0</v>
      </c>
      <c r="L27" s="653">
        <v>0</v>
      </c>
      <c r="M27" s="653">
        <v>0</v>
      </c>
      <c r="N27" s="653">
        <v>0</v>
      </c>
      <c r="O27" s="653">
        <v>0</v>
      </c>
      <c r="P27" s="653">
        <v>0</v>
      </c>
      <c r="Q27" s="653">
        <v>0</v>
      </c>
      <c r="R27" s="653">
        <v>0</v>
      </c>
      <c r="S27" s="653">
        <v>0</v>
      </c>
      <c r="T27" s="653">
        <v>0</v>
      </c>
      <c r="U27" s="653">
        <v>0</v>
      </c>
      <c r="V27" s="653">
        <v>0</v>
      </c>
      <c r="W27" s="653">
        <v>0</v>
      </c>
      <c r="X27" s="653">
        <v>0</v>
      </c>
      <c r="Y27" s="653">
        <v>0</v>
      </c>
      <c r="Z27" s="653">
        <v>0</v>
      </c>
      <c r="AA27" s="653">
        <v>0</v>
      </c>
      <c r="AB27" s="653">
        <v>0</v>
      </c>
    </row>
    <row r="28" ht="27" customHeight="1" spans="1:28" s="673" customFormat="1" x14ac:dyDescent="0.25">
      <c r="A28" s="677" t="s">
        <v>1776</v>
      </c>
      <c r="B28" s="653"/>
      <c r="C28" s="653"/>
      <c r="D28" s="653">
        <v>0</v>
      </c>
      <c r="E28" s="653">
        <v>0</v>
      </c>
      <c r="F28" s="653">
        <v>0</v>
      </c>
      <c r="G28" s="653">
        <v>0</v>
      </c>
      <c r="H28" s="653">
        <v>0</v>
      </c>
      <c r="I28" s="653">
        <v>0</v>
      </c>
      <c r="J28" s="653">
        <v>0</v>
      </c>
      <c r="K28" s="653">
        <v>0</v>
      </c>
      <c r="L28" s="653">
        <v>0</v>
      </c>
      <c r="M28" s="653">
        <v>0</v>
      </c>
      <c r="N28" s="653">
        <v>0</v>
      </c>
      <c r="O28" s="653">
        <v>0</v>
      </c>
      <c r="P28" s="653">
        <v>0</v>
      </c>
      <c r="Q28" s="653">
        <v>0</v>
      </c>
      <c r="R28" s="653">
        <v>0</v>
      </c>
      <c r="S28" s="653">
        <v>0</v>
      </c>
      <c r="T28" s="653">
        <v>0</v>
      </c>
      <c r="U28" s="653">
        <v>0</v>
      </c>
      <c r="V28" s="653">
        <v>0</v>
      </c>
      <c r="W28" s="653">
        <v>0</v>
      </c>
      <c r="X28" s="653">
        <v>0</v>
      </c>
      <c r="Y28" s="653">
        <v>0</v>
      </c>
      <c r="Z28" s="653">
        <v>0</v>
      </c>
      <c r="AA28" s="653">
        <v>0</v>
      </c>
      <c r="AB28" s="653">
        <v>0</v>
      </c>
    </row>
    <row r="29" ht="27" customHeight="1" spans="1:28" s="673" customFormat="1" x14ac:dyDescent="0.25">
      <c r="A29" s="677" t="s">
        <v>1777</v>
      </c>
      <c r="B29" s="653"/>
      <c r="C29" s="653"/>
      <c r="D29" s="653">
        <v>0</v>
      </c>
      <c r="E29" s="653">
        <v>0</v>
      </c>
      <c r="F29" s="653">
        <v>0</v>
      </c>
      <c r="G29" s="653">
        <v>0</v>
      </c>
      <c r="H29" s="653">
        <v>0</v>
      </c>
      <c r="I29" s="653">
        <v>0</v>
      </c>
      <c r="J29" s="653">
        <v>0</v>
      </c>
      <c r="K29" s="653">
        <v>0</v>
      </c>
      <c r="L29" s="653">
        <v>0</v>
      </c>
      <c r="M29" s="653">
        <v>0</v>
      </c>
      <c r="N29" s="653">
        <v>0</v>
      </c>
      <c r="O29" s="653">
        <v>0</v>
      </c>
      <c r="P29" s="653">
        <v>0</v>
      </c>
      <c r="Q29" s="653">
        <v>0</v>
      </c>
      <c r="R29" s="653">
        <v>0</v>
      </c>
      <c r="S29" s="653">
        <v>0</v>
      </c>
      <c r="T29" s="653">
        <v>0</v>
      </c>
      <c r="U29" s="653">
        <v>0</v>
      </c>
      <c r="V29" s="653">
        <v>0</v>
      </c>
      <c r="W29" s="653">
        <v>0</v>
      </c>
      <c r="X29" s="653">
        <v>0</v>
      </c>
      <c r="Y29" s="653">
        <v>0</v>
      </c>
      <c r="Z29" s="653">
        <v>0</v>
      </c>
      <c r="AA29" s="653">
        <v>0</v>
      </c>
      <c r="AB29" s="653">
        <v>0</v>
      </c>
    </row>
    <row r="30" ht="27" customHeight="1" spans="1:28" s="673" customFormat="1" x14ac:dyDescent="0.25">
      <c r="A30" s="677" t="s">
        <v>1778</v>
      </c>
      <c r="B30" s="653"/>
      <c r="C30" s="653"/>
      <c r="D30" s="653">
        <v>0</v>
      </c>
      <c r="E30" s="653">
        <v>0</v>
      </c>
      <c r="F30" s="653">
        <v>0</v>
      </c>
      <c r="G30" s="653">
        <v>0</v>
      </c>
      <c r="H30" s="653">
        <v>0</v>
      </c>
      <c r="I30" s="653">
        <v>0</v>
      </c>
      <c r="J30" s="653">
        <v>0</v>
      </c>
      <c r="K30" s="653">
        <v>0</v>
      </c>
      <c r="L30" s="653">
        <v>0</v>
      </c>
      <c r="M30" s="653">
        <v>0</v>
      </c>
      <c r="N30" s="653">
        <v>0</v>
      </c>
      <c r="O30" s="653">
        <v>0</v>
      </c>
      <c r="P30" s="653">
        <v>0</v>
      </c>
      <c r="Q30" s="653">
        <v>0</v>
      </c>
      <c r="R30" s="653">
        <v>0</v>
      </c>
      <c r="S30" s="653">
        <v>0</v>
      </c>
      <c r="T30" s="653">
        <v>0</v>
      </c>
      <c r="U30" s="653">
        <v>0</v>
      </c>
      <c r="V30" s="653">
        <v>0</v>
      </c>
      <c r="W30" s="653">
        <v>0</v>
      </c>
      <c r="X30" s="653">
        <v>0</v>
      </c>
      <c r="Y30" s="653">
        <v>0</v>
      </c>
      <c r="Z30" s="653">
        <v>0</v>
      </c>
      <c r="AA30" s="653">
        <v>0</v>
      </c>
      <c r="AB30" s="653">
        <v>0</v>
      </c>
    </row>
    <row r="31" ht="20" customHeight="1" spans="1:28" s="678" customFormat="1" x14ac:dyDescent="0.25">
      <c r="A31" s="677" t="s">
        <v>1779</v>
      </c>
      <c r="B31" s="679" t="s">
        <v>818</v>
      </c>
      <c r="C31" s="679"/>
      <c r="D31" s="680">
        <v>0</v>
      </c>
      <c r="E31" s="680">
        <v>0</v>
      </c>
      <c r="F31" s="680">
        <v>0</v>
      </c>
      <c r="G31" s="680">
        <v>0</v>
      </c>
      <c r="H31" s="680">
        <v>0</v>
      </c>
      <c r="I31" s="680">
        <v>0</v>
      </c>
      <c r="J31" s="680">
        <v>0</v>
      </c>
      <c r="K31" s="680">
        <v>0</v>
      </c>
      <c r="L31" s="680">
        <v>0</v>
      </c>
      <c r="M31" s="680">
        <v>0</v>
      </c>
      <c r="N31" s="680">
        <v>0</v>
      </c>
      <c r="O31" s="680">
        <v>0</v>
      </c>
      <c r="P31" s="680">
        <v>0</v>
      </c>
      <c r="Q31" s="680">
        <v>0</v>
      </c>
      <c r="R31" s="680">
        <v>0</v>
      </c>
      <c r="S31" s="680">
        <v>0</v>
      </c>
      <c r="T31" s="680">
        <v>0</v>
      </c>
      <c r="U31" s="680">
        <v>0</v>
      </c>
      <c r="V31" s="680">
        <v>0</v>
      </c>
      <c r="W31" s="680">
        <v>0</v>
      </c>
      <c r="X31" s="680">
        <v>0</v>
      </c>
      <c r="Y31" s="680">
        <v>0</v>
      </c>
      <c r="Z31" s="680">
        <v>0</v>
      </c>
      <c r="AA31" s="680">
        <v>0</v>
      </c>
      <c r="AB31" s="680">
        <v>0</v>
      </c>
    </row>
  </sheetData>
  <sheetProtection sheet="1" algorithmName="SHA-512" hashValue="uLTQUjyr2kbNtrpj3UDifv9rXLrA9CefsuUF6gdEceJSLaM4/NnIOQHITWZFxx7REH3NWuvitbH9uVnK4O0tUg==" saltValue="N650w/8byCDJXQZavQfNbQ==" spinCount="100000" objects="1" scenarios="1"/>
  <mergeCells count="6">
    <mergeCell ref="A1:Z1"/>
    <mergeCell ref="B9:C9"/>
    <mergeCell ref="D9:AA9"/>
    <mergeCell ref="A9:A10"/>
    <mergeCell ref="AB9:AB10"/>
    <mergeCell ref="B31:C31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31" fitToWidth="1" fitToHeight="1" firstPageNumber="1" useFirstPageNumber="1" copies="1"/>
  <headerFooter>
    <oddFooter>&amp;R&amp;P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70"/>
  <sheetViews>
    <sheetView workbookViewId="0" zoomScale="90" zoomScaleNormal="80" view="pageBreakPreview">
      <selection activeCell="J69" sqref="J69"/>
    </sheetView>
  </sheetViews>
  <sheetFormatPr defaultRowHeight="20.25" outlineLevelRow="0" outlineLevelCol="0" x14ac:dyDescent="0" defaultColWidth="10" customHeight="1"/>
  <cols>
    <col min="1" max="1" width="10.90625" style="439" customWidth="1"/>
    <col min="2" max="2" width="23.90625" style="439" customWidth="1"/>
    <col min="3" max="3" width="35.36328125" style="439" customWidth="1"/>
    <col min="4" max="4" width="19.6328125" style="439" customWidth="1"/>
    <col min="5" max="5" width="27.81640625" style="439" customWidth="1"/>
    <col min="6" max="10" width="17" style="439" customWidth="1"/>
    <col min="11" max="16384" width="10" style="439" customWidth="1"/>
  </cols>
  <sheetData>
    <row r="1" ht="29.25" customHeight="1" spans="1:10" x14ac:dyDescent="0.25">
      <c r="A1" s="440" t="s">
        <v>1780</v>
      </c>
      <c r="B1" s="440"/>
      <c r="C1" s="440"/>
      <c r="D1" s="440"/>
      <c r="E1" s="440"/>
      <c r="F1" s="440"/>
      <c r="G1" s="440"/>
      <c r="H1" s="440"/>
      <c r="I1" s="440"/>
      <c r="J1" s="441" t="s">
        <v>96</v>
      </c>
    </row>
    <row r="2" ht="31.5" customHeight="1" spans="2:1023" s="442" customFormat="1" x14ac:dyDescent="0.25">
      <c r="B2" s="443"/>
      <c r="C2" s="444"/>
      <c r="D2" s="445"/>
      <c r="E2" s="445"/>
      <c r="F2" s="445"/>
      <c r="G2" s="445"/>
      <c r="H2" s="445"/>
      <c r="I2" s="445"/>
      <c r="J2" s="446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39"/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39"/>
      <c r="BA2" s="439"/>
      <c r="BB2" s="439"/>
      <c r="BC2" s="439"/>
      <c r="BD2" s="439"/>
      <c r="BE2" s="439"/>
      <c r="BF2" s="439"/>
      <c r="BG2" s="439"/>
      <c r="BH2" s="439"/>
      <c r="BI2" s="439"/>
      <c r="BJ2" s="439"/>
      <c r="BK2" s="439"/>
      <c r="BL2" s="439"/>
      <c r="BM2" s="439"/>
      <c r="BN2" s="439"/>
      <c r="BO2" s="439"/>
      <c r="BP2" s="439"/>
      <c r="BQ2" s="439"/>
      <c r="BR2" s="439"/>
      <c r="BS2" s="439"/>
      <c r="BT2" s="439"/>
      <c r="BU2" s="439"/>
      <c r="BV2" s="439"/>
      <c r="BW2" s="439"/>
      <c r="BX2" s="439"/>
      <c r="BY2" s="439"/>
      <c r="BZ2" s="439"/>
      <c r="CA2" s="439"/>
      <c r="CB2" s="439"/>
      <c r="CC2" s="439"/>
      <c r="CD2" s="439"/>
      <c r="CE2" s="439"/>
      <c r="CF2" s="439"/>
      <c r="CG2" s="439"/>
      <c r="CH2" s="439"/>
      <c r="CI2" s="439"/>
      <c r="CJ2" s="439"/>
      <c r="CK2" s="439"/>
      <c r="CL2" s="439"/>
      <c r="CM2" s="439"/>
      <c r="CN2" s="439"/>
      <c r="CO2" s="439"/>
      <c r="CP2" s="439"/>
      <c r="CQ2" s="439"/>
      <c r="CR2" s="439"/>
      <c r="CS2" s="439"/>
      <c r="CT2" s="439"/>
      <c r="CU2" s="439"/>
      <c r="CV2" s="439"/>
      <c r="CW2" s="439"/>
      <c r="CX2" s="439"/>
      <c r="CY2" s="439"/>
      <c r="CZ2" s="439"/>
      <c r="DA2" s="439"/>
      <c r="DB2" s="439"/>
      <c r="DC2" s="439"/>
      <c r="DD2" s="439"/>
      <c r="DE2" s="439"/>
      <c r="DF2" s="439"/>
      <c r="DG2" s="439"/>
      <c r="DH2" s="439"/>
      <c r="DI2" s="439"/>
      <c r="DJ2" s="439"/>
      <c r="DK2" s="439"/>
      <c r="DL2" s="439"/>
      <c r="DM2" s="439"/>
      <c r="DN2" s="439"/>
      <c r="DO2" s="439"/>
      <c r="DP2" s="439"/>
      <c r="DQ2" s="439"/>
      <c r="DR2" s="439"/>
      <c r="DS2" s="439"/>
      <c r="DT2" s="439"/>
      <c r="DU2" s="439"/>
      <c r="DV2" s="439"/>
      <c r="DW2" s="439"/>
      <c r="DX2" s="439"/>
      <c r="DY2" s="439"/>
      <c r="DZ2" s="439"/>
      <c r="EA2" s="439"/>
      <c r="EB2" s="439"/>
      <c r="EC2" s="439"/>
      <c r="ED2" s="439"/>
      <c r="EE2" s="439"/>
      <c r="EF2" s="439"/>
      <c r="EG2" s="439"/>
      <c r="EH2" s="439"/>
      <c r="EI2" s="439"/>
      <c r="EJ2" s="439"/>
      <c r="EK2" s="439"/>
      <c r="EL2" s="439"/>
      <c r="EM2" s="439"/>
      <c r="EN2" s="439"/>
      <c r="EO2" s="439"/>
      <c r="EP2" s="439"/>
      <c r="EQ2" s="439"/>
      <c r="ER2" s="439"/>
      <c r="ES2" s="439"/>
      <c r="ET2" s="439"/>
      <c r="EU2" s="439"/>
      <c r="EV2" s="439"/>
      <c r="EW2" s="439"/>
      <c r="EX2" s="439"/>
      <c r="EY2" s="439"/>
      <c r="EZ2" s="439"/>
      <c r="FA2" s="439"/>
      <c r="FB2" s="439"/>
      <c r="FC2" s="439"/>
      <c r="FD2" s="439"/>
      <c r="FE2" s="439"/>
      <c r="FF2" s="439"/>
      <c r="FG2" s="439"/>
      <c r="FH2" s="439"/>
      <c r="FI2" s="439"/>
      <c r="FJ2" s="439"/>
      <c r="FK2" s="439"/>
      <c r="FL2" s="439"/>
      <c r="FM2" s="439"/>
      <c r="FN2" s="439"/>
      <c r="FO2" s="439"/>
      <c r="FP2" s="439"/>
      <c r="FQ2" s="439"/>
      <c r="FR2" s="439"/>
      <c r="FS2" s="439"/>
      <c r="FT2" s="439"/>
      <c r="FU2" s="439"/>
      <c r="FV2" s="439"/>
      <c r="FW2" s="439"/>
      <c r="FX2" s="439"/>
      <c r="FY2" s="439"/>
      <c r="FZ2" s="439"/>
      <c r="GA2" s="439"/>
      <c r="GB2" s="439"/>
      <c r="GC2" s="439"/>
      <c r="GD2" s="439"/>
      <c r="GE2" s="439"/>
      <c r="GF2" s="439"/>
      <c r="GG2" s="439"/>
      <c r="GH2" s="439"/>
      <c r="GI2" s="439"/>
      <c r="GJ2" s="439"/>
      <c r="GK2" s="439"/>
      <c r="GL2" s="439"/>
      <c r="GM2" s="439"/>
      <c r="GN2" s="439"/>
      <c r="GO2" s="439"/>
      <c r="GP2" s="439"/>
      <c r="GQ2" s="439"/>
      <c r="GR2" s="439"/>
      <c r="GS2" s="439"/>
      <c r="GT2" s="439"/>
      <c r="GU2" s="439"/>
      <c r="GV2" s="439"/>
      <c r="GW2" s="439"/>
      <c r="GX2" s="439"/>
      <c r="GY2" s="439"/>
      <c r="GZ2" s="439"/>
      <c r="HA2" s="439"/>
      <c r="HB2" s="439"/>
      <c r="HC2" s="439"/>
      <c r="HD2" s="439"/>
      <c r="HE2" s="439"/>
      <c r="HF2" s="439"/>
      <c r="HG2" s="439"/>
      <c r="HH2" s="439"/>
      <c r="HI2" s="439"/>
      <c r="HJ2" s="439"/>
      <c r="HK2" s="439"/>
      <c r="HL2" s="439"/>
      <c r="HM2" s="439"/>
      <c r="HN2" s="439"/>
      <c r="HO2" s="439"/>
      <c r="HP2" s="439"/>
      <c r="HQ2" s="439"/>
      <c r="HR2" s="439"/>
      <c r="HS2" s="439"/>
      <c r="HT2" s="439"/>
      <c r="HU2" s="439"/>
      <c r="HV2" s="439"/>
      <c r="HW2" s="439"/>
      <c r="HX2" s="439"/>
      <c r="HY2" s="439"/>
      <c r="HZ2" s="439"/>
      <c r="IA2" s="439"/>
      <c r="IB2" s="439"/>
      <c r="IC2" s="439"/>
      <c r="ID2" s="439"/>
      <c r="IE2" s="439"/>
      <c r="IF2" s="439"/>
      <c r="IG2" s="439"/>
      <c r="IH2" s="439"/>
      <c r="II2" s="439"/>
      <c r="IJ2" s="439"/>
      <c r="IK2" s="439"/>
      <c r="IL2" s="439"/>
      <c r="IM2" s="439"/>
      <c r="IN2" s="439"/>
      <c r="IO2" s="439"/>
      <c r="IP2" s="439"/>
      <c r="IQ2" s="439"/>
      <c r="IR2" s="439"/>
      <c r="IS2" s="439"/>
      <c r="IT2" s="439"/>
      <c r="IU2" s="439"/>
      <c r="IV2" s="439"/>
      <c r="IW2" s="439"/>
      <c r="IX2" s="439"/>
      <c r="IY2" s="439"/>
      <c r="IZ2" s="439"/>
      <c r="JA2" s="439"/>
      <c r="JB2" s="439"/>
      <c r="JC2" s="439"/>
      <c r="JD2" s="439"/>
      <c r="JE2" s="439"/>
      <c r="JF2" s="439"/>
      <c r="JG2" s="439"/>
      <c r="JH2" s="439"/>
      <c r="JI2" s="439"/>
      <c r="JJ2" s="439"/>
      <c r="JK2" s="439"/>
      <c r="JL2" s="439"/>
      <c r="JM2" s="439"/>
      <c r="JN2" s="439"/>
      <c r="JO2" s="439"/>
      <c r="JP2" s="439"/>
      <c r="JQ2" s="439"/>
      <c r="JR2" s="439"/>
      <c r="JS2" s="439"/>
      <c r="JT2" s="439"/>
      <c r="JU2" s="439"/>
      <c r="JV2" s="439"/>
      <c r="JW2" s="439"/>
      <c r="JX2" s="439"/>
      <c r="JY2" s="439"/>
      <c r="JZ2" s="439"/>
      <c r="KA2" s="439"/>
      <c r="KB2" s="439"/>
      <c r="KC2" s="439"/>
      <c r="KD2" s="439"/>
      <c r="KE2" s="439"/>
      <c r="KF2" s="439"/>
      <c r="KG2" s="439"/>
      <c r="KH2" s="439"/>
      <c r="KI2" s="439"/>
      <c r="KJ2" s="439"/>
      <c r="KK2" s="439"/>
      <c r="KL2" s="439"/>
      <c r="KM2" s="439"/>
      <c r="KN2" s="439"/>
      <c r="KO2" s="439"/>
      <c r="KP2" s="439"/>
      <c r="KQ2" s="439"/>
      <c r="KR2" s="439"/>
      <c r="KS2" s="439"/>
      <c r="KT2" s="439"/>
      <c r="KU2" s="439"/>
      <c r="KV2" s="439"/>
      <c r="KW2" s="439"/>
      <c r="KX2" s="439"/>
      <c r="KY2" s="439"/>
      <c r="KZ2" s="439"/>
      <c r="LA2" s="439"/>
      <c r="LB2" s="439"/>
      <c r="LC2" s="439"/>
      <c r="LD2" s="439"/>
      <c r="LE2" s="439"/>
      <c r="LF2" s="439"/>
      <c r="LG2" s="439"/>
      <c r="LH2" s="439"/>
      <c r="LI2" s="439"/>
      <c r="LJ2" s="439"/>
      <c r="LK2" s="439"/>
      <c r="LL2" s="439"/>
      <c r="LM2" s="439"/>
      <c r="LN2" s="439"/>
      <c r="LO2" s="439"/>
      <c r="LP2" s="439"/>
      <c r="LQ2" s="439"/>
      <c r="LR2" s="439"/>
      <c r="LS2" s="439"/>
      <c r="LT2" s="439"/>
      <c r="LU2" s="439"/>
      <c r="LV2" s="439"/>
      <c r="LW2" s="439"/>
      <c r="LX2" s="439"/>
      <c r="LY2" s="439"/>
      <c r="LZ2" s="439"/>
      <c r="MA2" s="439"/>
      <c r="MB2" s="439"/>
      <c r="MC2" s="439"/>
      <c r="MD2" s="439"/>
      <c r="ME2" s="439"/>
      <c r="MF2" s="439"/>
      <c r="MG2" s="439"/>
      <c r="MH2" s="439"/>
      <c r="MI2" s="439"/>
      <c r="MJ2" s="439"/>
      <c r="MK2" s="439"/>
      <c r="ML2" s="439"/>
      <c r="MM2" s="439"/>
      <c r="MN2" s="439"/>
      <c r="MO2" s="439"/>
      <c r="MP2" s="439"/>
      <c r="MQ2" s="439"/>
      <c r="MR2" s="439"/>
      <c r="MS2" s="439"/>
      <c r="MT2" s="439"/>
      <c r="MU2" s="439"/>
      <c r="MV2" s="439"/>
      <c r="MW2" s="439"/>
      <c r="MX2" s="439"/>
      <c r="MY2" s="439"/>
      <c r="MZ2" s="439"/>
      <c r="NA2" s="439"/>
      <c r="NB2" s="439"/>
      <c r="NC2" s="439"/>
      <c r="ND2" s="439"/>
      <c r="NE2" s="439"/>
      <c r="NF2" s="439"/>
      <c r="NG2" s="439"/>
      <c r="NH2" s="439"/>
      <c r="NI2" s="439"/>
      <c r="NJ2" s="439"/>
      <c r="NK2" s="439"/>
      <c r="NL2" s="439"/>
      <c r="NM2" s="439"/>
      <c r="NN2" s="439"/>
      <c r="NO2" s="439"/>
      <c r="NP2" s="439"/>
      <c r="NQ2" s="439"/>
      <c r="NR2" s="439"/>
      <c r="NS2" s="439"/>
      <c r="NT2" s="439"/>
      <c r="NU2" s="439"/>
      <c r="NV2" s="439"/>
      <c r="NW2" s="439"/>
      <c r="NX2" s="439"/>
      <c r="NY2" s="439"/>
      <c r="NZ2" s="439"/>
      <c r="OA2" s="439"/>
      <c r="OB2" s="439"/>
      <c r="OC2" s="439"/>
      <c r="OD2" s="439"/>
      <c r="OE2" s="439"/>
      <c r="OF2" s="439"/>
      <c r="OG2" s="439"/>
      <c r="OH2" s="439"/>
      <c r="OI2" s="439"/>
      <c r="OJ2" s="439"/>
      <c r="OK2" s="439"/>
      <c r="OL2" s="439"/>
      <c r="OM2" s="439"/>
      <c r="ON2" s="439"/>
      <c r="OO2" s="439"/>
      <c r="OP2" s="439"/>
      <c r="OQ2" s="439"/>
      <c r="OR2" s="439"/>
      <c r="OS2" s="439"/>
      <c r="OT2" s="439"/>
      <c r="OU2" s="439"/>
      <c r="OV2" s="439"/>
      <c r="OW2" s="439"/>
      <c r="OX2" s="439"/>
      <c r="OY2" s="439"/>
      <c r="OZ2" s="439"/>
      <c r="PA2" s="439"/>
      <c r="PB2" s="439"/>
      <c r="PC2" s="439"/>
      <c r="PD2" s="439"/>
      <c r="PE2" s="439"/>
      <c r="PF2" s="439"/>
      <c r="PG2" s="439"/>
      <c r="PH2" s="439"/>
      <c r="PI2" s="439"/>
      <c r="PJ2" s="439"/>
      <c r="PK2" s="439"/>
      <c r="PL2" s="439"/>
      <c r="PM2" s="439"/>
      <c r="PN2" s="439"/>
      <c r="PO2" s="439"/>
      <c r="PP2" s="439"/>
      <c r="PQ2" s="439"/>
      <c r="PR2" s="439"/>
      <c r="PS2" s="439"/>
      <c r="PT2" s="439"/>
      <c r="PU2" s="439"/>
      <c r="PV2" s="439"/>
      <c r="PW2" s="439"/>
      <c r="PX2" s="439"/>
      <c r="PY2" s="439"/>
      <c r="PZ2" s="439"/>
      <c r="QA2" s="439"/>
      <c r="QB2" s="439"/>
      <c r="QC2" s="439"/>
      <c r="QD2" s="439"/>
      <c r="QE2" s="439"/>
      <c r="QF2" s="439"/>
      <c r="QG2" s="439"/>
      <c r="QH2" s="439"/>
      <c r="QI2" s="439"/>
      <c r="QJ2" s="439"/>
      <c r="QK2" s="439"/>
      <c r="QL2" s="439"/>
      <c r="QM2" s="439"/>
      <c r="QN2" s="439"/>
      <c r="QO2" s="439"/>
      <c r="QP2" s="439"/>
      <c r="QQ2" s="439"/>
      <c r="QR2" s="439"/>
      <c r="QS2" s="439"/>
      <c r="QT2" s="439"/>
      <c r="QU2" s="439"/>
      <c r="QV2" s="439"/>
      <c r="QW2" s="439"/>
      <c r="QX2" s="439"/>
      <c r="QY2" s="439"/>
      <c r="QZ2" s="439"/>
      <c r="RA2" s="439"/>
      <c r="RB2" s="439"/>
      <c r="RC2" s="439"/>
      <c r="RD2" s="439"/>
      <c r="RE2" s="439"/>
      <c r="RF2" s="439"/>
      <c r="RG2" s="439"/>
      <c r="RH2" s="439"/>
      <c r="RI2" s="439"/>
      <c r="RJ2" s="439"/>
      <c r="RK2" s="439"/>
      <c r="RL2" s="439"/>
      <c r="RM2" s="439"/>
      <c r="RN2" s="439"/>
      <c r="RO2" s="439"/>
      <c r="RP2" s="439"/>
      <c r="RQ2" s="439"/>
      <c r="RR2" s="439"/>
      <c r="RS2" s="439"/>
      <c r="RT2" s="439"/>
      <c r="RU2" s="439"/>
      <c r="RV2" s="439"/>
      <c r="RW2" s="439"/>
      <c r="RX2" s="439"/>
      <c r="RY2" s="439"/>
      <c r="RZ2" s="439"/>
      <c r="SA2" s="439"/>
      <c r="SB2" s="439"/>
      <c r="SC2" s="439"/>
      <c r="SD2" s="439"/>
      <c r="SE2" s="439"/>
      <c r="SF2" s="439"/>
      <c r="SG2" s="439"/>
      <c r="SH2" s="439"/>
      <c r="SI2" s="439"/>
      <c r="SJ2" s="439"/>
      <c r="SK2" s="439"/>
      <c r="SL2" s="439"/>
      <c r="SM2" s="439"/>
      <c r="SN2" s="439"/>
      <c r="SO2" s="439"/>
      <c r="SP2" s="439"/>
      <c r="SQ2" s="439"/>
      <c r="SR2" s="439"/>
      <c r="SS2" s="439"/>
      <c r="ST2" s="439"/>
      <c r="SU2" s="439"/>
      <c r="SV2" s="439"/>
      <c r="SW2" s="439"/>
      <c r="SX2" s="439"/>
      <c r="SY2" s="439"/>
      <c r="SZ2" s="439"/>
      <c r="TA2" s="439"/>
      <c r="TB2" s="439"/>
      <c r="TC2" s="439"/>
      <c r="TD2" s="439"/>
      <c r="TE2" s="439"/>
      <c r="TF2" s="439"/>
      <c r="TG2" s="439"/>
      <c r="TH2" s="439"/>
      <c r="TI2" s="439"/>
      <c r="TJ2" s="439"/>
      <c r="TK2" s="439"/>
      <c r="TL2" s="439"/>
      <c r="TM2" s="439"/>
      <c r="TN2" s="439"/>
      <c r="TO2" s="439"/>
      <c r="TP2" s="439"/>
      <c r="TQ2" s="439"/>
      <c r="TR2" s="439"/>
      <c r="TS2" s="439"/>
      <c r="TT2" s="439"/>
      <c r="TU2" s="439"/>
      <c r="TV2" s="439"/>
      <c r="TW2" s="439"/>
      <c r="TX2" s="439"/>
      <c r="TY2" s="439"/>
      <c r="TZ2" s="439"/>
      <c r="UA2" s="439"/>
      <c r="UB2" s="439"/>
      <c r="UC2" s="439"/>
      <c r="UD2" s="439"/>
      <c r="UE2" s="439"/>
      <c r="UF2" s="439"/>
      <c r="UG2" s="439"/>
      <c r="UH2" s="439"/>
      <c r="UI2" s="439"/>
      <c r="UJ2" s="439"/>
      <c r="UK2" s="439"/>
      <c r="UL2" s="439"/>
      <c r="UM2" s="439"/>
      <c r="UN2" s="439"/>
      <c r="UO2" s="439"/>
      <c r="UP2" s="439"/>
      <c r="UQ2" s="439"/>
      <c r="UR2" s="439"/>
      <c r="US2" s="439"/>
      <c r="UT2" s="439"/>
      <c r="UU2" s="439"/>
      <c r="UV2" s="439"/>
      <c r="UW2" s="439"/>
      <c r="UX2" s="439"/>
      <c r="UY2" s="439"/>
      <c r="UZ2" s="439"/>
      <c r="VA2" s="439"/>
      <c r="VB2" s="439"/>
      <c r="VC2" s="439"/>
      <c r="VD2" s="439"/>
      <c r="VE2" s="439"/>
      <c r="VF2" s="439"/>
      <c r="VG2" s="439"/>
      <c r="VH2" s="439"/>
      <c r="VI2" s="439"/>
      <c r="VJ2" s="439"/>
      <c r="VK2" s="439"/>
      <c r="VL2" s="439"/>
      <c r="VM2" s="439"/>
      <c r="VN2" s="439"/>
      <c r="VO2" s="439"/>
      <c r="VP2" s="439"/>
      <c r="VQ2" s="439"/>
      <c r="VR2" s="439"/>
      <c r="VS2" s="439"/>
      <c r="VT2" s="439"/>
      <c r="VU2" s="439"/>
      <c r="VV2" s="439"/>
      <c r="VW2" s="439"/>
      <c r="VX2" s="439"/>
      <c r="VY2" s="439"/>
      <c r="VZ2" s="439"/>
      <c r="WA2" s="439"/>
      <c r="WB2" s="439"/>
      <c r="WC2" s="439"/>
      <c r="WD2" s="439"/>
      <c r="WE2" s="439"/>
      <c r="WF2" s="439"/>
      <c r="WG2" s="439"/>
      <c r="WH2" s="439"/>
      <c r="WI2" s="439"/>
      <c r="WJ2" s="439"/>
      <c r="WK2" s="439"/>
      <c r="WL2" s="439"/>
      <c r="WM2" s="439"/>
      <c r="WN2" s="439"/>
      <c r="WO2" s="439"/>
      <c r="WP2" s="439"/>
      <c r="WQ2" s="439"/>
      <c r="WR2" s="439"/>
      <c r="WS2" s="439"/>
      <c r="WT2" s="439"/>
      <c r="WU2" s="439"/>
      <c r="WV2" s="439"/>
      <c r="WW2" s="439"/>
      <c r="WX2" s="439"/>
      <c r="WY2" s="439"/>
      <c r="WZ2" s="439"/>
      <c r="XA2" s="439"/>
      <c r="XB2" s="439"/>
      <c r="XC2" s="439"/>
      <c r="XD2" s="439"/>
      <c r="XE2" s="439"/>
      <c r="XF2" s="439"/>
      <c r="XG2" s="439"/>
      <c r="XH2" s="439"/>
      <c r="XI2" s="439"/>
      <c r="XJ2" s="439"/>
      <c r="XK2" s="439"/>
      <c r="XL2" s="439"/>
      <c r="XM2" s="439"/>
      <c r="XN2" s="439"/>
      <c r="XO2" s="439"/>
      <c r="XP2" s="439"/>
      <c r="XQ2" s="439"/>
      <c r="XR2" s="439"/>
      <c r="XS2" s="439"/>
      <c r="XT2" s="439"/>
      <c r="XU2" s="439"/>
      <c r="XV2" s="439"/>
      <c r="XW2" s="439"/>
      <c r="XX2" s="439"/>
      <c r="XY2" s="439"/>
      <c r="XZ2" s="439"/>
      <c r="YA2" s="439"/>
      <c r="YB2" s="439"/>
      <c r="YC2" s="439"/>
      <c r="YD2" s="439"/>
      <c r="YE2" s="439"/>
      <c r="YF2" s="439"/>
      <c r="YG2" s="439"/>
      <c r="YH2" s="439"/>
      <c r="YI2" s="439"/>
      <c r="YJ2" s="439"/>
      <c r="YK2" s="439"/>
      <c r="YL2" s="439"/>
      <c r="YM2" s="439"/>
      <c r="YN2" s="439"/>
      <c r="YO2" s="439"/>
      <c r="YP2" s="439"/>
      <c r="YQ2" s="439"/>
      <c r="YR2" s="439"/>
      <c r="YS2" s="439"/>
      <c r="YT2" s="439"/>
      <c r="YU2" s="439"/>
      <c r="YV2" s="439"/>
      <c r="YW2" s="439"/>
      <c r="YX2" s="439"/>
      <c r="YY2" s="439"/>
      <c r="YZ2" s="439"/>
      <c r="ZA2" s="439"/>
      <c r="ZB2" s="439"/>
      <c r="ZC2" s="439"/>
      <c r="ZD2" s="439"/>
      <c r="ZE2" s="439"/>
      <c r="ZF2" s="439"/>
      <c r="ZG2" s="439"/>
      <c r="ZH2" s="439"/>
      <c r="ZI2" s="439"/>
      <c r="ZJ2" s="439"/>
      <c r="ZK2" s="439"/>
      <c r="ZL2" s="439"/>
      <c r="ZM2" s="439"/>
      <c r="ZN2" s="439"/>
      <c r="ZO2" s="439"/>
      <c r="ZP2" s="439"/>
      <c r="ZQ2" s="439"/>
      <c r="ZR2" s="439"/>
      <c r="ZS2" s="439"/>
      <c r="ZT2" s="439"/>
      <c r="ZU2" s="439"/>
      <c r="ZV2" s="439"/>
      <c r="ZW2" s="439"/>
      <c r="ZX2" s="439"/>
      <c r="ZY2" s="439"/>
      <c r="ZZ2" s="439"/>
      <c r="AAA2" s="439"/>
      <c r="AAB2" s="439"/>
      <c r="AAC2" s="439"/>
      <c r="AAD2" s="439"/>
      <c r="AAE2" s="439"/>
      <c r="AAF2" s="439"/>
      <c r="AAG2" s="439"/>
      <c r="AAH2" s="439"/>
      <c r="AAI2" s="439"/>
      <c r="AAJ2" s="439"/>
      <c r="AAK2" s="439"/>
      <c r="AAL2" s="439"/>
      <c r="AAM2" s="439"/>
      <c r="AAN2" s="439"/>
      <c r="AAO2" s="439"/>
      <c r="AAP2" s="439"/>
      <c r="AAQ2" s="439"/>
      <c r="AAR2" s="439"/>
      <c r="AAS2" s="439"/>
      <c r="AAT2" s="439"/>
      <c r="AAU2" s="439"/>
      <c r="AAV2" s="439"/>
      <c r="AAW2" s="439"/>
      <c r="AAX2" s="439"/>
      <c r="AAY2" s="439"/>
      <c r="AAZ2" s="439"/>
      <c r="ABA2" s="439"/>
      <c r="ABB2" s="439"/>
      <c r="ABC2" s="439"/>
      <c r="ABD2" s="439"/>
      <c r="ABE2" s="439"/>
      <c r="ABF2" s="439"/>
      <c r="ABG2" s="439"/>
      <c r="ABH2" s="439"/>
      <c r="ABI2" s="439"/>
      <c r="ABJ2" s="439"/>
      <c r="ABK2" s="439"/>
      <c r="ABL2" s="439"/>
      <c r="ABM2" s="439"/>
      <c r="ABN2" s="439"/>
      <c r="ABO2" s="439"/>
      <c r="ABP2" s="439"/>
      <c r="ABQ2" s="439"/>
      <c r="ABR2" s="439"/>
      <c r="ABS2" s="439"/>
      <c r="ABT2" s="439"/>
      <c r="ABU2" s="439"/>
      <c r="ABV2" s="439"/>
      <c r="ABW2" s="439"/>
      <c r="ABX2" s="439"/>
      <c r="ABY2" s="439"/>
      <c r="ABZ2" s="439"/>
      <c r="ACA2" s="439"/>
      <c r="ACB2" s="439"/>
      <c r="ACC2" s="439"/>
      <c r="ACD2" s="439"/>
      <c r="ACE2" s="439"/>
      <c r="ACF2" s="439"/>
      <c r="ACG2" s="439"/>
      <c r="ACH2" s="439"/>
      <c r="ACI2" s="439"/>
      <c r="ACJ2" s="439"/>
      <c r="ACK2" s="439"/>
      <c r="ACL2" s="439"/>
      <c r="ACM2" s="439"/>
      <c r="ACN2" s="439"/>
      <c r="ACO2" s="439"/>
      <c r="ACP2" s="439"/>
      <c r="ACQ2" s="439"/>
      <c r="ACR2" s="439"/>
      <c r="ACS2" s="439"/>
      <c r="ACT2" s="439"/>
      <c r="ACU2" s="439"/>
      <c r="ACV2" s="439"/>
      <c r="ACW2" s="439"/>
      <c r="ACX2" s="439"/>
      <c r="ACY2" s="439"/>
      <c r="ACZ2" s="439"/>
      <c r="ADA2" s="439"/>
      <c r="ADB2" s="439"/>
      <c r="ADC2" s="439"/>
      <c r="ADD2" s="439"/>
      <c r="ADE2" s="439"/>
      <c r="ADF2" s="439"/>
      <c r="ADG2" s="439"/>
      <c r="ADH2" s="439"/>
      <c r="ADI2" s="439"/>
      <c r="ADJ2" s="439"/>
      <c r="ADK2" s="439"/>
      <c r="ADL2" s="439"/>
      <c r="ADM2" s="439"/>
      <c r="ADN2" s="439"/>
      <c r="ADO2" s="439"/>
      <c r="ADP2" s="439"/>
      <c r="ADQ2" s="439"/>
      <c r="ADR2" s="439"/>
      <c r="ADS2" s="439"/>
      <c r="ADT2" s="439"/>
      <c r="ADU2" s="439"/>
      <c r="ADV2" s="439"/>
      <c r="ADW2" s="439"/>
      <c r="ADX2" s="439"/>
      <c r="ADY2" s="439"/>
      <c r="ADZ2" s="439"/>
      <c r="AEA2" s="439"/>
      <c r="AEB2" s="439"/>
      <c r="AEC2" s="439"/>
      <c r="AED2" s="439"/>
      <c r="AEE2" s="439"/>
      <c r="AEF2" s="439"/>
      <c r="AEG2" s="439"/>
      <c r="AEH2" s="439"/>
      <c r="AEI2" s="439"/>
      <c r="AEJ2" s="439"/>
      <c r="AEK2" s="439"/>
      <c r="AEL2" s="439"/>
      <c r="AEM2" s="439"/>
      <c r="AEN2" s="439"/>
      <c r="AEO2" s="439"/>
      <c r="AEP2" s="439"/>
      <c r="AEQ2" s="439"/>
      <c r="AER2" s="439"/>
      <c r="AES2" s="439"/>
      <c r="AET2" s="439"/>
      <c r="AEU2" s="439"/>
      <c r="AEV2" s="439"/>
      <c r="AEW2" s="439"/>
      <c r="AEX2" s="439"/>
      <c r="AEY2" s="439"/>
      <c r="AEZ2" s="439"/>
      <c r="AFA2" s="439"/>
      <c r="AFB2" s="439"/>
      <c r="AFC2" s="439"/>
      <c r="AFD2" s="439"/>
      <c r="AFE2" s="439"/>
      <c r="AFF2" s="439"/>
      <c r="AFG2" s="439"/>
      <c r="AFH2" s="439"/>
      <c r="AFI2" s="439"/>
      <c r="AFJ2" s="439"/>
      <c r="AFK2" s="439"/>
      <c r="AFL2" s="439"/>
      <c r="AFM2" s="439"/>
      <c r="AFN2" s="439"/>
      <c r="AFO2" s="439"/>
      <c r="AFP2" s="439"/>
      <c r="AFQ2" s="439"/>
      <c r="AFR2" s="439"/>
      <c r="AFS2" s="439"/>
      <c r="AFT2" s="439"/>
      <c r="AFU2" s="439"/>
      <c r="AFV2" s="439"/>
      <c r="AFW2" s="439"/>
      <c r="AFX2" s="439"/>
      <c r="AFY2" s="439"/>
      <c r="AFZ2" s="439"/>
      <c r="AGA2" s="439"/>
      <c r="AGB2" s="439"/>
      <c r="AGC2" s="439"/>
      <c r="AGD2" s="439"/>
      <c r="AGE2" s="439"/>
      <c r="AGF2" s="439"/>
      <c r="AGG2" s="439"/>
      <c r="AGH2" s="439"/>
      <c r="AGI2" s="439"/>
      <c r="AGJ2" s="439"/>
      <c r="AGK2" s="439"/>
      <c r="AGL2" s="439"/>
      <c r="AGM2" s="439"/>
      <c r="AGN2" s="439"/>
      <c r="AGO2" s="439"/>
      <c r="AGP2" s="439"/>
      <c r="AGQ2" s="439"/>
      <c r="AGR2" s="439"/>
      <c r="AGS2" s="439"/>
      <c r="AGT2" s="439"/>
      <c r="AGU2" s="439"/>
      <c r="AGV2" s="439"/>
      <c r="AGW2" s="439"/>
      <c r="AGX2" s="439"/>
      <c r="AGY2" s="439"/>
      <c r="AGZ2" s="439"/>
      <c r="AHA2" s="439"/>
      <c r="AHB2" s="439"/>
      <c r="AHC2" s="439"/>
      <c r="AHD2" s="439"/>
      <c r="AHE2" s="439"/>
      <c r="AHF2" s="439"/>
      <c r="AHG2" s="439"/>
      <c r="AHH2" s="439"/>
      <c r="AHI2" s="439"/>
      <c r="AHJ2" s="439"/>
      <c r="AHK2" s="439"/>
      <c r="AHL2" s="439"/>
      <c r="AHM2" s="439"/>
      <c r="AHN2" s="439"/>
      <c r="AHO2" s="439"/>
      <c r="AHP2" s="439"/>
      <c r="AHQ2" s="439"/>
      <c r="AHR2" s="439"/>
      <c r="AHS2" s="439"/>
      <c r="AHT2" s="439"/>
      <c r="AHU2" s="439"/>
      <c r="AHV2" s="439"/>
      <c r="AHW2" s="439"/>
      <c r="AHX2" s="439"/>
      <c r="AHY2" s="439"/>
      <c r="AHZ2" s="439"/>
      <c r="AIA2" s="439"/>
      <c r="AIB2" s="439"/>
      <c r="AIC2" s="439"/>
      <c r="AID2" s="439"/>
      <c r="AIE2" s="439"/>
      <c r="AIF2" s="439"/>
      <c r="AIG2" s="439"/>
      <c r="AIH2" s="439"/>
      <c r="AII2" s="439"/>
      <c r="AIJ2" s="439"/>
      <c r="AIK2" s="439"/>
      <c r="AIL2" s="439"/>
      <c r="AIM2" s="439"/>
      <c r="AIN2" s="439"/>
      <c r="AIO2" s="439"/>
      <c r="AIP2" s="439"/>
      <c r="AIQ2" s="439"/>
      <c r="AIR2" s="439"/>
      <c r="AIS2" s="439"/>
      <c r="AIT2" s="439"/>
      <c r="AIU2" s="439"/>
      <c r="AIV2" s="439"/>
      <c r="AIW2" s="439"/>
      <c r="AIX2" s="439"/>
      <c r="AIY2" s="439"/>
      <c r="AIZ2" s="439"/>
      <c r="AJA2" s="439"/>
      <c r="AJB2" s="439"/>
      <c r="AJC2" s="439"/>
      <c r="AJD2" s="439"/>
      <c r="AJE2" s="439"/>
      <c r="AJF2" s="439"/>
      <c r="AJG2" s="439"/>
      <c r="AJH2" s="439"/>
      <c r="AJI2" s="439"/>
      <c r="AJJ2" s="439"/>
      <c r="AJK2" s="439"/>
      <c r="AJL2" s="439"/>
      <c r="AJM2" s="439"/>
      <c r="AJN2" s="439"/>
      <c r="AJO2" s="439"/>
      <c r="AJP2" s="439"/>
      <c r="AJQ2" s="439"/>
      <c r="AJR2" s="439"/>
      <c r="AJS2" s="439"/>
      <c r="AJT2" s="439"/>
      <c r="AJU2" s="439"/>
      <c r="AJV2" s="439"/>
      <c r="AJW2" s="439"/>
      <c r="AJX2" s="439"/>
      <c r="AJY2" s="439"/>
      <c r="AJZ2" s="439"/>
      <c r="AKA2" s="439"/>
      <c r="AKB2" s="439"/>
      <c r="AKC2" s="439"/>
      <c r="AKD2" s="439"/>
      <c r="AKE2" s="439"/>
      <c r="AKF2" s="439"/>
      <c r="AKG2" s="439"/>
      <c r="AKH2" s="439"/>
      <c r="AKI2" s="439"/>
      <c r="AKJ2" s="439"/>
      <c r="AKK2" s="439"/>
      <c r="AKL2" s="439"/>
      <c r="AKM2" s="439"/>
      <c r="AKN2" s="439"/>
      <c r="AKO2" s="439"/>
      <c r="AKP2" s="439"/>
      <c r="AKQ2" s="439"/>
      <c r="AKR2" s="439"/>
      <c r="AKS2" s="439"/>
      <c r="AKT2" s="439"/>
      <c r="AKU2" s="439"/>
      <c r="AKV2" s="439"/>
      <c r="AKW2" s="439"/>
      <c r="AKX2" s="439"/>
      <c r="AKY2" s="439"/>
      <c r="AKZ2" s="439"/>
      <c r="ALA2" s="439"/>
      <c r="ALB2" s="439"/>
      <c r="ALC2" s="439"/>
      <c r="ALD2" s="439"/>
      <c r="ALE2" s="439"/>
      <c r="ALF2" s="439"/>
      <c r="ALG2" s="439"/>
      <c r="ALH2" s="439"/>
      <c r="ALI2" s="439"/>
      <c r="ALJ2" s="439"/>
      <c r="ALK2" s="439"/>
      <c r="ALL2" s="439"/>
      <c r="ALM2" s="439"/>
      <c r="ALN2" s="439"/>
      <c r="ALO2" s="439"/>
      <c r="ALP2" s="439"/>
      <c r="ALQ2" s="439"/>
      <c r="ALR2" s="439"/>
      <c r="ALS2" s="439"/>
      <c r="ALT2" s="439"/>
      <c r="ALU2" s="439"/>
      <c r="ALV2" s="439"/>
      <c r="ALW2" s="439"/>
      <c r="ALX2" s="439"/>
      <c r="ALY2" s="439"/>
      <c r="ALZ2" s="439"/>
      <c r="AMA2" s="439"/>
      <c r="AMB2" s="439"/>
      <c r="AMC2" s="439"/>
      <c r="AMD2" s="439"/>
      <c r="AME2" s="439"/>
      <c r="AMF2" s="439"/>
      <c r="AMG2" s="439"/>
      <c r="AMH2" s="439"/>
      <c r="AMI2" s="439"/>
    </row>
    <row r="3" ht="20" customHeight="1" spans="2:10" s="447" customFormat="1" x14ac:dyDescent="0.25">
      <c r="B3" s="448"/>
      <c r="E3" s="449"/>
      <c r="F3" s="449"/>
      <c r="G3" s="449"/>
      <c r="H3" s="449"/>
      <c r="I3" s="449"/>
      <c r="J3" s="449"/>
    </row>
    <row r="4" ht="9.75" customHeight="1" spans="1:10" s="447" customFormat="1" x14ac:dyDescent="0.25">
      <c r="A4" s="448"/>
      <c r="C4" s="449"/>
      <c r="E4" s="449"/>
      <c r="F4" s="449"/>
      <c r="G4" s="449"/>
      <c r="H4" s="449"/>
      <c r="I4" s="449"/>
      <c r="J4" s="449"/>
    </row>
    <row r="5" ht="20" customHeight="1" spans="1:10" s="447" customFormat="1" x14ac:dyDescent="0.25">
      <c r="A5" s="448"/>
      <c r="C5" s="449"/>
      <c r="E5" s="449"/>
      <c r="F5" s="449"/>
      <c r="G5" s="449"/>
      <c r="H5" s="449"/>
      <c r="I5" s="449"/>
      <c r="J5" s="449"/>
    </row>
    <row r="6" ht="20" customHeight="1" spans="3:10" s="447" customFormat="1" x14ac:dyDescent="0.25">
      <c r="C6" s="449"/>
      <c r="E6" s="449"/>
      <c r="F6" s="449"/>
      <c r="G6" s="449"/>
      <c r="H6" s="449"/>
      <c r="I6" s="449"/>
      <c r="J6" s="449"/>
    </row>
    <row r="7" ht="20.5" customHeight="1" spans="1:5" x14ac:dyDescent="0.25">
      <c r="A7" s="681"/>
      <c r="B7" s="681"/>
      <c r="C7" s="681"/>
      <c r="D7" s="681"/>
      <c r="E7" s="681"/>
    </row>
    <row r="8" ht="20.5" customHeight="1" spans="1:5" x14ac:dyDescent="0.25">
      <c r="A8" s="681"/>
      <c r="B8" s="681"/>
      <c r="C8" s="681"/>
      <c r="D8" s="681"/>
      <c r="E8" s="681"/>
    </row>
    <row r="9" ht="18" customHeight="1" spans="1:10" s="454" customFormat="1" x14ac:dyDescent="0.25">
      <c r="A9" s="682" t="s">
        <v>113</v>
      </c>
      <c r="B9" s="683" t="s">
        <v>1507</v>
      </c>
      <c r="C9" s="683"/>
      <c r="D9" s="683"/>
      <c r="E9" s="683"/>
      <c r="F9" s="684" t="s">
        <v>1781</v>
      </c>
      <c r="G9" s="684" t="s">
        <v>1782</v>
      </c>
      <c r="H9" s="684" t="s">
        <v>1783</v>
      </c>
      <c r="I9" s="684" t="s">
        <v>1784</v>
      </c>
      <c r="J9" s="684" t="s">
        <v>1785</v>
      </c>
    </row>
    <row r="10" ht="12" customHeight="1" spans="1:10" x14ac:dyDescent="0.25">
      <c r="A10" s="682"/>
      <c r="B10" s="683"/>
      <c r="C10" s="683"/>
      <c r="D10" s="683"/>
      <c r="E10" s="683"/>
      <c r="F10" s="684"/>
      <c r="G10" s="684"/>
      <c r="H10" s="684"/>
      <c r="I10" s="684"/>
      <c r="J10" s="684"/>
    </row>
    <row r="11" ht="25.5" customHeight="1" spans="1:10" s="685" customFormat="1" x14ac:dyDescent="0.25">
      <c r="A11" s="682"/>
      <c r="B11" s="683"/>
      <c r="C11" s="683"/>
      <c r="D11" s="683"/>
      <c r="E11" s="683"/>
      <c r="F11" s="684"/>
      <c r="G11" s="684"/>
      <c r="H11" s="684"/>
      <c r="I11" s="684"/>
      <c r="J11" s="684"/>
    </row>
    <row r="12" ht="30" customHeight="1" spans="1:10" x14ac:dyDescent="0.25">
      <c r="A12" s="682"/>
      <c r="B12" s="683"/>
      <c r="C12" s="683"/>
      <c r="D12" s="683"/>
      <c r="E12" s="683"/>
      <c r="F12" s="684"/>
      <c r="G12" s="684"/>
      <c r="H12" s="684"/>
      <c r="I12" s="684"/>
      <c r="J12" s="684"/>
    </row>
    <row r="13" ht="30" customHeight="1" spans="1:10" x14ac:dyDescent="0.25">
      <c r="A13" s="682"/>
      <c r="B13" s="683"/>
      <c r="C13" s="683"/>
      <c r="D13" s="683"/>
      <c r="E13" s="683"/>
      <c r="F13" s="684"/>
      <c r="G13" s="684"/>
      <c r="H13" s="684"/>
      <c r="I13" s="684"/>
      <c r="J13" s="684"/>
    </row>
    <row r="14" ht="30" customHeight="1" spans="1:10" x14ac:dyDescent="0.25">
      <c r="A14" s="682"/>
      <c r="B14" s="683" t="s">
        <v>1786</v>
      </c>
      <c r="C14" s="683" t="s">
        <v>1518</v>
      </c>
      <c r="D14" s="683" t="s">
        <v>1519</v>
      </c>
      <c r="E14" s="683" t="s">
        <v>1520</v>
      </c>
      <c r="F14" s="684"/>
      <c r="G14" s="684"/>
      <c r="H14" s="684"/>
      <c r="I14" s="684"/>
      <c r="J14" s="684"/>
    </row>
    <row r="15" ht="17.25" customHeight="1" spans="1:10" x14ac:dyDescent="0.25">
      <c r="A15" s="682"/>
      <c r="B15" s="683"/>
      <c r="C15" s="683"/>
      <c r="D15" s="683"/>
      <c r="E15" s="683"/>
      <c r="F15" s="684"/>
      <c r="G15" s="684"/>
      <c r="H15" s="684"/>
      <c r="I15" s="684"/>
      <c r="J15" s="684"/>
    </row>
    <row r="16" ht="13.5" customHeight="1" spans="1:10" s="450" customFormat="1" x14ac:dyDescent="0.25">
      <c r="A16" s="682"/>
      <c r="B16" s="683"/>
      <c r="C16" s="683"/>
      <c r="D16" s="683"/>
      <c r="E16" s="683"/>
      <c r="F16" s="684"/>
      <c r="G16" s="684"/>
      <c r="H16" s="684"/>
      <c r="I16" s="684"/>
      <c r="J16" s="684"/>
    </row>
    <row r="17" ht="26.25" customHeight="1" spans="1:10" s="450" customFormat="1" x14ac:dyDescent="0.25">
      <c r="A17" s="686"/>
      <c r="B17" s="683"/>
      <c r="C17" s="683"/>
      <c r="D17" s="683"/>
      <c r="E17" s="683"/>
      <c r="F17" s="687" t="s">
        <v>154</v>
      </c>
      <c r="G17" s="687" t="s">
        <v>157</v>
      </c>
      <c r="H17" s="687" t="s">
        <v>1787</v>
      </c>
      <c r="I17" s="687" t="s">
        <v>164</v>
      </c>
      <c r="J17" s="687" t="s">
        <v>1788</v>
      </c>
    </row>
    <row r="18" ht="30" customHeight="1" spans="1:10" x14ac:dyDescent="0.25">
      <c r="A18" s="662" t="s">
        <v>1789</v>
      </c>
      <c r="B18" s="653" t="s">
        <v>1542</v>
      </c>
      <c r="C18" s="653" t="s">
        <v>1543</v>
      </c>
      <c r="D18" s="653"/>
      <c r="E18" s="653"/>
      <c r="F18" s="462">
        <v>34102.165237</v>
      </c>
      <c r="G18" s="462">
        <v>0</v>
      </c>
      <c r="H18" s="462">
        <v>34102.165237</v>
      </c>
      <c r="I18" s="462">
        <v>70.500421</v>
      </c>
      <c r="J18" s="462">
        <v>34172.665658</v>
      </c>
    </row>
    <row r="19" ht="30" customHeight="1" spans="1:10" x14ac:dyDescent="0.25">
      <c r="A19" s="662" t="s">
        <v>1790</v>
      </c>
      <c r="B19" s="653" t="s">
        <v>1542</v>
      </c>
      <c r="C19" s="653" t="s">
        <v>1545</v>
      </c>
      <c r="D19" s="653"/>
      <c r="E19" s="653"/>
      <c r="F19" s="462">
        <v>15223.04861</v>
      </c>
      <c r="G19" s="462">
        <v>0</v>
      </c>
      <c r="H19" s="462">
        <v>15223.04861</v>
      </c>
      <c r="I19" s="462">
        <v>0</v>
      </c>
      <c r="J19" s="462">
        <v>15223.04861</v>
      </c>
    </row>
    <row r="20" ht="30" customHeight="1" spans="1:10" s="450" customFormat="1" x14ac:dyDescent="0.25">
      <c r="A20" s="662" t="s">
        <v>1791</v>
      </c>
      <c r="B20" s="653" t="s">
        <v>1542</v>
      </c>
      <c r="C20" s="653" t="s">
        <v>1547</v>
      </c>
      <c r="D20" s="653"/>
      <c r="E20" s="653"/>
      <c r="F20" s="462">
        <v>13817.820529999999</v>
      </c>
      <c r="G20" s="462">
        <v>0</v>
      </c>
      <c r="H20" s="462">
        <v>13817.820529999999</v>
      </c>
      <c r="I20" s="462">
        <v>0</v>
      </c>
      <c r="J20" s="462">
        <v>13817.820529999999</v>
      </c>
    </row>
    <row r="21" ht="30" customHeight="1" spans="1:10" s="450" customFormat="1" x14ac:dyDescent="0.25">
      <c r="A21" s="662" t="s">
        <v>1792</v>
      </c>
      <c r="B21" s="653" t="s">
        <v>1542</v>
      </c>
      <c r="C21" s="653" t="s">
        <v>1549</v>
      </c>
      <c r="D21" s="653"/>
      <c r="E21" s="653"/>
      <c r="F21" s="462">
        <v>12138.825386</v>
      </c>
      <c r="G21" s="462">
        <v>0</v>
      </c>
      <c r="H21" s="462">
        <v>12138.825386</v>
      </c>
      <c r="I21" s="462">
        <v>0</v>
      </c>
      <c r="J21" s="462">
        <v>12138.825386</v>
      </c>
    </row>
    <row r="22" ht="30" customHeight="1" spans="1:10" s="450" customFormat="1" x14ac:dyDescent="0.25">
      <c r="A22" s="662" t="s">
        <v>1793</v>
      </c>
      <c r="B22" s="653" t="s">
        <v>1542</v>
      </c>
      <c r="C22" s="653" t="s">
        <v>1551</v>
      </c>
      <c r="D22" s="653"/>
      <c r="E22" s="653"/>
      <c r="F22" s="462">
        <v>10118.611111</v>
      </c>
      <c r="G22" s="462">
        <v>0</v>
      </c>
      <c r="H22" s="462">
        <v>10118.611111</v>
      </c>
      <c r="I22" s="462">
        <v>0</v>
      </c>
      <c r="J22" s="462">
        <v>10118.611111</v>
      </c>
    </row>
    <row r="23" ht="30" customHeight="1" spans="1:10" s="450" customFormat="1" x14ac:dyDescent="0.25">
      <c r="A23" s="662" t="s">
        <v>1794</v>
      </c>
      <c r="B23" s="653" t="s">
        <v>1542</v>
      </c>
      <c r="C23" s="653" t="s">
        <v>1553</v>
      </c>
      <c r="D23" s="653"/>
      <c r="E23" s="653"/>
      <c r="F23" s="462">
        <v>10113.483146</v>
      </c>
      <c r="G23" s="462">
        <v>0</v>
      </c>
      <c r="H23" s="462">
        <v>10113.483146</v>
      </c>
      <c r="I23" s="462">
        <v>0</v>
      </c>
      <c r="J23" s="462">
        <v>10113.483146</v>
      </c>
    </row>
    <row r="24" ht="30" customHeight="1" spans="1:10" s="450" customFormat="1" x14ac:dyDescent="0.25">
      <c r="A24" s="662" t="s">
        <v>1795</v>
      </c>
      <c r="B24" s="653" t="s">
        <v>1542</v>
      </c>
      <c r="C24" s="653" t="s">
        <v>1555</v>
      </c>
      <c r="D24" s="653"/>
      <c r="E24" s="653"/>
      <c r="F24" s="462">
        <v>7493.596414</v>
      </c>
      <c r="G24" s="462">
        <v>0</v>
      </c>
      <c r="H24" s="462">
        <v>7493.596414</v>
      </c>
      <c r="I24" s="462">
        <v>0</v>
      </c>
      <c r="J24" s="462">
        <v>7493.596414</v>
      </c>
    </row>
    <row r="25" ht="30" customHeight="1" spans="1:10" s="450" customFormat="1" x14ac:dyDescent="0.25">
      <c r="A25" s="662" t="s">
        <v>1796</v>
      </c>
      <c r="B25" s="653" t="s">
        <v>1542</v>
      </c>
      <c r="C25" s="653" t="s">
        <v>1557</v>
      </c>
      <c r="D25" s="653"/>
      <c r="E25" s="653"/>
      <c r="F25" s="462">
        <v>7478.757142</v>
      </c>
      <c r="G25" s="462">
        <v>0</v>
      </c>
      <c r="H25" s="462">
        <v>7478.757142</v>
      </c>
      <c r="I25" s="462">
        <v>0</v>
      </c>
      <c r="J25" s="462">
        <v>7478.757142</v>
      </c>
    </row>
    <row r="26" ht="30" customHeight="1" spans="1:10" s="450" customFormat="1" x14ac:dyDescent="0.25">
      <c r="A26" s="662" t="s">
        <v>1797</v>
      </c>
      <c r="B26" s="653" t="s">
        <v>1542</v>
      </c>
      <c r="C26" s="653" t="s">
        <v>1559</v>
      </c>
      <c r="D26" s="653"/>
      <c r="E26" s="653"/>
      <c r="F26" s="462">
        <v>7176.016103000001</v>
      </c>
      <c r="G26" s="462">
        <v>0</v>
      </c>
      <c r="H26" s="462">
        <v>7176.016103000001</v>
      </c>
      <c r="I26" s="462">
        <v>0</v>
      </c>
      <c r="J26" s="462">
        <v>7176.016103000001</v>
      </c>
    </row>
    <row r="27" ht="30" customHeight="1" spans="1:10" s="450" customFormat="1" x14ac:dyDescent="0.25">
      <c r="A27" s="662" t="s">
        <v>1798</v>
      </c>
      <c r="B27" s="653" t="s">
        <v>1542</v>
      </c>
      <c r="C27" s="653" t="s">
        <v>1799</v>
      </c>
      <c r="D27" s="653"/>
      <c r="E27" s="653"/>
      <c r="F27" s="462">
        <v>1481.43</v>
      </c>
      <c r="G27" s="462">
        <v>0</v>
      </c>
      <c r="H27" s="462">
        <v>1481.43</v>
      </c>
      <c r="I27" s="462">
        <v>5000</v>
      </c>
      <c r="J27" s="462">
        <v>6481.43</v>
      </c>
    </row>
    <row r="28" ht="30" customHeight="1" spans="1:10" s="450" customFormat="1" x14ac:dyDescent="0.25">
      <c r="A28" s="662" t="s">
        <v>1800</v>
      </c>
      <c r="B28" s="653" t="s">
        <v>1542</v>
      </c>
      <c r="C28" s="653" t="s">
        <v>1801</v>
      </c>
      <c r="D28" s="653"/>
      <c r="E28" s="653"/>
      <c r="F28" s="462">
        <v>6115.5573939999995</v>
      </c>
      <c r="G28" s="462">
        <v>0</v>
      </c>
      <c r="H28" s="462">
        <v>6115.5573939999995</v>
      </c>
      <c r="I28" s="462">
        <v>0</v>
      </c>
      <c r="J28" s="462">
        <v>6115.5573939999995</v>
      </c>
    </row>
    <row r="29" ht="30" customHeight="1" spans="1:10" s="450" customFormat="1" x14ac:dyDescent="0.25">
      <c r="A29" s="662" t="s">
        <v>1802</v>
      </c>
      <c r="B29" s="653" t="s">
        <v>1542</v>
      </c>
      <c r="C29" s="653" t="s">
        <v>1561</v>
      </c>
      <c r="D29" s="653"/>
      <c r="E29" s="653"/>
      <c r="F29" s="462">
        <v>6069.412693</v>
      </c>
      <c r="G29" s="462">
        <v>0</v>
      </c>
      <c r="H29" s="462">
        <v>6069.412693</v>
      </c>
      <c r="I29" s="462">
        <v>0</v>
      </c>
      <c r="J29" s="462">
        <v>6069.412693</v>
      </c>
    </row>
    <row r="30" ht="30" customHeight="1" spans="1:10" s="450" customFormat="1" x14ac:dyDescent="0.25">
      <c r="A30" s="662" t="s">
        <v>1803</v>
      </c>
      <c r="B30" s="653" t="s">
        <v>1542</v>
      </c>
      <c r="C30" s="653" t="s">
        <v>1563</v>
      </c>
      <c r="D30" s="653"/>
      <c r="E30" s="653"/>
      <c r="F30" s="462">
        <v>5609.7996650000005</v>
      </c>
      <c r="G30" s="462">
        <v>0</v>
      </c>
      <c r="H30" s="462">
        <v>5609.7996650000005</v>
      </c>
      <c r="I30" s="462">
        <v>0</v>
      </c>
      <c r="J30" s="462">
        <v>5609.7996650000005</v>
      </c>
    </row>
    <row r="31" ht="30" customHeight="1" spans="1:10" s="450" customFormat="1" x14ac:dyDescent="0.25">
      <c r="A31" s="662" t="s">
        <v>1804</v>
      </c>
      <c r="B31" s="653" t="s">
        <v>1542</v>
      </c>
      <c r="C31" s="653" t="s">
        <v>1565</v>
      </c>
      <c r="D31" s="653"/>
      <c r="E31" s="653"/>
      <c r="F31" s="462">
        <v>5019.158105999999</v>
      </c>
      <c r="G31" s="462">
        <v>0</v>
      </c>
      <c r="H31" s="462">
        <v>5019.158105999999</v>
      </c>
      <c r="I31" s="462">
        <v>0</v>
      </c>
      <c r="J31" s="462">
        <v>5019.158105999999</v>
      </c>
    </row>
    <row r="32" ht="30" customHeight="1" spans="1:10" s="450" customFormat="1" x14ac:dyDescent="0.25">
      <c r="A32" s="662" t="s">
        <v>1805</v>
      </c>
      <c r="B32" s="653" t="s">
        <v>1542</v>
      </c>
      <c r="C32" s="653" t="s">
        <v>1806</v>
      </c>
      <c r="D32" s="653"/>
      <c r="E32" s="653"/>
      <c r="F32" s="462">
        <v>4543.452356000001</v>
      </c>
      <c r="G32" s="462">
        <v>0</v>
      </c>
      <c r="H32" s="462">
        <v>4543.452356000001</v>
      </c>
      <c r="I32" s="462">
        <v>0</v>
      </c>
      <c r="J32" s="462">
        <v>4543.452356000001</v>
      </c>
    </row>
    <row r="33" ht="30" customHeight="1" spans="1:10" s="450" customFormat="1" x14ac:dyDescent="0.25">
      <c r="A33" s="662" t="s">
        <v>1807</v>
      </c>
      <c r="B33" s="653" t="s">
        <v>1542</v>
      </c>
      <c r="C33" s="653" t="s">
        <v>1808</v>
      </c>
      <c r="D33" s="653"/>
      <c r="E33" s="653"/>
      <c r="F33" s="462">
        <v>4477.555848</v>
      </c>
      <c r="G33" s="462">
        <v>0</v>
      </c>
      <c r="H33" s="462">
        <v>4477.555848</v>
      </c>
      <c r="I33" s="462">
        <v>0</v>
      </c>
      <c r="J33" s="462">
        <v>4477.555848</v>
      </c>
    </row>
    <row r="34" ht="30" customHeight="1" spans="1:10" s="450" customFormat="1" x14ac:dyDescent="0.25">
      <c r="A34" s="662" t="s">
        <v>1809</v>
      </c>
      <c r="B34" s="653" t="s">
        <v>1542</v>
      </c>
      <c r="C34" s="653" t="s">
        <v>1810</v>
      </c>
      <c r="D34" s="653"/>
      <c r="E34" s="653"/>
      <c r="F34" s="462">
        <v>3857.819941</v>
      </c>
      <c r="G34" s="462">
        <v>0</v>
      </c>
      <c r="H34" s="462">
        <v>3857.819941</v>
      </c>
      <c r="I34" s="462">
        <v>0</v>
      </c>
      <c r="J34" s="462">
        <v>3857.819941</v>
      </c>
    </row>
    <row r="35" ht="30" customHeight="1" spans="1:10" s="450" customFormat="1" x14ac:dyDescent="0.25">
      <c r="A35" s="662" t="s">
        <v>1811</v>
      </c>
      <c r="B35" s="653" t="s">
        <v>1542</v>
      </c>
      <c r="C35" s="653" t="s">
        <v>1812</v>
      </c>
      <c r="D35" s="653"/>
      <c r="E35" s="653"/>
      <c r="F35" s="462">
        <v>3842.3168809999997</v>
      </c>
      <c r="G35" s="462">
        <v>0</v>
      </c>
      <c r="H35" s="462">
        <v>3842.3168809999997</v>
      </c>
      <c r="I35" s="462">
        <v>0</v>
      </c>
      <c r="J35" s="462">
        <v>3842.3168809999997</v>
      </c>
    </row>
    <row r="36" ht="30" customHeight="1" spans="1:10" s="450" customFormat="1" x14ac:dyDescent="0.25">
      <c r="A36" s="662" t="s">
        <v>1813</v>
      </c>
      <c r="B36" s="653" t="s">
        <v>1542</v>
      </c>
      <c r="C36" s="653" t="s">
        <v>1814</v>
      </c>
      <c r="D36" s="653"/>
      <c r="E36" s="653"/>
      <c r="F36" s="462">
        <v>0</v>
      </c>
      <c r="G36" s="462">
        <v>0</v>
      </c>
      <c r="H36" s="462">
        <v>0</v>
      </c>
      <c r="I36" s="462">
        <v>3728.918758</v>
      </c>
      <c r="J36" s="462">
        <v>3728.918758</v>
      </c>
    </row>
    <row r="37" ht="30" customHeight="1" spans="1:10" s="450" customFormat="1" x14ac:dyDescent="0.25">
      <c r="A37" s="662" t="s">
        <v>1815</v>
      </c>
      <c r="B37" s="653" t="s">
        <v>1542</v>
      </c>
      <c r="C37" s="653" t="s">
        <v>1816</v>
      </c>
      <c r="D37" s="653"/>
      <c r="E37" s="653"/>
      <c r="F37" s="462">
        <v>0</v>
      </c>
      <c r="G37" s="462">
        <v>0</v>
      </c>
      <c r="H37" s="462">
        <v>0</v>
      </c>
      <c r="I37" s="462">
        <v>3700</v>
      </c>
      <c r="J37" s="462">
        <v>3700</v>
      </c>
    </row>
    <row r="38" ht="30" customHeight="1" spans="1:10" s="450" customFormat="1" x14ac:dyDescent="0.25">
      <c r="A38" s="662" t="s">
        <v>1817</v>
      </c>
      <c r="B38" s="653" t="s">
        <v>1542</v>
      </c>
      <c r="C38" s="653" t="s">
        <v>1818</v>
      </c>
      <c r="D38" s="653"/>
      <c r="E38" s="653"/>
      <c r="F38" s="462">
        <v>1582.071586</v>
      </c>
      <c r="G38" s="462">
        <v>0</v>
      </c>
      <c r="H38" s="462">
        <v>1582.071586</v>
      </c>
      <c r="I38" s="462">
        <v>1968.75</v>
      </c>
      <c r="J38" s="462">
        <v>3550.821586</v>
      </c>
    </row>
    <row r="39" ht="30" customHeight="1" spans="1:10" s="450" customFormat="1" x14ac:dyDescent="0.25">
      <c r="A39" s="662" t="s">
        <v>1819</v>
      </c>
      <c r="B39" s="653" t="s">
        <v>1542</v>
      </c>
      <c r="C39" s="653" t="s">
        <v>1820</v>
      </c>
      <c r="D39" s="653"/>
      <c r="E39" s="653"/>
      <c r="F39" s="462">
        <v>3532.666479</v>
      </c>
      <c r="G39" s="462">
        <v>0</v>
      </c>
      <c r="H39" s="462">
        <v>3532.666479</v>
      </c>
      <c r="I39" s="462">
        <v>0</v>
      </c>
      <c r="J39" s="462">
        <v>3532.666479</v>
      </c>
    </row>
    <row r="40" ht="30" customHeight="1" spans="1:10" s="450" customFormat="1" x14ac:dyDescent="0.25">
      <c r="A40" s="662" t="s">
        <v>1821</v>
      </c>
      <c r="B40" s="653" t="s">
        <v>1542</v>
      </c>
      <c r="C40" s="653" t="s">
        <v>1822</v>
      </c>
      <c r="D40" s="653"/>
      <c r="E40" s="653"/>
      <c r="F40" s="462">
        <v>3459.381986</v>
      </c>
      <c r="G40" s="462">
        <v>0</v>
      </c>
      <c r="H40" s="462">
        <v>3459.381986</v>
      </c>
      <c r="I40" s="462">
        <v>0</v>
      </c>
      <c r="J40" s="462">
        <v>3459.381986</v>
      </c>
    </row>
    <row r="41" ht="30" customHeight="1" spans="1:10" s="450" customFormat="1" x14ac:dyDescent="0.25">
      <c r="A41" s="662" t="s">
        <v>1823</v>
      </c>
      <c r="B41" s="653" t="s">
        <v>1542</v>
      </c>
      <c r="C41" s="653" t="s">
        <v>1824</v>
      </c>
      <c r="D41" s="653"/>
      <c r="E41" s="653"/>
      <c r="F41" s="462">
        <v>3007.0639419999998</v>
      </c>
      <c r="G41" s="462">
        <v>0</v>
      </c>
      <c r="H41" s="462">
        <v>3007.0639419999998</v>
      </c>
      <c r="I41" s="462">
        <v>40</v>
      </c>
      <c r="J41" s="462">
        <v>3047.0639419999998</v>
      </c>
    </row>
    <row r="42" ht="30" customHeight="1" spans="1:10" s="450" customFormat="1" x14ac:dyDescent="0.25">
      <c r="A42" s="662" t="s">
        <v>1825</v>
      </c>
      <c r="B42" s="653" t="s">
        <v>1542</v>
      </c>
      <c r="C42" s="653" t="s">
        <v>1826</v>
      </c>
      <c r="D42" s="653"/>
      <c r="E42" s="653"/>
      <c r="F42" s="462">
        <v>16.686441</v>
      </c>
      <c r="G42" s="462">
        <v>0</v>
      </c>
      <c r="H42" s="462">
        <v>16.686441</v>
      </c>
      <c r="I42" s="462">
        <v>3000</v>
      </c>
      <c r="J42" s="462">
        <v>3016.686441</v>
      </c>
    </row>
    <row r="43" ht="30" customHeight="1" spans="1:10" s="450" customFormat="1" x14ac:dyDescent="0.25">
      <c r="A43" s="662" t="s">
        <v>1827</v>
      </c>
      <c r="B43" s="653" t="s">
        <v>1542</v>
      </c>
      <c r="C43" s="653" t="s">
        <v>1828</v>
      </c>
      <c r="D43" s="653"/>
      <c r="E43" s="653"/>
      <c r="F43" s="462">
        <v>2790.465919</v>
      </c>
      <c r="G43" s="462">
        <v>0</v>
      </c>
      <c r="H43" s="462">
        <v>2790.465919</v>
      </c>
      <c r="I43" s="462">
        <v>0</v>
      </c>
      <c r="J43" s="462">
        <v>2790.465919</v>
      </c>
    </row>
    <row r="44" ht="30" customHeight="1" spans="1:10" s="450" customFormat="1" x14ac:dyDescent="0.25">
      <c r="A44" s="662" t="s">
        <v>1829</v>
      </c>
      <c r="B44" s="653" t="s">
        <v>1542</v>
      </c>
      <c r="C44" s="653" t="s">
        <v>1830</v>
      </c>
      <c r="D44" s="653"/>
      <c r="E44" s="653"/>
      <c r="F44" s="462">
        <v>1377.686251</v>
      </c>
      <c r="G44" s="462">
        <v>0</v>
      </c>
      <c r="H44" s="462">
        <v>1377.686251</v>
      </c>
      <c r="I44" s="462">
        <v>1159.076019</v>
      </c>
      <c r="J44" s="462">
        <v>2536.76227</v>
      </c>
    </row>
    <row r="45" ht="30" customHeight="1" spans="1:10" s="450" customFormat="1" x14ac:dyDescent="0.25">
      <c r="A45" s="662" t="s">
        <v>1831</v>
      </c>
      <c r="B45" s="653" t="s">
        <v>1542</v>
      </c>
      <c r="C45" s="653" t="s">
        <v>1832</v>
      </c>
      <c r="D45" s="653"/>
      <c r="E45" s="653"/>
      <c r="F45" s="462">
        <v>2525.991373</v>
      </c>
      <c r="G45" s="462">
        <v>0</v>
      </c>
      <c r="H45" s="462">
        <v>2525.991373</v>
      </c>
      <c r="I45" s="462">
        <v>0</v>
      </c>
      <c r="J45" s="462">
        <v>2525.991373</v>
      </c>
    </row>
    <row r="46" ht="30" customHeight="1" spans="1:10" s="450" customFormat="1" x14ac:dyDescent="0.25">
      <c r="A46" s="662" t="s">
        <v>1833</v>
      </c>
      <c r="B46" s="653" t="s">
        <v>1542</v>
      </c>
      <c r="C46" s="653" t="s">
        <v>1834</v>
      </c>
      <c r="D46" s="653"/>
      <c r="E46" s="653"/>
      <c r="F46" s="462">
        <v>2386.399864</v>
      </c>
      <c r="G46" s="462">
        <v>0</v>
      </c>
      <c r="H46" s="462">
        <v>2386.399864</v>
      </c>
      <c r="I46" s="462">
        <v>0</v>
      </c>
      <c r="J46" s="462">
        <v>2386.399864</v>
      </c>
    </row>
    <row r="47" ht="30" customHeight="1" spans="1:10" s="450" customFormat="1" x14ac:dyDescent="0.25">
      <c r="A47" s="662" t="s">
        <v>1835</v>
      </c>
      <c r="B47" s="653" t="s">
        <v>1542</v>
      </c>
      <c r="C47" s="653" t="s">
        <v>1836</v>
      </c>
      <c r="D47" s="653"/>
      <c r="E47" s="653"/>
      <c r="F47" s="462">
        <v>2369.670566</v>
      </c>
      <c r="G47" s="462">
        <v>0</v>
      </c>
      <c r="H47" s="462">
        <v>2369.670566</v>
      </c>
      <c r="I47" s="462">
        <v>0</v>
      </c>
      <c r="J47" s="462">
        <v>2369.670566</v>
      </c>
    </row>
    <row r="48" ht="30" customHeight="1" spans="1:10" s="450" customFormat="1" x14ac:dyDescent="0.25">
      <c r="A48" s="662" t="s">
        <v>1837</v>
      </c>
      <c r="B48" s="653" t="s">
        <v>1542</v>
      </c>
      <c r="C48" s="653" t="s">
        <v>1838</v>
      </c>
      <c r="D48" s="653"/>
      <c r="E48" s="653"/>
      <c r="F48" s="462">
        <v>3039.7400260000004</v>
      </c>
      <c r="G48" s="462">
        <v>701.089417</v>
      </c>
      <c r="H48" s="462">
        <v>2338.6506090000003</v>
      </c>
      <c r="I48" s="462">
        <v>0</v>
      </c>
      <c r="J48" s="462">
        <v>2338.6506090000003</v>
      </c>
    </row>
    <row r="49" ht="30" customHeight="1" spans="1:10" s="450" customFormat="1" x14ac:dyDescent="0.25">
      <c r="A49" s="662" t="s">
        <v>1839</v>
      </c>
      <c r="B49" s="653" t="s">
        <v>1542</v>
      </c>
      <c r="C49" s="653" t="s">
        <v>1840</v>
      </c>
      <c r="D49" s="653"/>
      <c r="E49" s="653"/>
      <c r="F49" s="462">
        <v>632.5324679999999</v>
      </c>
      <c r="G49" s="462">
        <v>0</v>
      </c>
      <c r="H49" s="462">
        <v>632.5324679999999</v>
      </c>
      <c r="I49" s="462">
        <v>1500</v>
      </c>
      <c r="J49" s="462">
        <v>2132.532468</v>
      </c>
    </row>
    <row r="50" ht="30" customHeight="1" spans="1:10" s="450" customFormat="1" x14ac:dyDescent="0.25">
      <c r="A50" s="662" t="s">
        <v>1841</v>
      </c>
      <c r="B50" s="653" t="s">
        <v>1542</v>
      </c>
      <c r="C50" s="653" t="s">
        <v>1842</v>
      </c>
      <c r="D50" s="653"/>
      <c r="E50" s="653"/>
      <c r="F50" s="462">
        <v>1860.585309</v>
      </c>
      <c r="G50" s="462">
        <v>0</v>
      </c>
      <c r="H50" s="462">
        <v>1860.585309</v>
      </c>
      <c r="I50" s="462">
        <v>40</v>
      </c>
      <c r="J50" s="462">
        <v>1900.585309</v>
      </c>
    </row>
    <row r="51" ht="30" customHeight="1" spans="1:10" s="450" customFormat="1" x14ac:dyDescent="0.25">
      <c r="A51" s="662" t="s">
        <v>1843</v>
      </c>
      <c r="B51" s="653" t="s">
        <v>1542</v>
      </c>
      <c r="C51" s="653" t="s">
        <v>1844</v>
      </c>
      <c r="D51" s="653"/>
      <c r="E51" s="653"/>
      <c r="F51" s="462">
        <v>1679.838769</v>
      </c>
      <c r="G51" s="462">
        <v>0</v>
      </c>
      <c r="H51" s="462">
        <v>1679.838769</v>
      </c>
      <c r="I51" s="462">
        <v>0</v>
      </c>
      <c r="J51" s="462">
        <v>1679.838769</v>
      </c>
    </row>
    <row r="52" ht="30" customHeight="1" spans="1:10" s="450" customFormat="1" x14ac:dyDescent="0.25">
      <c r="A52" s="662" t="s">
        <v>1845</v>
      </c>
      <c r="B52" s="653" t="s">
        <v>1542</v>
      </c>
      <c r="C52" s="653" t="s">
        <v>1846</v>
      </c>
      <c r="D52" s="653"/>
      <c r="E52" s="653"/>
      <c r="F52" s="462">
        <v>1500</v>
      </c>
      <c r="G52" s="462">
        <v>0</v>
      </c>
      <c r="H52" s="462">
        <v>1500</v>
      </c>
      <c r="I52" s="462">
        <v>0</v>
      </c>
      <c r="J52" s="462">
        <v>1500</v>
      </c>
    </row>
    <row r="53" ht="30" customHeight="1" spans="1:10" s="450" customFormat="1" x14ac:dyDescent="0.25">
      <c r="A53" s="662" t="s">
        <v>1847</v>
      </c>
      <c r="B53" s="653" t="s">
        <v>1542</v>
      </c>
      <c r="C53" s="653" t="s">
        <v>1848</v>
      </c>
      <c r="D53" s="653"/>
      <c r="E53" s="653"/>
      <c r="F53" s="462">
        <v>1298.64354</v>
      </c>
      <c r="G53" s="462">
        <v>0</v>
      </c>
      <c r="H53" s="462">
        <v>1298.64354</v>
      </c>
      <c r="I53" s="462">
        <v>0.268443</v>
      </c>
      <c r="J53" s="462">
        <v>1298.911983</v>
      </c>
    </row>
    <row r="54" ht="30" customHeight="1" spans="1:10" s="450" customFormat="1" x14ac:dyDescent="0.25">
      <c r="A54" s="662" t="s">
        <v>1849</v>
      </c>
      <c r="B54" s="653" t="s">
        <v>1542</v>
      </c>
      <c r="C54" s="653" t="s">
        <v>1850</v>
      </c>
      <c r="D54" s="653"/>
      <c r="E54" s="653"/>
      <c r="F54" s="462">
        <v>1295.9572890000002</v>
      </c>
      <c r="G54" s="462">
        <v>0</v>
      </c>
      <c r="H54" s="462">
        <v>1295.9572890000002</v>
      </c>
      <c r="I54" s="462">
        <v>0</v>
      </c>
      <c r="J54" s="462">
        <v>1295.9572890000002</v>
      </c>
    </row>
    <row r="55" ht="30" customHeight="1" spans="1:10" s="450" customFormat="1" x14ac:dyDescent="0.25">
      <c r="A55" s="662" t="s">
        <v>1851</v>
      </c>
      <c r="B55" s="653" t="s">
        <v>1542</v>
      </c>
      <c r="C55" s="653" t="s">
        <v>1852</v>
      </c>
      <c r="D55" s="653"/>
      <c r="E55" s="653"/>
      <c r="F55" s="462">
        <v>1207.653717</v>
      </c>
      <c r="G55" s="462">
        <v>0</v>
      </c>
      <c r="H55" s="462">
        <v>1207.653717</v>
      </c>
      <c r="I55" s="462">
        <v>0</v>
      </c>
      <c r="J55" s="462">
        <v>1207.653717</v>
      </c>
    </row>
    <row r="56" ht="30" customHeight="1" spans="1:10" s="450" customFormat="1" x14ac:dyDescent="0.25">
      <c r="A56" s="662" t="s">
        <v>1853</v>
      </c>
      <c r="B56" s="653" t="s">
        <v>1542</v>
      </c>
      <c r="C56" s="653" t="s">
        <v>1854</v>
      </c>
      <c r="D56" s="653"/>
      <c r="E56" s="653"/>
      <c r="F56" s="462">
        <v>896.491976</v>
      </c>
      <c r="G56" s="462">
        <v>0</v>
      </c>
      <c r="H56" s="462">
        <v>896.491976</v>
      </c>
      <c r="I56" s="462">
        <v>200</v>
      </c>
      <c r="J56" s="462">
        <v>1096.491976</v>
      </c>
    </row>
    <row r="57" ht="30" customHeight="1" spans="1:10" s="450" customFormat="1" x14ac:dyDescent="0.25">
      <c r="A57" s="662" t="s">
        <v>1855</v>
      </c>
      <c r="B57" s="653" t="s">
        <v>1542</v>
      </c>
      <c r="C57" s="653" t="s">
        <v>1856</v>
      </c>
      <c r="D57" s="653"/>
      <c r="E57" s="653"/>
      <c r="F57" s="462">
        <v>1092.405112</v>
      </c>
      <c r="G57" s="462">
        <v>0</v>
      </c>
      <c r="H57" s="462">
        <v>1092.405112</v>
      </c>
      <c r="I57" s="462">
        <v>0</v>
      </c>
      <c r="J57" s="462">
        <v>1092.405112</v>
      </c>
    </row>
    <row r="58" ht="30" customHeight="1" spans="1:10" s="450" customFormat="1" x14ac:dyDescent="0.25">
      <c r="A58" s="662" t="s">
        <v>1857</v>
      </c>
      <c r="B58" s="653" t="s">
        <v>1542</v>
      </c>
      <c r="C58" s="653" t="s">
        <v>1858</v>
      </c>
      <c r="D58" s="653"/>
      <c r="E58" s="653"/>
      <c r="F58" s="462">
        <v>1016.544034</v>
      </c>
      <c r="G58" s="462">
        <v>0</v>
      </c>
      <c r="H58" s="462">
        <v>1016.544034</v>
      </c>
      <c r="I58" s="462">
        <v>0</v>
      </c>
      <c r="J58" s="462">
        <v>1016.544034</v>
      </c>
    </row>
    <row r="59" ht="30" customHeight="1" spans="1:10" s="450" customFormat="1" x14ac:dyDescent="0.25">
      <c r="A59" s="662" t="s">
        <v>1859</v>
      </c>
      <c r="B59" s="653" t="s">
        <v>1542</v>
      </c>
      <c r="C59" s="653" t="s">
        <v>1860</v>
      </c>
      <c r="D59" s="653"/>
      <c r="E59" s="653"/>
      <c r="F59" s="462">
        <v>1014.166667</v>
      </c>
      <c r="G59" s="462">
        <v>0</v>
      </c>
      <c r="H59" s="462">
        <v>1014.166667</v>
      </c>
      <c r="I59" s="462">
        <v>0</v>
      </c>
      <c r="J59" s="462">
        <v>1014.166667</v>
      </c>
    </row>
    <row r="60" ht="30" customHeight="1" spans="1:10" s="450" customFormat="1" x14ac:dyDescent="0.25">
      <c r="A60" s="662" t="s">
        <v>1861</v>
      </c>
      <c r="B60" s="653" t="s">
        <v>1542</v>
      </c>
      <c r="C60" s="653" t="s">
        <v>1862</v>
      </c>
      <c r="D60" s="653"/>
      <c r="E60" s="653"/>
      <c r="F60" s="462">
        <v>1010.301609</v>
      </c>
      <c r="G60" s="462">
        <v>0</v>
      </c>
      <c r="H60" s="462">
        <v>1010.301609</v>
      </c>
      <c r="I60" s="462">
        <v>0</v>
      </c>
      <c r="J60" s="462">
        <v>1010.301609</v>
      </c>
    </row>
    <row r="61" ht="30" customHeight="1" spans="1:10" s="450" customFormat="1" x14ac:dyDescent="0.25">
      <c r="A61" s="662" t="s">
        <v>1863</v>
      </c>
      <c r="B61" s="653" t="s">
        <v>1542</v>
      </c>
      <c r="C61" s="653" t="s">
        <v>1864</v>
      </c>
      <c r="D61" s="653"/>
      <c r="E61" s="653"/>
      <c r="F61" s="462">
        <v>1009.500428</v>
      </c>
      <c r="G61" s="462">
        <v>0</v>
      </c>
      <c r="H61" s="462">
        <v>1009.500428</v>
      </c>
      <c r="I61" s="462">
        <v>0</v>
      </c>
      <c r="J61" s="462">
        <v>1009.500428</v>
      </c>
    </row>
    <row r="62" ht="30" customHeight="1" spans="1:10" s="450" customFormat="1" x14ac:dyDescent="0.25">
      <c r="A62" s="662" t="s">
        <v>1865</v>
      </c>
      <c r="B62" s="653" t="s">
        <v>1542</v>
      </c>
      <c r="C62" s="653" t="s">
        <v>1866</v>
      </c>
      <c r="D62" s="653"/>
      <c r="E62" s="653"/>
      <c r="F62" s="462">
        <v>0.001316</v>
      </c>
      <c r="G62" s="462">
        <v>0</v>
      </c>
      <c r="H62" s="462">
        <v>0.001316</v>
      </c>
      <c r="I62" s="462">
        <v>1000</v>
      </c>
      <c r="J62" s="462">
        <v>1000.001316</v>
      </c>
    </row>
    <row r="63" ht="25.5" customHeight="1" spans="1:10" s="685" customFormat="1" x14ac:dyDescent="0.25">
      <c r="A63" s="662" t="s">
        <v>1867</v>
      </c>
      <c r="B63" s="653" t="s">
        <v>1542</v>
      </c>
      <c r="C63" s="653" t="s">
        <v>1868</v>
      </c>
      <c r="D63" s="653"/>
      <c r="E63" s="653"/>
      <c r="F63" s="462">
        <v>1000</v>
      </c>
      <c r="G63" s="462">
        <v>0</v>
      </c>
      <c r="H63" s="462">
        <v>1000</v>
      </c>
      <c r="I63" s="462">
        <v>0</v>
      </c>
      <c r="J63" s="462">
        <v>1000</v>
      </c>
    </row>
    <row r="64" ht="30" customHeight="1" spans="1:10" x14ac:dyDescent="0.25">
      <c r="A64" s="662" t="s">
        <v>1869</v>
      </c>
      <c r="B64" s="653" t="s">
        <v>1542</v>
      </c>
      <c r="C64" s="653" t="s">
        <v>1870</v>
      </c>
      <c r="D64" s="653"/>
      <c r="E64" s="653"/>
      <c r="F64" s="462">
        <v>932.5660529999999</v>
      </c>
      <c r="G64" s="462">
        <v>0</v>
      </c>
      <c r="H64" s="462">
        <v>932.5660529999999</v>
      </c>
      <c r="I64" s="462">
        <v>0</v>
      </c>
      <c r="J64" s="462">
        <v>932.5660529999999</v>
      </c>
    </row>
    <row r="65" ht="30" customHeight="1" spans="1:10" x14ac:dyDescent="0.25">
      <c r="A65" s="662" t="s">
        <v>1871</v>
      </c>
      <c r="B65" s="653" t="s">
        <v>1542</v>
      </c>
      <c r="C65" s="653" t="s">
        <v>1872</v>
      </c>
      <c r="D65" s="653"/>
      <c r="E65" s="653"/>
      <c r="F65" s="462">
        <v>909.725757</v>
      </c>
      <c r="G65" s="462">
        <v>0</v>
      </c>
      <c r="H65" s="462">
        <v>909.725757</v>
      </c>
      <c r="I65" s="462">
        <v>0</v>
      </c>
      <c r="J65" s="462">
        <v>909.725757</v>
      </c>
    </row>
    <row r="66" ht="30" customHeight="1" spans="1:10" s="450" customFormat="1" x14ac:dyDescent="0.25">
      <c r="A66" s="662" t="s">
        <v>1873</v>
      </c>
      <c r="B66" s="653" t="s">
        <v>1542</v>
      </c>
      <c r="C66" s="653" t="s">
        <v>1874</v>
      </c>
      <c r="D66" s="653"/>
      <c r="E66" s="653"/>
      <c r="F66" s="462">
        <v>835.994366</v>
      </c>
      <c r="G66" s="462">
        <v>0</v>
      </c>
      <c r="H66" s="462">
        <v>835.994366</v>
      </c>
      <c r="I66" s="462">
        <v>0</v>
      </c>
      <c r="J66" s="462">
        <v>835.994366</v>
      </c>
    </row>
    <row r="67" ht="34.5" customHeight="1" spans="1:10" s="685" customFormat="1" x14ac:dyDescent="0.25">
      <c r="A67" s="662" t="s">
        <v>1875</v>
      </c>
      <c r="B67" s="653" t="s">
        <v>1542</v>
      </c>
      <c r="C67" s="653" t="s">
        <v>1876</v>
      </c>
      <c r="D67" s="653"/>
      <c r="E67" s="653"/>
      <c r="F67" s="462">
        <v>837.1103059999999</v>
      </c>
      <c r="G67" s="462">
        <v>41.084493</v>
      </c>
      <c r="H67" s="462">
        <v>796.025813</v>
      </c>
      <c r="I67" s="462">
        <v>0</v>
      </c>
      <c r="J67" s="462">
        <v>796.02582</v>
      </c>
    </row>
    <row r="68" ht="36" customHeight="1" spans="1:10" x14ac:dyDescent="0.25">
      <c r="A68" s="662" t="s">
        <v>1877</v>
      </c>
      <c r="B68" s="675" t="s">
        <v>1878</v>
      </c>
      <c r="C68" s="675"/>
      <c r="D68" s="675"/>
      <c r="E68" s="675"/>
      <c r="F68" s="462">
        <v>204796.66975</v>
      </c>
      <c r="G68" s="462">
        <v>742.17391</v>
      </c>
      <c r="H68" s="462">
        <v>204054.49583</v>
      </c>
      <c r="I68" s="462">
        <v>21407.513641</v>
      </c>
      <c r="J68" s="462">
        <v>225462.00947</v>
      </c>
    </row>
    <row r="69" ht="20" customHeight="1" spans="1:10" x14ac:dyDescent="0.25">
      <c r="A69" s="447" t="s">
        <v>1879</v>
      </c>
      <c r="B69" s="447"/>
      <c r="C69" s="447"/>
      <c r="D69" s="447"/>
      <c r="E69" s="447"/>
      <c r="F69" s="447"/>
      <c r="G69" s="447"/>
      <c r="H69" s="447"/>
      <c r="I69" s="447"/>
      <c r="J69" s="447"/>
    </row>
    <row r="70" ht="20" customHeight="1" spans="1:10" x14ac:dyDescent="0.25">
      <c r="A70" s="447" t="s">
        <v>1880</v>
      </c>
      <c r="B70" s="447"/>
      <c r="C70" s="447"/>
      <c r="D70" s="447"/>
      <c r="E70" s="447"/>
      <c r="F70" s="447"/>
      <c r="G70" s="447"/>
      <c r="H70" s="447"/>
      <c r="I70" s="447"/>
      <c r="J70" s="447"/>
    </row>
  </sheetData>
  <sheetProtection sheet="1" algorithmName="SHA-512" hashValue="r3FnvIMAtrv8D1eNB0w+CXBe6KF8nMrmLq2bnq/THXUCXaQyjn1uU5wU9WWVzAG/TWsqZ1JSJdmoPRkhy8jAyA==" saltValue="aotsakyEsLNf+WTDx7QrNA==" spinCount="100000" objects="1" scenarios="1"/>
  <mergeCells count="14">
    <mergeCell ref="A1:I1"/>
    <mergeCell ref="B9:E13"/>
    <mergeCell ref="A9:A16"/>
    <mergeCell ref="F9:F16"/>
    <mergeCell ref="G9:G16"/>
    <mergeCell ref="H9:H16"/>
    <mergeCell ref="I9:I16"/>
    <mergeCell ref="J9:J16"/>
    <mergeCell ref="B14:B16"/>
    <mergeCell ref="C14:C16"/>
    <mergeCell ref="D14:D16"/>
    <mergeCell ref="E14:E16"/>
    <mergeCell ref="B17:E17"/>
    <mergeCell ref="B68:E68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38" fitToWidth="1" fitToHeight="1" firstPageNumber="1" useFirstPageNumber="1" copies="1"/>
  <headerFooter>
    <oddFooter>&amp;R&amp;P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6"/>
  <sheetViews>
    <sheetView workbookViewId="0" zoomScale="80" zoomScaleNormal="80" view="pageBreakPreview">
      <selection activeCell="A34" sqref="A34"/>
    </sheetView>
  </sheetViews>
  <sheetFormatPr defaultRowHeight="17.25" outlineLevelRow="0" outlineLevelCol="0" x14ac:dyDescent="0" defaultColWidth="10" customHeight="1"/>
  <cols>
    <col min="1" max="1" width="11.08984375" style="317" customWidth="1"/>
    <col min="2" max="2" width="110.1796875" style="317" customWidth="1"/>
    <col min="3" max="3" width="19.08984375" style="317" customWidth="1"/>
    <col min="4" max="5" width="16.90625" style="317" customWidth="1"/>
    <col min="6" max="16384" width="10" style="317" customWidth="1"/>
  </cols>
  <sheetData>
    <row r="1" ht="29.25" customHeight="1" spans="1:4" x14ac:dyDescent="0.25">
      <c r="A1" s="319" t="s">
        <v>1881</v>
      </c>
      <c r="B1" s="319"/>
      <c r="C1" s="320" t="s">
        <v>98</v>
      </c>
      <c r="D1" s="688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7.5" customHeight="1" spans="1:5" x14ac:dyDescent="0.25">
      <c r="A7" s="689"/>
      <c r="B7" s="689"/>
      <c r="C7" s="689"/>
      <c r="D7" s="689"/>
      <c r="E7" s="689"/>
    </row>
    <row r="8" ht="17.5" customHeight="1" spans="1:5" x14ac:dyDescent="0.25">
      <c r="A8" s="689"/>
      <c r="B8" s="689"/>
      <c r="C8" s="689"/>
      <c r="D8" s="689"/>
      <c r="E8" s="689"/>
    </row>
    <row r="9" ht="36" customHeight="1" spans="1:5" s="321" customFormat="1" x14ac:dyDescent="0.25">
      <c r="A9" s="135" t="s">
        <v>113</v>
      </c>
      <c r="B9" s="135" t="s">
        <v>145</v>
      </c>
      <c r="C9" s="135" t="s">
        <v>166</v>
      </c>
      <c r="D9" s="690"/>
      <c r="E9" s="690"/>
    </row>
    <row r="10" ht="12" customHeight="1" spans="1:5" x14ac:dyDescent="0.25">
      <c r="A10" s="691"/>
      <c r="B10" s="691"/>
      <c r="C10" s="691"/>
      <c r="D10" s="689"/>
      <c r="E10" s="689"/>
    </row>
    <row r="11" ht="25.5" customHeight="1" spans="1:3" s="318" customFormat="1" x14ac:dyDescent="0.25">
      <c r="A11" s="692"/>
      <c r="B11" s="692" t="s">
        <v>1882</v>
      </c>
      <c r="C11" s="692"/>
    </row>
    <row r="12" ht="30" customHeight="1" spans="1:3" x14ac:dyDescent="0.25">
      <c r="A12" s="62" t="s">
        <v>1883</v>
      </c>
      <c r="B12" s="139" t="s">
        <v>1884</v>
      </c>
      <c r="C12" s="567">
        <v>537474</v>
      </c>
    </row>
    <row r="13" ht="30" customHeight="1" spans="1:3" x14ac:dyDescent="0.25">
      <c r="A13" s="62" t="s">
        <v>1885</v>
      </c>
      <c r="B13" s="139" t="s">
        <v>1886</v>
      </c>
      <c r="C13" s="567">
        <v>-376</v>
      </c>
    </row>
    <row r="14" ht="30" customHeight="1" spans="1:3" x14ac:dyDescent="0.25">
      <c r="A14" s="62" t="s">
        <v>1887</v>
      </c>
      <c r="B14" s="139" t="s">
        <v>1888</v>
      </c>
      <c r="C14" s="567"/>
    </row>
    <row r="15" ht="30" customHeight="1" spans="1:3" s="337" customFormat="1" x14ac:dyDescent="0.25">
      <c r="A15" s="62" t="s">
        <v>1889</v>
      </c>
      <c r="B15" s="134" t="s">
        <v>1890</v>
      </c>
      <c r="C15" s="693">
        <f>C12+C13+C14</f>
        <v>537098</v>
      </c>
    </row>
    <row r="16" ht="12" customHeight="1" spans="1:5" x14ac:dyDescent="0.25">
      <c r="A16" s="691"/>
      <c r="B16" s="691"/>
      <c r="C16" s="691"/>
      <c r="D16" s="689"/>
      <c r="E16" s="689"/>
    </row>
    <row r="17" ht="25.5" customHeight="1" spans="1:3" s="318" customFormat="1" x14ac:dyDescent="0.25">
      <c r="A17" s="692"/>
      <c r="B17" s="692" t="s">
        <v>1891</v>
      </c>
      <c r="C17" s="692"/>
    </row>
    <row r="18" ht="30" customHeight="1" spans="1:3" x14ac:dyDescent="0.25">
      <c r="A18" s="62" t="s">
        <v>1892</v>
      </c>
      <c r="B18" s="139" t="s">
        <v>1893</v>
      </c>
      <c r="C18" s="567"/>
    </row>
    <row r="19" ht="30" customHeight="1" spans="1:3" x14ac:dyDescent="0.25">
      <c r="A19" s="62" t="s">
        <v>1894</v>
      </c>
      <c r="B19" s="139" t="s">
        <v>1895</v>
      </c>
      <c r="C19" s="567"/>
    </row>
    <row r="20" ht="30" customHeight="1" spans="1:3" s="337" customFormat="1" x14ac:dyDescent="0.25">
      <c r="A20" s="62" t="s">
        <v>1896</v>
      </c>
      <c r="B20" s="134" t="s">
        <v>1897</v>
      </c>
      <c r="C20" s="693">
        <v>0</v>
      </c>
    </row>
    <row r="21" ht="12" customHeight="1" spans="1:5" x14ac:dyDescent="0.25">
      <c r="A21" s="691"/>
      <c r="B21" s="691"/>
      <c r="C21" s="691"/>
      <c r="D21" s="689"/>
      <c r="E21" s="689"/>
    </row>
    <row r="22" ht="25.5" customHeight="1" spans="1:3" s="318" customFormat="1" x14ac:dyDescent="0.25">
      <c r="A22" s="692"/>
      <c r="B22" s="692" t="s">
        <v>1898</v>
      </c>
      <c r="C22" s="692"/>
    </row>
    <row r="23" ht="30" customHeight="1" spans="1:3" x14ac:dyDescent="0.25">
      <c r="A23" s="62" t="s">
        <v>1899</v>
      </c>
      <c r="B23" s="139" t="s">
        <v>1900</v>
      </c>
      <c r="C23" s="567"/>
    </row>
    <row r="24" ht="30" customHeight="1" spans="1:3" x14ac:dyDescent="0.25">
      <c r="A24" s="62" t="s">
        <v>1901</v>
      </c>
      <c r="B24" s="139" t="s">
        <v>1902</v>
      </c>
      <c r="C24" s="567"/>
    </row>
    <row r="25" ht="30" customHeight="1" spans="1:3" s="337" customFormat="1" x14ac:dyDescent="0.25">
      <c r="A25" s="62" t="s">
        <v>1903</v>
      </c>
      <c r="B25" s="134" t="s">
        <v>1904</v>
      </c>
      <c r="C25" s="693">
        <v>0</v>
      </c>
    </row>
    <row r="26" ht="12" customHeight="1" spans="1:5" x14ac:dyDescent="0.25">
      <c r="A26" s="691"/>
      <c r="B26" s="691"/>
      <c r="C26" s="691"/>
      <c r="D26" s="689"/>
      <c r="E26" s="689"/>
    </row>
    <row r="27" ht="34.5" customHeight="1" spans="1:3" s="318" customFormat="1" x14ac:dyDescent="0.25">
      <c r="A27" s="692"/>
      <c r="B27" s="692" t="s">
        <v>1905</v>
      </c>
      <c r="C27" s="692"/>
    </row>
    <row r="28" ht="30" customHeight="1" spans="1:3" x14ac:dyDescent="0.25">
      <c r="A28" s="62" t="s">
        <v>1906</v>
      </c>
      <c r="B28" s="139" t="s">
        <v>1534</v>
      </c>
      <c r="C28" s="567">
        <f>71*0.5</f>
        <v>35.5</v>
      </c>
    </row>
    <row r="29" ht="30" customHeight="1" spans="1:3" x14ac:dyDescent="0.25">
      <c r="A29" s="62" t="s">
        <v>1907</v>
      </c>
      <c r="B29" s="139" t="s">
        <v>1908</v>
      </c>
      <c r="C29" s="694">
        <f>43054*0.5</f>
        <v>21527</v>
      </c>
    </row>
    <row r="30" ht="30" customHeight="1" spans="1:3" s="337" customFormat="1" x14ac:dyDescent="0.25">
      <c r="A30" s="62" t="s">
        <v>1909</v>
      </c>
      <c r="B30" s="134" t="s">
        <v>1910</v>
      </c>
      <c r="C30" s="693">
        <f>C28+C29</f>
        <v>21562.5</v>
      </c>
    </row>
    <row r="31" ht="12" customHeight="1" spans="1:5" x14ac:dyDescent="0.25">
      <c r="A31" s="691"/>
      <c r="B31" s="691"/>
      <c r="C31" s="691"/>
      <c r="D31" s="689"/>
      <c r="E31" s="689"/>
    </row>
    <row r="32" ht="25.5" customHeight="1" spans="1:3" x14ac:dyDescent="0.25">
      <c r="A32" s="62"/>
      <c r="B32" s="134" t="s">
        <v>1911</v>
      </c>
      <c r="C32" s="134"/>
    </row>
    <row r="33" ht="30" customHeight="1" spans="1:3" x14ac:dyDescent="0.25">
      <c r="A33" s="62" t="s">
        <v>1912</v>
      </c>
      <c r="B33" s="139" t="s">
        <v>1913</v>
      </c>
      <c r="C33" s="567">
        <v>40759</v>
      </c>
    </row>
    <row r="34" ht="30" customHeight="1" spans="1:3" x14ac:dyDescent="0.25">
      <c r="A34" s="62" t="s">
        <v>1914</v>
      </c>
      <c r="B34" s="139" t="s">
        <v>1915</v>
      </c>
      <c r="C34" s="567">
        <f>C15+C20+C25+C30</f>
        <v>558660.5</v>
      </c>
    </row>
    <row r="35" ht="30" customHeight="1" spans="1:3" s="337" customFormat="1" x14ac:dyDescent="0.25">
      <c r="A35" s="62" t="s">
        <v>130</v>
      </c>
      <c r="B35" s="134" t="s">
        <v>1916</v>
      </c>
      <c r="C35" s="693">
        <f>C33/C34</f>
        <v>0.07295844256037433</v>
      </c>
    </row>
    <row r="36" ht="17.5" customHeight="1" spans="1:3" x14ac:dyDescent="0.25">
      <c r="A36" s="418"/>
      <c r="B36" s="418"/>
      <c r="C36" s="418"/>
    </row>
  </sheetData>
  <sheetProtection sheet="1" algorithmName="SHA-512" hashValue="2LvH/eCpHlP2V23fPjeCbtLoPUUQ10bTgSOyaCTfNLqq27Xurf5KFvHyBXtbB31Pz8PLCiIaVDxwX479dIIbIQ==" saltValue="AccSu5PQLk2iDhJorsMAcg==" spinCount="100000" objects="1" scenarios="1"/>
  <mergeCells count="6">
    <mergeCell ref="A1:B1"/>
    <mergeCell ref="A10:C10"/>
    <mergeCell ref="A16:C16"/>
    <mergeCell ref="A21:C21"/>
    <mergeCell ref="A26:C26"/>
    <mergeCell ref="A31:C31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55" fitToWidth="1" fitToHeight="1" firstPageNumber="1" useFirstPageNumber="1" copies="1"/>
  <headerFooter>
    <oddFooter>&amp;R&amp;P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30"/>
  <sheetViews>
    <sheetView workbookViewId="0" zoomScale="70" zoomScaleNormal="70" view="pageBreakPreview">
      <selection activeCell="B105" sqref="B105"/>
    </sheetView>
  </sheetViews>
  <sheetFormatPr defaultRowHeight="17.25" outlineLevelRow="0" outlineLevelCol="0" x14ac:dyDescent="0" defaultColWidth="10" customHeight="1"/>
  <cols>
    <col min="1" max="1" width="11.6328125" style="343" customWidth="1"/>
    <col min="2" max="2" width="34.36328125" style="343" customWidth="1"/>
    <col min="3" max="5" width="32.6328125" style="343" customWidth="1"/>
    <col min="6" max="16384" width="10" style="343" customWidth="1"/>
  </cols>
  <sheetData>
    <row r="1" ht="29.25" customHeight="1" spans="1:6" s="317" customFormat="1" x14ac:dyDescent="0.25">
      <c r="A1" s="319" t="s">
        <v>1917</v>
      </c>
      <c r="B1" s="319"/>
      <c r="C1" s="319"/>
      <c r="D1" s="319"/>
      <c r="E1" s="320" t="s">
        <v>100</v>
      </c>
      <c r="F1" s="688"/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8" customHeight="1" spans="2:6" s="317" customFormat="1" x14ac:dyDescent="0.25">
      <c r="B7" s="317"/>
      <c r="C7" s="317"/>
      <c r="D7" s="317"/>
      <c r="E7" s="317"/>
      <c r="F7" s="317"/>
    </row>
    <row r="8" ht="15.75" customHeight="1" spans="1:5" s="695" customFormat="1" x14ac:dyDescent="0.25">
      <c r="A8" s="696"/>
      <c r="B8" s="697"/>
      <c r="C8" s="698"/>
      <c r="D8" s="696"/>
      <c r="E8" s="698"/>
    </row>
    <row r="9" ht="2.25" customHeight="1" spans="1:5" s="695" customFormat="1" x14ac:dyDescent="0.25">
      <c r="A9" s="699"/>
      <c r="C9" s="700"/>
      <c r="E9" s="701"/>
    </row>
    <row r="10" ht="19.5" customHeight="1" spans="1:5" s="133" customFormat="1" x14ac:dyDescent="0.25">
      <c r="A10" s="135" t="s">
        <v>113</v>
      </c>
      <c r="B10" s="135" t="s">
        <v>1918</v>
      </c>
      <c r="C10" s="135" t="s">
        <v>1919</v>
      </c>
      <c r="D10" s="135" t="s">
        <v>1920</v>
      </c>
      <c r="E10" s="135"/>
    </row>
    <row r="11" ht="21.75" customHeight="1" spans="1:5" s="133" customFormat="1" x14ac:dyDescent="0.25">
      <c r="A11" s="135"/>
      <c r="B11" s="135"/>
      <c r="C11" s="135"/>
      <c r="D11" s="135" t="s">
        <v>1921</v>
      </c>
      <c r="E11" s="135" t="s">
        <v>1922</v>
      </c>
    </row>
    <row r="12" ht="27.75" customHeight="1" spans="1:5" s="117" customFormat="1" x14ac:dyDescent="0.25">
      <c r="A12" s="702"/>
      <c r="B12" s="703" t="s">
        <v>1923</v>
      </c>
      <c r="C12" s="703"/>
      <c r="D12" s="703"/>
      <c r="E12" s="703"/>
    </row>
    <row r="13" ht="18" customHeight="1" spans="1:5" s="704" customFormat="1" x14ac:dyDescent="0.25">
      <c r="A13" s="62" t="s">
        <v>1924</v>
      </c>
      <c r="B13" s="567" t="s">
        <v>1925</v>
      </c>
      <c r="C13" s="567"/>
      <c r="D13" s="567">
        <v>2</v>
      </c>
      <c r="E13" s="567">
        <v>0</v>
      </c>
    </row>
    <row r="14" ht="18" customHeight="1" spans="1:5" s="704" customFormat="1" x14ac:dyDescent="0.25">
      <c r="A14" s="62" t="s">
        <v>1926</v>
      </c>
      <c r="B14" s="567" t="s">
        <v>1927</v>
      </c>
      <c r="C14" s="567"/>
      <c r="D14" s="567">
        <v>100</v>
      </c>
      <c r="E14" s="567">
        <v>100</v>
      </c>
    </row>
    <row r="15" ht="18" customHeight="1" spans="1:5" s="704" customFormat="1" x14ac:dyDescent="0.25">
      <c r="A15" s="62" t="s">
        <v>1928</v>
      </c>
      <c r="B15" s="567" t="s">
        <v>1929</v>
      </c>
      <c r="C15" s="567"/>
      <c r="D15" s="567">
        <v>32.5</v>
      </c>
      <c r="E15" s="567">
        <v>32.5</v>
      </c>
    </row>
    <row r="16" ht="18" customHeight="1" spans="1:5" s="704" customFormat="1" x14ac:dyDescent="0.25">
      <c r="A16" s="62" t="s">
        <v>1930</v>
      </c>
      <c r="B16" s="567"/>
      <c r="C16" s="567"/>
      <c r="D16" s="567"/>
      <c r="E16" s="567"/>
    </row>
    <row r="17" ht="18" customHeight="1" spans="1:5" s="704" customFormat="1" x14ac:dyDescent="0.25">
      <c r="A17" s="62" t="s">
        <v>1931</v>
      </c>
      <c r="B17" s="567"/>
      <c r="C17" s="567"/>
      <c r="D17" s="567"/>
      <c r="E17" s="567"/>
    </row>
    <row r="18" ht="18" customHeight="1" spans="1:5" s="704" customFormat="1" x14ac:dyDescent="0.25">
      <c r="A18" s="62" t="s">
        <v>1932</v>
      </c>
      <c r="B18" s="567"/>
      <c r="C18" s="567"/>
      <c r="D18" s="567"/>
      <c r="E18" s="567"/>
    </row>
    <row r="19" ht="18" customHeight="1" spans="1:5" s="704" customFormat="1" x14ac:dyDescent="0.25">
      <c r="A19" s="62" t="s">
        <v>1933</v>
      </c>
      <c r="B19" s="567"/>
      <c r="C19" s="567"/>
      <c r="D19" s="567"/>
      <c r="E19" s="567"/>
    </row>
    <row r="20" ht="18" customHeight="1" spans="1:5" s="704" customFormat="1" x14ac:dyDescent="0.25">
      <c r="A20" s="62" t="s">
        <v>1934</v>
      </c>
      <c r="B20" s="567"/>
      <c r="C20" s="567"/>
      <c r="D20" s="567"/>
      <c r="E20" s="567"/>
    </row>
    <row r="21" ht="18" customHeight="1" spans="1:5" s="704" customFormat="1" x14ac:dyDescent="0.25">
      <c r="A21" s="62" t="s">
        <v>1935</v>
      </c>
      <c r="B21" s="567"/>
      <c r="C21" s="567"/>
      <c r="D21" s="567"/>
      <c r="E21" s="567"/>
    </row>
    <row r="22" ht="18" customHeight="1" spans="1:5" s="704" customFormat="1" x14ac:dyDescent="0.25">
      <c r="A22" s="62" t="s">
        <v>1936</v>
      </c>
      <c r="B22" s="567"/>
      <c r="C22" s="567"/>
      <c r="D22" s="567"/>
      <c r="E22" s="567"/>
    </row>
    <row r="23" ht="18" customHeight="1" spans="1:5" s="704" customFormat="1" x14ac:dyDescent="0.25">
      <c r="A23" s="62" t="s">
        <v>1937</v>
      </c>
      <c r="B23" s="567"/>
      <c r="C23" s="567"/>
      <c r="D23" s="567"/>
      <c r="E23" s="567"/>
    </row>
    <row r="24" ht="18" customHeight="1" spans="1:5" s="704" customFormat="1" x14ac:dyDescent="0.25">
      <c r="A24" s="62" t="s">
        <v>1938</v>
      </c>
      <c r="B24" s="567"/>
      <c r="C24" s="567"/>
      <c r="D24" s="567"/>
      <c r="E24" s="567"/>
    </row>
    <row r="25" ht="18" customHeight="1" spans="1:5" s="704" customFormat="1" x14ac:dyDescent="0.25">
      <c r="A25" s="62" t="s">
        <v>1939</v>
      </c>
      <c r="B25" s="567"/>
      <c r="C25" s="567"/>
      <c r="D25" s="567"/>
      <c r="E25" s="567"/>
    </row>
    <row r="26" ht="18" customHeight="1" spans="1:5" s="704" customFormat="1" x14ac:dyDescent="0.25">
      <c r="A26" s="62" t="s">
        <v>1940</v>
      </c>
      <c r="B26" s="567"/>
      <c r="C26" s="567"/>
      <c r="D26" s="567"/>
      <c r="E26" s="567"/>
    </row>
    <row r="27" ht="18" customHeight="1" spans="1:5" s="704" customFormat="1" x14ac:dyDescent="0.25">
      <c r="A27" s="62" t="s">
        <v>1941</v>
      </c>
      <c r="B27" s="567"/>
      <c r="C27" s="567"/>
      <c r="D27" s="567"/>
      <c r="E27" s="567"/>
    </row>
    <row r="28" ht="18" customHeight="1" spans="1:5" s="704" customFormat="1" x14ac:dyDescent="0.25">
      <c r="A28" s="62" t="s">
        <v>1942</v>
      </c>
      <c r="B28" s="567"/>
      <c r="C28" s="567"/>
      <c r="D28" s="567"/>
      <c r="E28" s="567"/>
    </row>
    <row r="29" ht="18" customHeight="1" spans="1:5" s="704" customFormat="1" x14ac:dyDescent="0.25">
      <c r="A29" s="62" t="s">
        <v>1943</v>
      </c>
      <c r="B29" s="567"/>
      <c r="C29" s="567"/>
      <c r="D29" s="567"/>
      <c r="E29" s="567"/>
    </row>
    <row r="30" ht="18" customHeight="1" spans="1:5" s="704" customFormat="1" x14ac:dyDescent="0.25">
      <c r="A30" s="62" t="s">
        <v>1944</v>
      </c>
      <c r="B30" s="567"/>
      <c r="C30" s="567"/>
      <c r="D30" s="567"/>
      <c r="E30" s="567"/>
    </row>
    <row r="31" ht="18" customHeight="1" spans="1:5" s="704" customFormat="1" x14ac:dyDescent="0.25">
      <c r="A31" s="62" t="s">
        <v>1945</v>
      </c>
      <c r="B31" s="567"/>
      <c r="C31" s="567"/>
      <c r="D31" s="567"/>
      <c r="E31" s="567"/>
    </row>
    <row r="32" ht="18" customHeight="1" spans="1:5" s="704" customFormat="1" x14ac:dyDescent="0.25">
      <c r="A32" s="62" t="s">
        <v>1946</v>
      </c>
      <c r="B32" s="567"/>
      <c r="C32" s="567"/>
      <c r="D32" s="567"/>
      <c r="E32" s="567"/>
    </row>
    <row r="33" ht="26.25" customHeight="1" spans="1:5" s="695" customFormat="1" x14ac:dyDescent="0.25">
      <c r="A33" s="62" t="s">
        <v>1947</v>
      </c>
      <c r="B33" s="705" t="s">
        <v>310</v>
      </c>
      <c r="C33" s="705"/>
      <c r="D33" s="567">
        <v>134.5</v>
      </c>
      <c r="E33" s="567">
        <v>132.5</v>
      </c>
    </row>
    <row r="34" ht="15" customHeight="1" spans="1:5" s="695" customFormat="1" x14ac:dyDescent="0.25">
      <c r="A34" s="362"/>
      <c r="B34" s="362"/>
      <c r="C34" s="362"/>
      <c r="D34" s="362"/>
      <c r="E34" s="362"/>
    </row>
    <row r="35" ht="27.75" customHeight="1" spans="1:5" s="117" customFormat="1" x14ac:dyDescent="0.25">
      <c r="A35" s="702"/>
      <c r="B35" s="703" t="s">
        <v>1948</v>
      </c>
      <c r="C35" s="703"/>
      <c r="D35" s="703"/>
      <c r="E35" s="703"/>
    </row>
    <row r="36" ht="18.75" customHeight="1" spans="1:5" s="704" customFormat="1" x14ac:dyDescent="0.25">
      <c r="A36" s="62" t="s">
        <v>1949</v>
      </c>
      <c r="B36" s="567"/>
      <c r="C36" s="567"/>
      <c r="D36" s="567"/>
      <c r="E36" s="567"/>
    </row>
    <row r="37" ht="20.25" customHeight="1" spans="1:5" s="704" customFormat="1" x14ac:dyDescent="0.25">
      <c r="A37" s="62" t="s">
        <v>1950</v>
      </c>
      <c r="B37" s="567"/>
      <c r="C37" s="567"/>
      <c r="D37" s="567"/>
      <c r="E37" s="567"/>
    </row>
    <row r="38" ht="20.25" customHeight="1" spans="1:5" s="704" customFormat="1" x14ac:dyDescent="0.25">
      <c r="A38" s="62" t="s">
        <v>1951</v>
      </c>
      <c r="B38" s="567"/>
      <c r="C38" s="567"/>
      <c r="D38" s="567"/>
      <c r="E38" s="567"/>
    </row>
    <row r="39" ht="20.25" customHeight="1" spans="1:5" s="704" customFormat="1" x14ac:dyDescent="0.25">
      <c r="A39" s="62" t="s">
        <v>1952</v>
      </c>
      <c r="B39" s="567"/>
      <c r="C39" s="567"/>
      <c r="D39" s="567"/>
      <c r="E39" s="567"/>
    </row>
    <row r="40" ht="20.25" customHeight="1" spans="1:5" s="704" customFormat="1" x14ac:dyDescent="0.25">
      <c r="A40" s="62" t="s">
        <v>1953</v>
      </c>
      <c r="B40" s="567"/>
      <c r="C40" s="567"/>
      <c r="D40" s="567"/>
      <c r="E40" s="567"/>
    </row>
    <row r="41" ht="20.25" customHeight="1" spans="1:5" s="704" customFormat="1" x14ac:dyDescent="0.25">
      <c r="A41" s="62" t="s">
        <v>1954</v>
      </c>
      <c r="B41" s="567"/>
      <c r="C41" s="567"/>
      <c r="D41" s="567"/>
      <c r="E41" s="567"/>
    </row>
    <row r="42" ht="20.25" customHeight="1" spans="1:5" s="704" customFormat="1" x14ac:dyDescent="0.25">
      <c r="A42" s="62" t="s">
        <v>1955</v>
      </c>
      <c r="B42" s="567"/>
      <c r="C42" s="567"/>
      <c r="D42" s="567"/>
      <c r="E42" s="567"/>
    </row>
    <row r="43" ht="20.25" customHeight="1" spans="1:5" s="704" customFormat="1" x14ac:dyDescent="0.25">
      <c r="A43" s="62" t="s">
        <v>1956</v>
      </c>
      <c r="B43" s="567"/>
      <c r="C43" s="567"/>
      <c r="D43" s="567"/>
      <c r="E43" s="567"/>
    </row>
    <row r="44" ht="20.25" customHeight="1" spans="1:5" s="704" customFormat="1" x14ac:dyDescent="0.25">
      <c r="A44" s="62" t="s">
        <v>1957</v>
      </c>
      <c r="B44" s="567"/>
      <c r="C44" s="567"/>
      <c r="D44" s="567"/>
      <c r="E44" s="567"/>
    </row>
    <row r="45" ht="20.25" customHeight="1" spans="1:5" s="704" customFormat="1" x14ac:dyDescent="0.25">
      <c r="A45" s="62" t="s">
        <v>1958</v>
      </c>
      <c r="B45" s="567"/>
      <c r="C45" s="567"/>
      <c r="D45" s="567"/>
      <c r="E45" s="567"/>
    </row>
    <row r="46" ht="20.25" customHeight="1" spans="1:5" s="704" customFormat="1" x14ac:dyDescent="0.25">
      <c r="A46" s="62" t="s">
        <v>1959</v>
      </c>
      <c r="B46" s="567"/>
      <c r="C46" s="567"/>
      <c r="D46" s="567"/>
      <c r="E46" s="567"/>
    </row>
    <row r="47" ht="20.25" customHeight="1" spans="1:5" s="704" customFormat="1" x14ac:dyDescent="0.25">
      <c r="A47" s="62" t="s">
        <v>1960</v>
      </c>
      <c r="B47" s="567"/>
      <c r="C47" s="567"/>
      <c r="D47" s="567"/>
      <c r="E47" s="567"/>
    </row>
    <row r="48" ht="20.25" customHeight="1" spans="1:5" s="704" customFormat="1" x14ac:dyDescent="0.25">
      <c r="A48" s="62" t="s">
        <v>1961</v>
      </c>
      <c r="B48" s="567"/>
      <c r="C48" s="567"/>
      <c r="D48" s="567"/>
      <c r="E48" s="567"/>
    </row>
    <row r="49" ht="18.75" customHeight="1" spans="1:5" s="704" customFormat="1" x14ac:dyDescent="0.25">
      <c r="A49" s="62" t="s">
        <v>1962</v>
      </c>
      <c r="B49" s="567"/>
      <c r="C49" s="567"/>
      <c r="D49" s="567"/>
      <c r="E49" s="567"/>
    </row>
    <row r="50" ht="18.75" customHeight="1" spans="1:5" s="704" customFormat="1" x14ac:dyDescent="0.25">
      <c r="A50" s="62" t="s">
        <v>1963</v>
      </c>
      <c r="B50" s="567"/>
      <c r="C50" s="567"/>
      <c r="D50" s="567"/>
      <c r="E50" s="567"/>
    </row>
    <row r="51" ht="18.75" customHeight="1" spans="1:5" s="704" customFormat="1" x14ac:dyDescent="0.25">
      <c r="A51" s="62" t="s">
        <v>1964</v>
      </c>
      <c r="B51" s="567"/>
      <c r="C51" s="567"/>
      <c r="D51" s="567"/>
      <c r="E51" s="567"/>
    </row>
    <row r="52" ht="18.75" customHeight="1" spans="1:5" s="704" customFormat="1" x14ac:dyDescent="0.25">
      <c r="A52" s="62" t="s">
        <v>1965</v>
      </c>
      <c r="B52" s="567"/>
      <c r="C52" s="567"/>
      <c r="D52" s="567"/>
      <c r="E52" s="567"/>
    </row>
    <row r="53" ht="18.75" customHeight="1" spans="1:5" s="704" customFormat="1" x14ac:dyDescent="0.25">
      <c r="A53" s="62" t="s">
        <v>1966</v>
      </c>
      <c r="B53" s="567"/>
      <c r="C53" s="567"/>
      <c r="D53" s="567"/>
      <c r="E53" s="567"/>
    </row>
    <row r="54" ht="18.75" customHeight="1" spans="1:5" s="704" customFormat="1" x14ac:dyDescent="0.25">
      <c r="A54" s="62" t="s">
        <v>1967</v>
      </c>
      <c r="B54" s="567"/>
      <c r="C54" s="567"/>
      <c r="D54" s="567"/>
      <c r="E54" s="567"/>
    </row>
    <row r="55" ht="18.75" customHeight="1" spans="1:5" s="704" customFormat="1" x14ac:dyDescent="0.25">
      <c r="A55" s="62" t="s">
        <v>1968</v>
      </c>
      <c r="B55" s="567"/>
      <c r="C55" s="567"/>
      <c r="D55" s="567"/>
      <c r="E55" s="567"/>
    </row>
    <row r="56" ht="39" customHeight="1" spans="1:5" s="695" customFormat="1" x14ac:dyDescent="0.25">
      <c r="A56" s="62" t="s">
        <v>1969</v>
      </c>
      <c r="B56" s="705" t="s">
        <v>1970</v>
      </c>
      <c r="C56" s="705"/>
      <c r="D56" s="567">
        <v>0</v>
      </c>
      <c r="E56" s="567">
        <v>0</v>
      </c>
    </row>
    <row r="57" ht="15" customHeight="1" spans="1:5" s="695" customFormat="1" x14ac:dyDescent="0.25">
      <c r="A57" s="356"/>
      <c r="B57" s="356"/>
      <c r="C57" s="356"/>
      <c r="D57" s="356"/>
      <c r="E57" s="356"/>
    </row>
    <row r="58" ht="27.75" customHeight="1" spans="1:5" s="117" customFormat="1" x14ac:dyDescent="0.25">
      <c r="A58" s="702"/>
      <c r="B58" s="703" t="s">
        <v>1971</v>
      </c>
      <c r="C58" s="703"/>
      <c r="D58" s="703"/>
      <c r="E58" s="703"/>
    </row>
    <row r="59" ht="20.25" customHeight="1" spans="1:5" s="704" customFormat="1" x14ac:dyDescent="0.25">
      <c r="A59" s="62" t="s">
        <v>1972</v>
      </c>
      <c r="B59" s="567"/>
      <c r="C59" s="567"/>
      <c r="D59" s="567"/>
      <c r="E59" s="567"/>
    </row>
    <row r="60" ht="18" customHeight="1" spans="1:5" s="704" customFormat="1" x14ac:dyDescent="0.25">
      <c r="A60" s="62" t="s">
        <v>1973</v>
      </c>
      <c r="B60" s="567"/>
      <c r="C60" s="567"/>
      <c r="D60" s="567"/>
      <c r="E60" s="567"/>
    </row>
    <row r="61" ht="18" customHeight="1" spans="1:5" s="704" customFormat="1" x14ac:dyDescent="0.25">
      <c r="A61" s="62" t="s">
        <v>1974</v>
      </c>
      <c r="B61" s="567"/>
      <c r="C61" s="567"/>
      <c r="D61" s="567"/>
      <c r="E61" s="567"/>
    </row>
    <row r="62" ht="18" customHeight="1" spans="1:5" s="704" customFormat="1" x14ac:dyDescent="0.25">
      <c r="A62" s="62" t="s">
        <v>1975</v>
      </c>
      <c r="B62" s="567"/>
      <c r="C62" s="567"/>
      <c r="D62" s="567"/>
      <c r="E62" s="567"/>
    </row>
    <row r="63" ht="18" customHeight="1" spans="1:5" s="704" customFormat="1" x14ac:dyDescent="0.25">
      <c r="A63" s="62" t="s">
        <v>1976</v>
      </c>
      <c r="B63" s="567"/>
      <c r="C63" s="567"/>
      <c r="D63" s="567"/>
      <c r="E63" s="567"/>
    </row>
    <row r="64" ht="18" customHeight="1" spans="1:5" s="704" customFormat="1" x14ac:dyDescent="0.25">
      <c r="A64" s="62" t="s">
        <v>1977</v>
      </c>
      <c r="B64" s="567"/>
      <c r="C64" s="567"/>
      <c r="D64" s="567"/>
      <c r="E64" s="567"/>
    </row>
    <row r="65" ht="18" customHeight="1" spans="1:5" s="704" customFormat="1" x14ac:dyDescent="0.25">
      <c r="A65" s="62" t="s">
        <v>1978</v>
      </c>
      <c r="B65" s="567"/>
      <c r="C65" s="567"/>
      <c r="D65" s="567"/>
      <c r="E65" s="567"/>
    </row>
    <row r="66" ht="18" customHeight="1" spans="1:5" s="704" customFormat="1" x14ac:dyDescent="0.25">
      <c r="A66" s="62" t="s">
        <v>1979</v>
      </c>
      <c r="B66" s="567"/>
      <c r="C66" s="567"/>
      <c r="D66" s="567"/>
      <c r="E66" s="567"/>
    </row>
    <row r="67" ht="18" customHeight="1" spans="1:5" s="704" customFormat="1" x14ac:dyDescent="0.25">
      <c r="A67" s="62" t="s">
        <v>1980</v>
      </c>
      <c r="B67" s="567"/>
      <c r="C67" s="567"/>
      <c r="D67" s="567"/>
      <c r="E67" s="567"/>
    </row>
    <row r="68" ht="18" customHeight="1" spans="1:5" s="704" customFormat="1" x14ac:dyDescent="0.25">
      <c r="A68" s="62" t="s">
        <v>1981</v>
      </c>
      <c r="B68" s="567"/>
      <c r="C68" s="567"/>
      <c r="D68" s="567"/>
      <c r="E68" s="567"/>
    </row>
    <row r="69" ht="18" customHeight="1" spans="1:5" s="704" customFormat="1" x14ac:dyDescent="0.25">
      <c r="A69" s="62" t="s">
        <v>1982</v>
      </c>
      <c r="B69" s="567"/>
      <c r="C69" s="567"/>
      <c r="D69" s="567"/>
      <c r="E69" s="567"/>
    </row>
    <row r="70" ht="18" customHeight="1" spans="1:5" s="704" customFormat="1" x14ac:dyDescent="0.25">
      <c r="A70" s="62" t="s">
        <v>1983</v>
      </c>
      <c r="B70" s="567"/>
      <c r="C70" s="567"/>
      <c r="D70" s="567"/>
      <c r="E70" s="567"/>
    </row>
    <row r="71" ht="18" customHeight="1" spans="1:5" s="704" customFormat="1" x14ac:dyDescent="0.25">
      <c r="A71" s="62" t="s">
        <v>1984</v>
      </c>
      <c r="B71" s="567"/>
      <c r="C71" s="567"/>
      <c r="D71" s="567"/>
      <c r="E71" s="567"/>
    </row>
    <row r="72" ht="18" customHeight="1" spans="1:5" s="704" customFormat="1" x14ac:dyDescent="0.25">
      <c r="A72" s="62" t="s">
        <v>1985</v>
      </c>
      <c r="B72" s="567"/>
      <c r="C72" s="567"/>
      <c r="D72" s="567"/>
      <c r="E72" s="567"/>
    </row>
    <row r="73" ht="18" customHeight="1" spans="1:5" s="704" customFormat="1" x14ac:dyDescent="0.25">
      <c r="A73" s="62" t="s">
        <v>1986</v>
      </c>
      <c r="B73" s="567"/>
      <c r="C73" s="567"/>
      <c r="D73" s="567"/>
      <c r="E73" s="567"/>
    </row>
    <row r="74" ht="18" customHeight="1" spans="1:5" s="704" customFormat="1" x14ac:dyDescent="0.25">
      <c r="A74" s="62" t="s">
        <v>1987</v>
      </c>
      <c r="B74" s="567"/>
      <c r="C74" s="567"/>
      <c r="D74" s="567"/>
      <c r="E74" s="567"/>
    </row>
    <row r="75" ht="18" customHeight="1" spans="1:5" s="704" customFormat="1" x14ac:dyDescent="0.25">
      <c r="A75" s="62" t="s">
        <v>1988</v>
      </c>
      <c r="B75" s="567"/>
      <c r="C75" s="567"/>
      <c r="D75" s="567"/>
      <c r="E75" s="567"/>
    </row>
    <row r="76" ht="18" customHeight="1" spans="1:5" s="704" customFormat="1" x14ac:dyDescent="0.25">
      <c r="A76" s="62" t="s">
        <v>1989</v>
      </c>
      <c r="B76" s="567"/>
      <c r="C76" s="567"/>
      <c r="D76" s="567"/>
      <c r="E76" s="567"/>
    </row>
    <row r="77" ht="18" customHeight="1" spans="1:5" s="704" customFormat="1" x14ac:dyDescent="0.25">
      <c r="A77" s="62" t="s">
        <v>1990</v>
      </c>
      <c r="B77" s="567"/>
      <c r="C77" s="567"/>
      <c r="D77" s="567"/>
      <c r="E77" s="567"/>
    </row>
    <row r="78" ht="18" customHeight="1" spans="1:5" s="704" customFormat="1" x14ac:dyDescent="0.25">
      <c r="A78" s="62" t="s">
        <v>1991</v>
      </c>
      <c r="B78" s="567"/>
      <c r="C78" s="567"/>
      <c r="D78" s="567"/>
      <c r="E78" s="567"/>
    </row>
    <row r="79" ht="41.25" customHeight="1" spans="1:5" s="695" customFormat="1" x14ac:dyDescent="0.25">
      <c r="A79" s="62" t="s">
        <v>1992</v>
      </c>
      <c r="B79" s="705" t="s">
        <v>1993</v>
      </c>
      <c r="C79" s="705"/>
      <c r="D79" s="567">
        <v>0</v>
      </c>
      <c r="E79" s="567">
        <v>0</v>
      </c>
    </row>
    <row r="80" ht="15" customHeight="1" spans="1:5" s="695" customFormat="1" x14ac:dyDescent="0.25">
      <c r="A80" s="356"/>
      <c r="B80" s="356"/>
      <c r="C80" s="356"/>
      <c r="D80" s="356"/>
      <c r="E80" s="356"/>
    </row>
    <row r="81" ht="27.75" customHeight="1" spans="1:5" s="117" customFormat="1" x14ac:dyDescent="0.25">
      <c r="A81" s="702"/>
      <c r="B81" s="703" t="s">
        <v>1994</v>
      </c>
      <c r="C81" s="703"/>
      <c r="D81" s="703"/>
      <c r="E81" s="703"/>
    </row>
    <row r="82" ht="21.75" customHeight="1" spans="1:5" s="704" customFormat="1" x14ac:dyDescent="0.25">
      <c r="A82" s="62" t="s">
        <v>1995</v>
      </c>
      <c r="B82" s="567" t="s">
        <v>1996</v>
      </c>
      <c r="C82" s="567"/>
      <c r="D82" s="567">
        <v>1106</v>
      </c>
      <c r="E82" s="567">
        <v>1106</v>
      </c>
    </row>
    <row r="83" ht="18" customHeight="1" spans="1:5" s="704" customFormat="1" x14ac:dyDescent="0.25">
      <c r="A83" s="62" t="s">
        <v>1997</v>
      </c>
      <c r="B83" s="567"/>
      <c r="C83" s="567"/>
      <c r="D83" s="567"/>
      <c r="E83" s="567"/>
    </row>
    <row r="84" ht="18" customHeight="1" spans="1:5" s="704" customFormat="1" x14ac:dyDescent="0.25">
      <c r="A84" s="62" t="s">
        <v>1998</v>
      </c>
      <c r="B84" s="567"/>
      <c r="C84" s="567"/>
      <c r="D84" s="567"/>
      <c r="E84" s="567"/>
    </row>
    <row r="85" ht="18" customHeight="1" spans="1:5" s="704" customFormat="1" x14ac:dyDescent="0.25">
      <c r="A85" s="62" t="s">
        <v>1999</v>
      </c>
      <c r="B85" s="567"/>
      <c r="C85" s="567"/>
      <c r="D85" s="567"/>
      <c r="E85" s="567"/>
    </row>
    <row r="86" ht="18" customHeight="1" spans="1:5" s="704" customFormat="1" x14ac:dyDescent="0.25">
      <c r="A86" s="62" t="s">
        <v>2000</v>
      </c>
      <c r="B86" s="567"/>
      <c r="C86" s="567"/>
      <c r="D86" s="567"/>
      <c r="E86" s="567"/>
    </row>
    <row r="87" ht="18" customHeight="1" spans="1:5" s="704" customFormat="1" x14ac:dyDescent="0.25">
      <c r="A87" s="62" t="s">
        <v>2001</v>
      </c>
      <c r="B87" s="567"/>
      <c r="C87" s="567"/>
      <c r="D87" s="567"/>
      <c r="E87" s="567"/>
    </row>
    <row r="88" ht="18" customHeight="1" spans="1:5" s="704" customFormat="1" x14ac:dyDescent="0.25">
      <c r="A88" s="62" t="s">
        <v>2002</v>
      </c>
      <c r="B88" s="567"/>
      <c r="C88" s="567"/>
      <c r="D88" s="567"/>
      <c r="E88" s="567"/>
    </row>
    <row r="89" ht="18" customHeight="1" spans="1:5" s="704" customFormat="1" x14ac:dyDescent="0.25">
      <c r="A89" s="62" t="s">
        <v>2003</v>
      </c>
      <c r="B89" s="567"/>
      <c r="C89" s="567"/>
      <c r="D89" s="567"/>
      <c r="E89" s="567"/>
    </row>
    <row r="90" ht="18" customHeight="1" spans="1:5" s="704" customFormat="1" x14ac:dyDescent="0.25">
      <c r="A90" s="62" t="s">
        <v>2004</v>
      </c>
      <c r="B90" s="567"/>
      <c r="C90" s="567"/>
      <c r="D90" s="567"/>
      <c r="E90" s="567"/>
    </row>
    <row r="91" ht="18" customHeight="1" spans="1:5" s="704" customFormat="1" x14ac:dyDescent="0.25">
      <c r="A91" s="62" t="s">
        <v>2005</v>
      </c>
      <c r="B91" s="567"/>
      <c r="C91" s="567"/>
      <c r="D91" s="567"/>
      <c r="E91" s="567"/>
    </row>
    <row r="92" ht="18" customHeight="1" spans="1:5" s="704" customFormat="1" x14ac:dyDescent="0.25">
      <c r="A92" s="62" t="s">
        <v>2006</v>
      </c>
      <c r="B92" s="567"/>
      <c r="C92" s="567"/>
      <c r="D92" s="567"/>
      <c r="E92" s="567"/>
    </row>
    <row r="93" ht="18" customHeight="1" spans="1:5" s="704" customFormat="1" x14ac:dyDescent="0.25">
      <c r="A93" s="62" t="s">
        <v>2007</v>
      </c>
      <c r="B93" s="567"/>
      <c r="C93" s="567"/>
      <c r="D93" s="567"/>
      <c r="E93" s="567"/>
    </row>
    <row r="94" ht="18" customHeight="1" spans="1:5" s="704" customFormat="1" x14ac:dyDescent="0.25">
      <c r="A94" s="62" t="s">
        <v>2008</v>
      </c>
      <c r="B94" s="567"/>
      <c r="C94" s="567"/>
      <c r="D94" s="567"/>
      <c r="E94" s="567"/>
    </row>
    <row r="95" ht="18" customHeight="1" spans="1:5" s="704" customFormat="1" x14ac:dyDescent="0.25">
      <c r="A95" s="62" t="s">
        <v>2009</v>
      </c>
      <c r="B95" s="567"/>
      <c r="C95" s="567"/>
      <c r="D95" s="567"/>
      <c r="E95" s="567"/>
    </row>
    <row r="96" ht="18" customHeight="1" spans="1:5" s="704" customFormat="1" x14ac:dyDescent="0.25">
      <c r="A96" s="62" t="s">
        <v>2010</v>
      </c>
      <c r="B96" s="567"/>
      <c r="C96" s="567"/>
      <c r="D96" s="567"/>
      <c r="E96" s="567"/>
    </row>
    <row r="97" ht="18" customHeight="1" spans="1:5" s="704" customFormat="1" x14ac:dyDescent="0.25">
      <c r="A97" s="62" t="s">
        <v>2011</v>
      </c>
      <c r="B97" s="567"/>
      <c r="C97" s="567"/>
      <c r="D97" s="567"/>
      <c r="E97" s="567"/>
    </row>
    <row r="98" ht="18" customHeight="1" spans="1:5" s="704" customFormat="1" x14ac:dyDescent="0.25">
      <c r="A98" s="62" t="s">
        <v>2012</v>
      </c>
      <c r="B98" s="567"/>
      <c r="C98" s="567"/>
      <c r="D98" s="567"/>
      <c r="E98" s="567"/>
    </row>
    <row r="99" ht="18" customHeight="1" spans="1:5" s="704" customFormat="1" x14ac:dyDescent="0.25">
      <c r="A99" s="62" t="s">
        <v>2013</v>
      </c>
      <c r="B99" s="567"/>
      <c r="C99" s="567"/>
      <c r="D99" s="567"/>
      <c r="E99" s="567"/>
    </row>
    <row r="100" ht="18" customHeight="1" spans="1:5" s="704" customFormat="1" x14ac:dyDescent="0.25">
      <c r="A100" s="62" t="s">
        <v>2014</v>
      </c>
      <c r="B100" s="567"/>
      <c r="C100" s="567"/>
      <c r="D100" s="567"/>
      <c r="E100" s="567"/>
    </row>
    <row r="101" ht="18" customHeight="1" spans="1:5" s="704" customFormat="1" x14ac:dyDescent="0.25">
      <c r="A101" s="62" t="s">
        <v>2015</v>
      </c>
      <c r="B101" s="567"/>
      <c r="C101" s="567"/>
      <c r="D101" s="567"/>
      <c r="E101" s="567"/>
    </row>
    <row r="102" ht="26.25" customHeight="1" spans="1:5" s="695" customFormat="1" x14ac:dyDescent="0.25">
      <c r="A102" s="62" t="s">
        <v>2016</v>
      </c>
      <c r="B102" s="705" t="s">
        <v>2017</v>
      </c>
      <c r="C102" s="705"/>
      <c r="D102" s="567">
        <v>1106</v>
      </c>
      <c r="E102" s="567">
        <v>1106</v>
      </c>
    </row>
    <row r="103" ht="15" customHeight="1" spans="1:5" s="695" customFormat="1" x14ac:dyDescent="0.25">
      <c r="A103" s="356"/>
      <c r="B103" s="356"/>
      <c r="C103" s="356"/>
      <c r="D103" s="356"/>
      <c r="E103" s="356"/>
    </row>
    <row r="104" ht="27.75" customHeight="1" spans="1:5" s="117" customFormat="1" x14ac:dyDescent="0.25">
      <c r="A104" s="702"/>
      <c r="B104" s="703" t="s">
        <v>2018</v>
      </c>
      <c r="C104" s="703"/>
      <c r="D104" s="703"/>
      <c r="E104" s="703"/>
    </row>
    <row r="105" ht="22.5" customHeight="1" spans="1:5" s="704" customFormat="1" x14ac:dyDescent="0.25">
      <c r="A105" s="62" t="s">
        <v>2019</v>
      </c>
      <c r="B105" s="567" t="s">
        <v>2020</v>
      </c>
      <c r="C105" s="567"/>
      <c r="D105" s="567">
        <v>15</v>
      </c>
      <c r="E105" s="567">
        <v>14</v>
      </c>
    </row>
    <row r="106" ht="17.25" customHeight="1" spans="1:5" s="704" customFormat="1" x14ac:dyDescent="0.25">
      <c r="A106" s="62" t="s">
        <v>2021</v>
      </c>
      <c r="B106" s="567" t="s">
        <v>2022</v>
      </c>
      <c r="C106" s="567"/>
      <c r="D106" s="567">
        <v>1</v>
      </c>
      <c r="E106" s="567">
        <v>0</v>
      </c>
    </row>
    <row r="107" ht="17.25" customHeight="1" spans="1:5" s="704" customFormat="1" x14ac:dyDescent="0.25">
      <c r="A107" s="62" t="s">
        <v>2023</v>
      </c>
      <c r="B107" s="567"/>
      <c r="C107" s="567"/>
      <c r="D107" s="567"/>
      <c r="E107" s="567"/>
    </row>
    <row r="108" ht="17.25" customHeight="1" spans="1:5" s="704" customFormat="1" x14ac:dyDescent="0.25">
      <c r="A108" s="62" t="s">
        <v>2024</v>
      </c>
      <c r="B108" s="567"/>
      <c r="C108" s="567"/>
      <c r="D108" s="567"/>
      <c r="E108" s="567"/>
    </row>
    <row r="109" ht="17.25" customHeight="1" spans="1:5" s="704" customFormat="1" x14ac:dyDescent="0.25">
      <c r="A109" s="62" t="s">
        <v>2025</v>
      </c>
      <c r="B109" s="567"/>
      <c r="C109" s="567"/>
      <c r="D109" s="567"/>
      <c r="E109" s="567"/>
    </row>
    <row r="110" ht="17.25" customHeight="1" spans="1:5" s="704" customFormat="1" x14ac:dyDescent="0.25">
      <c r="A110" s="62" t="s">
        <v>2026</v>
      </c>
      <c r="B110" s="567"/>
      <c r="C110" s="567"/>
      <c r="D110" s="567"/>
      <c r="E110" s="567"/>
    </row>
    <row r="111" ht="17.25" customHeight="1" spans="1:5" s="704" customFormat="1" x14ac:dyDescent="0.25">
      <c r="A111" s="62" t="s">
        <v>2027</v>
      </c>
      <c r="B111" s="567"/>
      <c r="C111" s="567"/>
      <c r="D111" s="567"/>
      <c r="E111" s="567"/>
    </row>
    <row r="112" ht="17.25" customHeight="1" spans="1:5" s="704" customFormat="1" x14ac:dyDescent="0.25">
      <c r="A112" s="62" t="s">
        <v>2028</v>
      </c>
      <c r="B112" s="567"/>
      <c r="C112" s="567"/>
      <c r="D112" s="567"/>
      <c r="E112" s="567"/>
    </row>
    <row r="113" ht="17.25" customHeight="1" spans="1:5" s="704" customFormat="1" x14ac:dyDescent="0.25">
      <c r="A113" s="62" t="s">
        <v>2029</v>
      </c>
      <c r="B113" s="567"/>
      <c r="C113" s="567"/>
      <c r="D113" s="567"/>
      <c r="E113" s="567"/>
    </row>
    <row r="114" ht="17.25" customHeight="1" spans="1:5" s="704" customFormat="1" x14ac:dyDescent="0.25">
      <c r="A114" s="62" t="s">
        <v>2030</v>
      </c>
      <c r="B114" s="567"/>
      <c r="C114" s="567"/>
      <c r="D114" s="567"/>
      <c r="E114" s="567"/>
    </row>
    <row r="115" ht="17.25" customHeight="1" spans="1:5" s="704" customFormat="1" x14ac:dyDescent="0.25">
      <c r="A115" s="62" t="s">
        <v>2031</v>
      </c>
      <c r="B115" s="567"/>
      <c r="C115" s="567"/>
      <c r="D115" s="567"/>
      <c r="E115" s="567"/>
    </row>
    <row r="116" ht="17.25" customHeight="1" spans="1:5" s="704" customFormat="1" x14ac:dyDescent="0.25">
      <c r="A116" s="62" t="s">
        <v>2032</v>
      </c>
      <c r="B116" s="567"/>
      <c r="C116" s="567"/>
      <c r="D116" s="567"/>
      <c r="E116" s="567"/>
    </row>
    <row r="117" ht="17.25" customHeight="1" spans="1:5" s="704" customFormat="1" x14ac:dyDescent="0.25">
      <c r="A117" s="62" t="s">
        <v>2033</v>
      </c>
      <c r="B117" s="567"/>
      <c r="C117" s="567"/>
      <c r="D117" s="567"/>
      <c r="E117" s="567"/>
    </row>
    <row r="118" ht="17.25" customHeight="1" spans="1:5" s="704" customFormat="1" x14ac:dyDescent="0.25">
      <c r="A118" s="62" t="s">
        <v>2034</v>
      </c>
      <c r="B118" s="567"/>
      <c r="C118" s="567"/>
      <c r="D118" s="567"/>
      <c r="E118" s="567"/>
    </row>
    <row r="119" ht="17.25" customHeight="1" spans="1:5" s="704" customFormat="1" x14ac:dyDescent="0.25">
      <c r="A119" s="62" t="s">
        <v>2035</v>
      </c>
      <c r="B119" s="567"/>
      <c r="C119" s="567"/>
      <c r="D119" s="567"/>
      <c r="E119" s="567"/>
    </row>
    <row r="120" ht="17.25" customHeight="1" spans="1:5" s="704" customFormat="1" x14ac:dyDescent="0.25">
      <c r="A120" s="62" t="s">
        <v>2036</v>
      </c>
      <c r="B120" s="567"/>
      <c r="C120" s="567"/>
      <c r="D120" s="567"/>
      <c r="E120" s="567"/>
    </row>
    <row r="121" ht="17.25" customHeight="1" spans="1:5" s="704" customFormat="1" x14ac:dyDescent="0.25">
      <c r="A121" s="62" t="s">
        <v>2037</v>
      </c>
      <c r="B121" s="567"/>
      <c r="C121" s="567"/>
      <c r="D121" s="567"/>
      <c r="E121" s="567"/>
    </row>
    <row r="122" ht="17.25" customHeight="1" spans="1:5" s="704" customFormat="1" x14ac:dyDescent="0.25">
      <c r="A122" s="62" t="s">
        <v>2038</v>
      </c>
      <c r="B122" s="567"/>
      <c r="C122" s="567"/>
      <c r="D122" s="567"/>
      <c r="E122" s="567"/>
    </row>
    <row r="123" ht="17.25" customHeight="1" spans="1:5" s="704" customFormat="1" x14ac:dyDescent="0.25">
      <c r="A123" s="62" t="s">
        <v>2039</v>
      </c>
      <c r="B123" s="567"/>
      <c r="C123" s="567"/>
      <c r="D123" s="567"/>
      <c r="E123" s="567"/>
    </row>
    <row r="124" ht="17.25" customHeight="1" spans="1:5" s="704" customFormat="1" x14ac:dyDescent="0.25">
      <c r="A124" s="62" t="s">
        <v>2040</v>
      </c>
      <c r="B124" s="567"/>
      <c r="C124" s="567"/>
      <c r="D124" s="567"/>
      <c r="E124" s="567"/>
    </row>
    <row r="125" ht="26.25" customHeight="1" spans="1:5" s="695" customFormat="1" x14ac:dyDescent="0.25">
      <c r="A125" s="62" t="s">
        <v>2041</v>
      </c>
      <c r="B125" s="705" t="s">
        <v>2042</v>
      </c>
      <c r="C125" s="705"/>
      <c r="D125" s="567">
        <v>16</v>
      </c>
      <c r="E125" s="567">
        <v>14</v>
      </c>
    </row>
    <row r="126" ht="15" customHeight="1" spans="1:5" s="695" customFormat="1" x14ac:dyDescent="0.25">
      <c r="A126" s="356"/>
      <c r="B126" s="356"/>
      <c r="C126" s="356"/>
      <c r="D126" s="356"/>
      <c r="E126" s="356"/>
    </row>
    <row r="127" ht="26.25" customHeight="1" spans="1:5" s="695" customFormat="1" x14ac:dyDescent="0.25">
      <c r="A127" s="62" t="s">
        <v>2043</v>
      </c>
      <c r="B127" s="705" t="s">
        <v>2044</v>
      </c>
      <c r="C127" s="705"/>
      <c r="D127" s="567">
        <v>1256.5</v>
      </c>
      <c r="E127" s="567">
        <v>1252.5</v>
      </c>
    </row>
    <row r="128" ht="12" customHeight="1" spans="1:5" s="695" customFormat="1" x14ac:dyDescent="0.25">
      <c r="A128" s="50"/>
      <c r="B128" s="53"/>
      <c r="C128" s="706"/>
      <c r="D128" s="707"/>
      <c r="E128" s="707"/>
    </row>
    <row r="129" ht="15.75" customHeight="1" spans="1:3" s="695" customFormat="1" x14ac:dyDescent="0.25">
      <c r="A129" s="50" t="s">
        <v>2045</v>
      </c>
      <c r="C129" s="117"/>
    </row>
    <row r="130" ht="13.5" customHeight="1" spans="1:3" s="695" customFormat="1" x14ac:dyDescent="0.25">
      <c r="A130" s="117" t="s">
        <v>2046</v>
      </c>
      <c r="C130" s="117"/>
    </row>
  </sheetData>
  <sheetProtection sheet="1" algorithmName="SHA-512" hashValue="QAwT0uX6BVX/vwrQXfJT9TxD6JBBy4MqcisgUrVnIDy13CNB+HJwM7c6v4bC5X0wxvFG/2pzkGcIDX3QYnV/0A==" saltValue="M1urdw2ek6foVHyCp3lDJQ==" spinCount="100000" objects="1" scenarios="1"/>
  <mergeCells count="21">
    <mergeCell ref="A1:D1"/>
    <mergeCell ref="D10:E10"/>
    <mergeCell ref="A10:A11"/>
    <mergeCell ref="B10:B11"/>
    <mergeCell ref="C10:C11"/>
    <mergeCell ref="B12:E12"/>
    <mergeCell ref="B33:C33"/>
    <mergeCell ref="A34:E34"/>
    <mergeCell ref="B35:E35"/>
    <mergeCell ref="B56:C56"/>
    <mergeCell ref="A57:E57"/>
    <mergeCell ref="B58:E58"/>
    <mergeCell ref="B79:C79"/>
    <mergeCell ref="A80:E80"/>
    <mergeCell ref="B81:E81"/>
    <mergeCell ref="B102:C102"/>
    <mergeCell ref="A103:E103"/>
    <mergeCell ref="B104:E104"/>
    <mergeCell ref="B125:C125"/>
    <mergeCell ref="A126:E126"/>
    <mergeCell ref="B127:C127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54" fitToWidth="1" fitToHeight="1" firstPageNumber="1" useFirstPageNumber="1" copies="1"/>
  <headerFooter>
    <oddFooter>&amp;R&amp;P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L71"/>
  <sheetViews>
    <sheetView workbookViewId="0" zoomScale="80" zoomScaleNormal="70" view="pageBreakPreview">
      <selection activeCell="H14" sqref="H14"/>
    </sheetView>
  </sheetViews>
  <sheetFormatPr defaultRowHeight="17.25" outlineLevelRow="0" outlineLevelCol="0" x14ac:dyDescent="0" defaultColWidth="10" customHeight="1"/>
  <cols>
    <col min="1" max="1" width="12.54296875" style="343" customWidth="1"/>
    <col min="2" max="2" width="16.1796875" style="343" customWidth="1"/>
    <col min="3" max="3" width="31.81640625" style="343" customWidth="1"/>
    <col min="4" max="6" width="14.90625" style="343" customWidth="1"/>
    <col min="7" max="7" width="17.81640625" style="343" customWidth="1"/>
    <col min="8" max="8" width="16.90625" style="343" customWidth="1"/>
    <col min="9" max="9" width="18.08984375" style="343" customWidth="1"/>
    <col min="10" max="12" width="21.08984375" style="343" customWidth="1"/>
    <col min="13" max="13" width="30" style="343" customWidth="1"/>
    <col min="14" max="16384" width="10" style="343" customWidth="1"/>
  </cols>
  <sheetData>
    <row r="1" ht="29.25" customHeight="1" spans="1:13" s="317" customFormat="1" x14ac:dyDescent="0.25">
      <c r="A1" s="319" t="s">
        <v>2047</v>
      </c>
      <c r="B1" s="319"/>
      <c r="C1" s="319"/>
      <c r="D1" s="319"/>
      <c r="E1" s="319"/>
      <c r="F1" s="319"/>
      <c r="G1" s="319"/>
      <c r="H1" s="319"/>
      <c r="I1" s="320" t="s">
        <v>102</v>
      </c>
      <c r="M1" s="325"/>
    </row>
    <row r="2" ht="31.5" customHeight="1" spans="3:1026" s="364" customFormat="1" x14ac:dyDescent="0.25">
      <c r="C2" s="342"/>
      <c r="D2" s="322"/>
      <c r="E2" s="323"/>
      <c r="F2" s="323"/>
      <c r="G2" s="323"/>
      <c r="H2" s="323"/>
      <c r="I2" s="323"/>
      <c r="J2" s="323"/>
      <c r="K2" s="325"/>
      <c r="L2" s="323"/>
      <c r="M2" s="323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  <c r="AML2" s="317"/>
    </row>
    <row r="3" ht="17.5" customHeight="1" spans="3:13" x14ac:dyDescent="0.25">
      <c r="C3" s="344"/>
      <c r="F3" s="345"/>
      <c r="G3" s="345"/>
      <c r="H3" s="345"/>
      <c r="I3" s="345"/>
      <c r="J3" s="345"/>
      <c r="K3" s="345"/>
      <c r="L3" s="345"/>
      <c r="M3" s="345"/>
    </row>
    <row r="4" ht="9.75" customHeight="1" spans="1:13" x14ac:dyDescent="0.25">
      <c r="A4" s="344"/>
      <c r="B4" s="344"/>
      <c r="D4" s="345"/>
      <c r="F4" s="345"/>
      <c r="G4" s="345"/>
      <c r="H4" s="345"/>
      <c r="I4" s="345"/>
      <c r="J4" s="345"/>
      <c r="K4" s="345"/>
      <c r="L4" s="345"/>
      <c r="M4" s="345"/>
    </row>
    <row r="5" ht="17.5" customHeight="1" spans="1:13" x14ac:dyDescent="0.25">
      <c r="A5" s="344"/>
      <c r="B5" s="344"/>
      <c r="D5" s="345"/>
      <c r="F5" s="345"/>
      <c r="G5" s="345"/>
      <c r="H5" s="345"/>
      <c r="I5" s="345"/>
      <c r="J5" s="345"/>
      <c r="K5" s="345"/>
      <c r="L5" s="345"/>
      <c r="M5" s="345"/>
    </row>
    <row r="6" ht="17.5" customHeight="1" spans="4:13" x14ac:dyDescent="0.25">
      <c r="D6" s="345"/>
      <c r="F6" s="345"/>
      <c r="G6" s="345"/>
      <c r="H6" s="345"/>
      <c r="I6" s="345"/>
      <c r="J6" s="345"/>
      <c r="K6" s="345"/>
      <c r="L6" s="345"/>
      <c r="M6" s="345"/>
    </row>
    <row r="7" ht="18" customHeight="1" spans="1:10" s="317" customFormat="1" x14ac:dyDescent="0.25">
      <c r="A7" s="337"/>
      <c r="B7" s="337"/>
      <c r="C7" s="337"/>
      <c r="D7" s="323"/>
      <c r="F7" s="323"/>
      <c r="G7" s="323"/>
      <c r="J7" s="323"/>
    </row>
    <row r="8" ht="60" customHeight="1" spans="1:9" s="133" customFormat="1" x14ac:dyDescent="0.25">
      <c r="A8" s="135" t="s">
        <v>113</v>
      </c>
      <c r="B8" s="135" t="s">
        <v>1918</v>
      </c>
      <c r="C8" s="135"/>
      <c r="D8" s="135" t="s">
        <v>1919</v>
      </c>
      <c r="E8" s="135" t="s">
        <v>2048</v>
      </c>
      <c r="F8" s="135"/>
      <c r="G8" s="135"/>
      <c r="H8" s="135"/>
      <c r="I8" s="135" t="s">
        <v>2049</v>
      </c>
    </row>
    <row r="9" ht="60" customHeight="1" spans="1:9" s="133" customFormat="1" x14ac:dyDescent="0.25">
      <c r="A9" s="135"/>
      <c r="B9" s="135"/>
      <c r="C9" s="135"/>
      <c r="D9" s="135"/>
      <c r="E9" s="135" t="s">
        <v>1921</v>
      </c>
      <c r="F9" s="135" t="s">
        <v>1922</v>
      </c>
      <c r="G9" s="135" t="s">
        <v>2050</v>
      </c>
      <c r="H9" s="135" t="s">
        <v>2051</v>
      </c>
      <c r="I9" s="135"/>
    </row>
    <row r="10" ht="35.25" customHeight="1" spans="1:9" s="133" customFormat="1" x14ac:dyDescent="0.25">
      <c r="A10" s="135"/>
      <c r="B10" s="135"/>
      <c r="C10" s="135"/>
      <c r="D10" s="135"/>
      <c r="E10" s="135"/>
      <c r="F10" s="135"/>
      <c r="G10" s="135" t="s">
        <v>2052</v>
      </c>
      <c r="H10" s="135" t="s">
        <v>2053</v>
      </c>
      <c r="I10" s="135" t="s">
        <v>2054</v>
      </c>
    </row>
    <row r="11" ht="35.25" customHeight="1" spans="1:9" s="321" customFormat="1" x14ac:dyDescent="0.25">
      <c r="A11" s="135"/>
      <c r="B11" s="135"/>
      <c r="C11" s="135"/>
      <c r="D11" s="63" t="s">
        <v>154</v>
      </c>
      <c r="E11" s="63" t="s">
        <v>157</v>
      </c>
      <c r="F11" s="63" t="s">
        <v>160</v>
      </c>
      <c r="G11" s="63" t="s">
        <v>2055</v>
      </c>
      <c r="H11" s="63" t="s">
        <v>2056</v>
      </c>
      <c r="I11" s="63" t="s">
        <v>2057</v>
      </c>
    </row>
    <row r="12" ht="17.5" customHeight="1" spans="1:9" x14ac:dyDescent="0.25">
      <c r="A12" s="62" t="s">
        <v>2058</v>
      </c>
      <c r="B12" s="708" t="s">
        <v>2022</v>
      </c>
      <c r="C12" s="708"/>
      <c r="D12" s="567">
        <v>688</v>
      </c>
      <c r="E12" s="567">
        <v>1</v>
      </c>
      <c r="F12" s="567">
        <v>0</v>
      </c>
      <c r="G12" s="567">
        <f>E12/D12</f>
        <v>0.0014534883720930232</v>
      </c>
      <c r="H12" s="567">
        <f>F12/D68</f>
        <v>0</v>
      </c>
      <c r="I12" s="709">
        <v>0</v>
      </c>
    </row>
    <row r="13" ht="17.5" customHeight="1" spans="1:9" x14ac:dyDescent="0.25">
      <c r="A13" s="62" t="s">
        <v>2059</v>
      </c>
      <c r="B13" s="708" t="s">
        <v>2020</v>
      </c>
      <c r="C13" s="708"/>
      <c r="D13" s="567">
        <v>1335</v>
      </c>
      <c r="E13" s="567">
        <v>15</v>
      </c>
      <c r="F13" s="567">
        <v>14</v>
      </c>
      <c r="G13" s="567">
        <f>E13/D13</f>
        <v>0.011235955056179775</v>
      </c>
      <c r="H13" s="567">
        <f>F13/D68</f>
        <v>0.0003434824210603793</v>
      </c>
      <c r="I13" s="709"/>
    </row>
    <row r="14" ht="17.5" customHeight="1" spans="1:9" x14ac:dyDescent="0.25">
      <c r="A14" s="62" t="s">
        <v>2060</v>
      </c>
      <c r="B14" s="708"/>
      <c r="C14" s="708"/>
      <c r="D14" s="567"/>
      <c r="E14" s="567"/>
      <c r="F14" s="567"/>
      <c r="G14" s="567">
        <v>0</v>
      </c>
      <c r="H14" s="567">
        <v>0</v>
      </c>
      <c r="I14" s="709"/>
    </row>
    <row r="15" ht="17.5" customHeight="1" spans="1:9" x14ac:dyDescent="0.25">
      <c r="A15" s="62" t="s">
        <v>2061</v>
      </c>
      <c r="B15" s="708"/>
      <c r="C15" s="708"/>
      <c r="D15" s="567"/>
      <c r="E15" s="567"/>
      <c r="F15" s="567"/>
      <c r="G15" s="567">
        <v>0</v>
      </c>
      <c r="H15" s="567">
        <v>0</v>
      </c>
      <c r="I15" s="709"/>
    </row>
    <row r="16" ht="17.5" customHeight="1" spans="1:9" x14ac:dyDescent="0.25">
      <c r="A16" s="62" t="s">
        <v>2062</v>
      </c>
      <c r="B16" s="708"/>
      <c r="C16" s="708"/>
      <c r="D16" s="567"/>
      <c r="E16" s="567"/>
      <c r="F16" s="567"/>
      <c r="G16" s="567">
        <v>0</v>
      </c>
      <c r="H16" s="567">
        <v>0</v>
      </c>
      <c r="I16" s="709"/>
    </row>
    <row r="17" ht="17.5" customHeight="1" spans="1:9" x14ac:dyDescent="0.25">
      <c r="A17" s="62" t="s">
        <v>2063</v>
      </c>
      <c r="B17" s="708"/>
      <c r="C17" s="708"/>
      <c r="D17" s="567"/>
      <c r="E17" s="567"/>
      <c r="F17" s="567"/>
      <c r="G17" s="567">
        <v>0</v>
      </c>
      <c r="H17" s="567">
        <v>0</v>
      </c>
      <c r="I17" s="709"/>
    </row>
    <row r="18" ht="17.5" customHeight="1" spans="1:9" x14ac:dyDescent="0.25">
      <c r="A18" s="62" t="s">
        <v>2064</v>
      </c>
      <c r="B18" s="708"/>
      <c r="C18" s="708"/>
      <c r="D18" s="567"/>
      <c r="E18" s="567"/>
      <c r="F18" s="567"/>
      <c r="G18" s="567">
        <v>0</v>
      </c>
      <c r="H18" s="567">
        <v>0</v>
      </c>
      <c r="I18" s="709"/>
    </row>
    <row r="19" ht="17.5" customHeight="1" spans="1:9" x14ac:dyDescent="0.25">
      <c r="A19" s="62" t="s">
        <v>2065</v>
      </c>
      <c r="B19" s="708"/>
      <c r="C19" s="708"/>
      <c r="D19" s="567"/>
      <c r="E19" s="567"/>
      <c r="F19" s="567"/>
      <c r="G19" s="567">
        <v>0</v>
      </c>
      <c r="H19" s="567">
        <v>0</v>
      </c>
      <c r="I19" s="709"/>
    </row>
    <row r="20" ht="17.5" customHeight="1" spans="1:9" x14ac:dyDescent="0.25">
      <c r="A20" s="62" t="s">
        <v>2066</v>
      </c>
      <c r="B20" s="708"/>
      <c r="C20" s="708"/>
      <c r="D20" s="567"/>
      <c r="E20" s="567"/>
      <c r="F20" s="567"/>
      <c r="G20" s="567">
        <v>0</v>
      </c>
      <c r="H20" s="567">
        <v>0</v>
      </c>
      <c r="I20" s="709"/>
    </row>
    <row r="21" ht="17.5" customHeight="1" spans="1:9" x14ac:dyDescent="0.25">
      <c r="A21" s="62" t="s">
        <v>2067</v>
      </c>
      <c r="B21" s="708"/>
      <c r="C21" s="708"/>
      <c r="D21" s="567"/>
      <c r="E21" s="567"/>
      <c r="F21" s="567"/>
      <c r="G21" s="567">
        <v>0</v>
      </c>
      <c r="H21" s="567">
        <v>0</v>
      </c>
      <c r="I21" s="709"/>
    </row>
    <row r="22" ht="17.5" customHeight="1" spans="1:9" x14ac:dyDescent="0.25">
      <c r="A22" s="62" t="s">
        <v>2068</v>
      </c>
      <c r="B22" s="708"/>
      <c r="C22" s="708"/>
      <c r="D22" s="567"/>
      <c r="E22" s="567"/>
      <c r="F22" s="567"/>
      <c r="G22" s="567">
        <v>0</v>
      </c>
      <c r="H22" s="567">
        <v>0</v>
      </c>
      <c r="I22" s="709"/>
    </row>
    <row r="23" ht="17.5" customHeight="1" spans="1:9" x14ac:dyDescent="0.25">
      <c r="A23" s="62" t="s">
        <v>2069</v>
      </c>
      <c r="B23" s="708"/>
      <c r="C23" s="708"/>
      <c r="D23" s="567"/>
      <c r="E23" s="567"/>
      <c r="F23" s="567"/>
      <c r="G23" s="567">
        <v>0</v>
      </c>
      <c r="H23" s="567">
        <v>0</v>
      </c>
      <c r="I23" s="709"/>
    </row>
    <row r="24" ht="17.5" customHeight="1" spans="1:9" x14ac:dyDescent="0.25">
      <c r="A24" s="62" t="s">
        <v>2070</v>
      </c>
      <c r="B24" s="708"/>
      <c r="C24" s="708"/>
      <c r="D24" s="567"/>
      <c r="E24" s="567"/>
      <c r="F24" s="567"/>
      <c r="G24" s="567">
        <v>0</v>
      </c>
      <c r="H24" s="567">
        <v>0</v>
      </c>
      <c r="I24" s="709"/>
    </row>
    <row r="25" ht="17.5" customHeight="1" spans="1:9" x14ac:dyDescent="0.25">
      <c r="A25" s="62" t="s">
        <v>2071</v>
      </c>
      <c r="B25" s="708"/>
      <c r="C25" s="708"/>
      <c r="D25" s="567"/>
      <c r="E25" s="567"/>
      <c r="F25" s="567"/>
      <c r="G25" s="567">
        <v>0</v>
      </c>
      <c r="H25" s="567">
        <v>0</v>
      </c>
      <c r="I25" s="709"/>
    </row>
    <row r="26" ht="17.5" customHeight="1" spans="1:9" x14ac:dyDescent="0.25">
      <c r="A26" s="62" t="s">
        <v>2072</v>
      </c>
      <c r="B26" s="708"/>
      <c r="C26" s="708"/>
      <c r="D26" s="567"/>
      <c r="E26" s="567"/>
      <c r="F26" s="567"/>
      <c r="G26" s="567">
        <v>0</v>
      </c>
      <c r="H26" s="567">
        <v>0</v>
      </c>
      <c r="I26" s="709"/>
    </row>
    <row r="27" ht="17.5" customHeight="1" spans="1:9" x14ac:dyDescent="0.25">
      <c r="A27" s="62" t="s">
        <v>2073</v>
      </c>
      <c r="B27" s="708"/>
      <c r="C27" s="708"/>
      <c r="D27" s="567"/>
      <c r="E27" s="567"/>
      <c r="F27" s="567"/>
      <c r="G27" s="567">
        <v>0</v>
      </c>
      <c r="H27" s="567">
        <v>0</v>
      </c>
      <c r="I27" s="709"/>
    </row>
    <row r="28" ht="17.5" customHeight="1" spans="1:9" x14ac:dyDescent="0.25">
      <c r="A28" s="62" t="s">
        <v>2074</v>
      </c>
      <c r="B28" s="708"/>
      <c r="C28" s="708"/>
      <c r="D28" s="567"/>
      <c r="E28" s="567"/>
      <c r="F28" s="567"/>
      <c r="G28" s="567">
        <v>0</v>
      </c>
      <c r="H28" s="567">
        <v>0</v>
      </c>
      <c r="I28" s="709"/>
    </row>
    <row r="29" ht="17.5" customHeight="1" spans="1:9" x14ac:dyDescent="0.25">
      <c r="A29" s="62" t="s">
        <v>2075</v>
      </c>
      <c r="B29" s="708"/>
      <c r="C29" s="708"/>
      <c r="D29" s="567"/>
      <c r="E29" s="567"/>
      <c r="F29" s="567"/>
      <c r="G29" s="567">
        <v>0</v>
      </c>
      <c r="H29" s="567">
        <v>0</v>
      </c>
      <c r="I29" s="709"/>
    </row>
    <row r="30" ht="17.5" customHeight="1" spans="1:9" x14ac:dyDescent="0.25">
      <c r="A30" s="62" t="s">
        <v>2076</v>
      </c>
      <c r="B30" s="708"/>
      <c r="C30" s="708"/>
      <c r="D30" s="567"/>
      <c r="E30" s="567"/>
      <c r="F30" s="567"/>
      <c r="G30" s="567">
        <v>0</v>
      </c>
      <c r="H30" s="567">
        <v>0</v>
      </c>
      <c r="I30" s="709"/>
    </row>
    <row r="31" ht="17.5" customHeight="1" spans="1:9" x14ac:dyDescent="0.25">
      <c r="A31" s="62" t="s">
        <v>2077</v>
      </c>
      <c r="B31" s="708"/>
      <c r="C31" s="708"/>
      <c r="D31" s="567"/>
      <c r="E31" s="567"/>
      <c r="F31" s="567"/>
      <c r="G31" s="567">
        <v>0</v>
      </c>
      <c r="H31" s="567">
        <v>0</v>
      </c>
      <c r="I31" s="709"/>
    </row>
    <row r="32" ht="17.5" customHeight="1" spans="1:9" s="317" customFormat="1" x14ac:dyDescent="0.25">
      <c r="A32" s="62" t="s">
        <v>2078</v>
      </c>
      <c r="B32" s="354"/>
      <c r="C32" s="354"/>
      <c r="D32" s="710"/>
      <c r="E32" s="567">
        <f>E12+E13</f>
        <v>16</v>
      </c>
      <c r="F32" s="567">
        <f>F12+F13</f>
        <v>14</v>
      </c>
      <c r="G32" s="710"/>
      <c r="H32" s="710"/>
      <c r="I32" s="567">
        <f>F32/D68</f>
        <v>0.0003434824210603793</v>
      </c>
    </row>
    <row r="33" ht="18" customHeight="1" spans="1:13" s="317" customFormat="1" x14ac:dyDescent="0.25">
      <c r="A33" s="635"/>
      <c r="B33" s="50"/>
      <c r="C33" s="53"/>
      <c r="D33" s="117"/>
      <c r="E33" s="117"/>
      <c r="F33" s="117"/>
      <c r="G33" s="117"/>
      <c r="H33" s="117"/>
      <c r="I33" s="117"/>
      <c r="J33" s="695"/>
      <c r="K33" s="695"/>
      <c r="L33" s="695"/>
      <c r="M33" s="695"/>
    </row>
    <row r="34" ht="17.5" customHeight="1" spans="1:13" s="317" customFormat="1" x14ac:dyDescent="0.25">
      <c r="A34" s="50" t="s">
        <v>2045</v>
      </c>
      <c r="B34" s="50"/>
      <c r="C34" s="117"/>
      <c r="D34" s="51"/>
      <c r="E34" s="51"/>
      <c r="F34" s="51"/>
      <c r="G34" s="117"/>
      <c r="H34" s="117"/>
      <c r="I34" s="117"/>
      <c r="J34" s="695"/>
      <c r="K34" s="695"/>
      <c r="L34" s="695"/>
      <c r="M34" s="695"/>
    </row>
    <row r="35" ht="17.5" customHeight="1" spans="1:13" s="317" customFormat="1" x14ac:dyDescent="0.25">
      <c r="A35" s="117" t="s">
        <v>2046</v>
      </c>
      <c r="B35" s="117"/>
      <c r="C35" s="117"/>
      <c r="D35" s="117"/>
      <c r="E35" s="117"/>
      <c r="F35" s="117"/>
      <c r="G35" s="117"/>
      <c r="H35" s="117"/>
      <c r="I35" s="117"/>
      <c r="J35" s="695"/>
      <c r="K35" s="695"/>
      <c r="L35" s="695"/>
      <c r="M35" s="695"/>
    </row>
    <row r="36" ht="17.5" customHeight="1" spans="1:13" s="317" customForma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695"/>
      <c r="K36" s="695"/>
      <c r="L36" s="695"/>
      <c r="M36" s="695"/>
    </row>
    <row r="37" ht="17.5" customHeight="1" spans="1:13" s="317" customForma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695"/>
      <c r="K37" s="695"/>
      <c r="L37" s="695"/>
      <c r="M37" s="695"/>
    </row>
    <row r="38" ht="15.75" customHeight="1" spans="1:13" s="317" customFormat="1" x14ac:dyDescent="0.25">
      <c r="A38" s="135" t="s">
        <v>1918</v>
      </c>
      <c r="B38" s="135"/>
      <c r="C38" s="135"/>
      <c r="D38" s="135" t="s">
        <v>2079</v>
      </c>
      <c r="E38" s="135"/>
      <c r="F38" s="135"/>
      <c r="G38" s="135"/>
      <c r="H38" s="135"/>
      <c r="I38" s="135" t="s">
        <v>113</v>
      </c>
      <c r="J38" s="695"/>
      <c r="K38" s="695"/>
      <c r="L38" s="695"/>
      <c r="M38" s="695"/>
    </row>
    <row r="39" ht="45.75" customHeight="1" spans="1:9" s="317" customFormat="1" x14ac:dyDescent="0.25">
      <c r="A39" s="135"/>
      <c r="B39" s="135"/>
      <c r="C39" s="135"/>
      <c r="D39" s="135" t="s">
        <v>2080</v>
      </c>
      <c r="E39" s="135"/>
      <c r="F39" s="135"/>
      <c r="G39" s="135" t="s">
        <v>2081</v>
      </c>
      <c r="H39" s="135" t="s">
        <v>2082</v>
      </c>
      <c r="I39" s="135"/>
    </row>
    <row r="40" ht="39" customHeight="1" spans="1:9" s="317" customFormat="1" x14ac:dyDescent="0.25">
      <c r="A40" s="135"/>
      <c r="B40" s="135"/>
      <c r="C40" s="135"/>
      <c r="D40" s="135" t="s">
        <v>2052</v>
      </c>
      <c r="E40" s="135" t="s">
        <v>2053</v>
      </c>
      <c r="F40" s="135" t="s">
        <v>2083</v>
      </c>
      <c r="G40" s="135" t="s">
        <v>2054</v>
      </c>
      <c r="H40" s="135"/>
      <c r="I40" s="135"/>
    </row>
    <row r="41" ht="57.75" customHeight="1" spans="1:9" s="317" customFormat="1" x14ac:dyDescent="0.25">
      <c r="A41" s="135"/>
      <c r="B41" s="135"/>
      <c r="C41" s="135"/>
      <c r="D41" s="63" t="s">
        <v>2084</v>
      </c>
      <c r="E41" s="63" t="s">
        <v>2085</v>
      </c>
      <c r="F41" s="63" t="s">
        <v>2086</v>
      </c>
      <c r="G41" s="63" t="s">
        <v>2087</v>
      </c>
      <c r="H41" s="134" t="s">
        <v>2088</v>
      </c>
      <c r="I41" s="135"/>
    </row>
    <row r="42" ht="17.5" customHeight="1" spans="1:9" x14ac:dyDescent="0.25">
      <c r="A42" s="708"/>
      <c r="B42" s="708"/>
      <c r="C42" s="708"/>
      <c r="D42" s="567">
        <v>0</v>
      </c>
      <c r="E42" s="567">
        <v>0</v>
      </c>
      <c r="F42" s="567">
        <v>0</v>
      </c>
      <c r="G42" s="709">
        <v>0</v>
      </c>
      <c r="H42" s="709">
        <v>0</v>
      </c>
      <c r="I42" s="62" t="s">
        <v>2089</v>
      </c>
    </row>
    <row r="43" ht="17.5" customHeight="1" spans="1:9" x14ac:dyDescent="0.25">
      <c r="A43" s="708"/>
      <c r="B43" s="708"/>
      <c r="C43" s="708"/>
      <c r="D43" s="567">
        <v>0</v>
      </c>
      <c r="E43" s="567">
        <v>0</v>
      </c>
      <c r="F43" s="567">
        <v>0</v>
      </c>
      <c r="G43" s="709"/>
      <c r="H43" s="709"/>
      <c r="I43" s="62" t="s">
        <v>2090</v>
      </c>
    </row>
    <row r="44" ht="17.5" customHeight="1" spans="1:9" x14ac:dyDescent="0.25">
      <c r="A44" s="708"/>
      <c r="B44" s="708"/>
      <c r="C44" s="708"/>
      <c r="D44" s="567">
        <v>0</v>
      </c>
      <c r="E44" s="567">
        <v>0</v>
      </c>
      <c r="F44" s="567">
        <v>0</v>
      </c>
      <c r="G44" s="709"/>
      <c r="H44" s="709"/>
      <c r="I44" s="62" t="s">
        <v>2091</v>
      </c>
    </row>
    <row r="45" ht="17.5" customHeight="1" spans="1:9" x14ac:dyDescent="0.25">
      <c r="A45" s="708"/>
      <c r="B45" s="708"/>
      <c r="C45" s="708"/>
      <c r="D45" s="567">
        <v>0</v>
      </c>
      <c r="E45" s="567">
        <v>0</v>
      </c>
      <c r="F45" s="567">
        <v>0</v>
      </c>
      <c r="G45" s="709"/>
      <c r="H45" s="709"/>
      <c r="I45" s="62" t="s">
        <v>2092</v>
      </c>
    </row>
    <row r="46" ht="17.5" customHeight="1" spans="1:9" x14ac:dyDescent="0.25">
      <c r="A46" s="708"/>
      <c r="B46" s="708"/>
      <c r="C46" s="708"/>
      <c r="D46" s="567">
        <v>0</v>
      </c>
      <c r="E46" s="567">
        <v>0</v>
      </c>
      <c r="F46" s="567">
        <v>0</v>
      </c>
      <c r="G46" s="709"/>
      <c r="H46" s="709"/>
      <c r="I46" s="62" t="s">
        <v>2093</v>
      </c>
    </row>
    <row r="47" ht="17.5" customHeight="1" spans="1:9" x14ac:dyDescent="0.25">
      <c r="A47" s="708"/>
      <c r="B47" s="708"/>
      <c r="C47" s="708"/>
      <c r="D47" s="567">
        <v>0</v>
      </c>
      <c r="E47" s="567">
        <v>0</v>
      </c>
      <c r="F47" s="567">
        <v>0</v>
      </c>
      <c r="G47" s="709"/>
      <c r="H47" s="709"/>
      <c r="I47" s="62" t="s">
        <v>2094</v>
      </c>
    </row>
    <row r="48" ht="17.5" customHeight="1" spans="1:9" x14ac:dyDescent="0.25">
      <c r="A48" s="708"/>
      <c r="B48" s="708"/>
      <c r="C48" s="708"/>
      <c r="D48" s="567">
        <v>0</v>
      </c>
      <c r="E48" s="567">
        <v>0</v>
      </c>
      <c r="F48" s="567">
        <v>0</v>
      </c>
      <c r="G48" s="709"/>
      <c r="H48" s="709"/>
      <c r="I48" s="62" t="s">
        <v>2095</v>
      </c>
    </row>
    <row r="49" ht="17.5" customHeight="1" spans="1:9" x14ac:dyDescent="0.25">
      <c r="A49" s="708"/>
      <c r="B49" s="708"/>
      <c r="C49" s="708"/>
      <c r="D49" s="567">
        <v>0</v>
      </c>
      <c r="E49" s="567">
        <v>0</v>
      </c>
      <c r="F49" s="567">
        <v>0</v>
      </c>
      <c r="G49" s="709"/>
      <c r="H49" s="709"/>
      <c r="I49" s="62" t="s">
        <v>2096</v>
      </c>
    </row>
    <row r="50" ht="17.5" customHeight="1" spans="1:9" x14ac:dyDescent="0.25">
      <c r="A50" s="708"/>
      <c r="B50" s="708"/>
      <c r="C50" s="708"/>
      <c r="D50" s="567">
        <v>0</v>
      </c>
      <c r="E50" s="567">
        <v>0</v>
      </c>
      <c r="F50" s="567">
        <v>0</v>
      </c>
      <c r="G50" s="709"/>
      <c r="H50" s="709"/>
      <c r="I50" s="62" t="s">
        <v>2097</v>
      </c>
    </row>
    <row r="51" ht="17.5" customHeight="1" spans="1:9" x14ac:dyDescent="0.25">
      <c r="A51" s="708"/>
      <c r="B51" s="708"/>
      <c r="C51" s="708"/>
      <c r="D51" s="567">
        <v>0</v>
      </c>
      <c r="E51" s="567">
        <v>0</v>
      </c>
      <c r="F51" s="567">
        <v>0</v>
      </c>
      <c r="G51" s="709"/>
      <c r="H51" s="709"/>
      <c r="I51" s="62" t="s">
        <v>2098</v>
      </c>
    </row>
    <row r="52" ht="17.5" customHeight="1" spans="1:9" x14ac:dyDescent="0.25">
      <c r="A52" s="708"/>
      <c r="B52" s="708"/>
      <c r="C52" s="708"/>
      <c r="D52" s="567">
        <v>0</v>
      </c>
      <c r="E52" s="567">
        <v>0</v>
      </c>
      <c r="F52" s="567">
        <v>0</v>
      </c>
      <c r="G52" s="709"/>
      <c r="H52" s="709"/>
      <c r="I52" s="62" t="s">
        <v>2099</v>
      </c>
    </row>
    <row r="53" ht="17.5" customHeight="1" spans="1:9" x14ac:dyDescent="0.25">
      <c r="A53" s="708"/>
      <c r="B53" s="708"/>
      <c r="C53" s="708"/>
      <c r="D53" s="567">
        <v>0</v>
      </c>
      <c r="E53" s="567">
        <v>0</v>
      </c>
      <c r="F53" s="567">
        <v>0</v>
      </c>
      <c r="G53" s="709"/>
      <c r="H53" s="709"/>
      <c r="I53" s="62" t="s">
        <v>2100</v>
      </c>
    </row>
    <row r="54" ht="17.5" customHeight="1" spans="1:9" x14ac:dyDescent="0.25">
      <c r="A54" s="708"/>
      <c r="B54" s="708"/>
      <c r="C54" s="708"/>
      <c r="D54" s="567">
        <v>0</v>
      </c>
      <c r="E54" s="567">
        <v>0</v>
      </c>
      <c r="F54" s="567">
        <v>0</v>
      </c>
      <c r="G54" s="709"/>
      <c r="H54" s="709"/>
      <c r="I54" s="62" t="s">
        <v>2101</v>
      </c>
    </row>
    <row r="55" ht="17.5" customHeight="1" spans="1:9" x14ac:dyDescent="0.25">
      <c r="A55" s="708"/>
      <c r="B55" s="708"/>
      <c r="C55" s="708"/>
      <c r="D55" s="567">
        <v>0</v>
      </c>
      <c r="E55" s="567">
        <v>0</v>
      </c>
      <c r="F55" s="567">
        <v>0</v>
      </c>
      <c r="G55" s="709"/>
      <c r="H55" s="709"/>
      <c r="I55" s="62" t="s">
        <v>2102</v>
      </c>
    </row>
    <row r="56" ht="17.5" customHeight="1" spans="1:9" x14ac:dyDescent="0.25">
      <c r="A56" s="708"/>
      <c r="B56" s="708"/>
      <c r="C56" s="708"/>
      <c r="D56" s="567">
        <v>0</v>
      </c>
      <c r="E56" s="567">
        <v>0</v>
      </c>
      <c r="F56" s="567">
        <v>0</v>
      </c>
      <c r="G56" s="709"/>
      <c r="H56" s="709"/>
      <c r="I56" s="62" t="s">
        <v>2103</v>
      </c>
    </row>
    <row r="57" ht="17.5" customHeight="1" spans="1:9" x14ac:dyDescent="0.25">
      <c r="A57" s="708"/>
      <c r="B57" s="708"/>
      <c r="C57" s="708"/>
      <c r="D57" s="567">
        <v>0</v>
      </c>
      <c r="E57" s="567">
        <v>0</v>
      </c>
      <c r="F57" s="567">
        <v>0</v>
      </c>
      <c r="G57" s="709"/>
      <c r="H57" s="709"/>
      <c r="I57" s="62" t="s">
        <v>2104</v>
      </c>
    </row>
    <row r="58" ht="17.5" customHeight="1" spans="1:9" x14ac:dyDescent="0.25">
      <c r="A58" s="708"/>
      <c r="B58" s="708"/>
      <c r="C58" s="708"/>
      <c r="D58" s="567">
        <v>0</v>
      </c>
      <c r="E58" s="567">
        <v>0</v>
      </c>
      <c r="F58" s="567">
        <v>0</v>
      </c>
      <c r="G58" s="709"/>
      <c r="H58" s="709"/>
      <c r="I58" s="62" t="s">
        <v>2105</v>
      </c>
    </row>
    <row r="59" ht="17.5" customHeight="1" spans="1:9" x14ac:dyDescent="0.25">
      <c r="A59" s="708"/>
      <c r="B59" s="708"/>
      <c r="C59" s="708"/>
      <c r="D59" s="567">
        <v>0</v>
      </c>
      <c r="E59" s="567">
        <v>0</v>
      </c>
      <c r="F59" s="567">
        <v>0</v>
      </c>
      <c r="G59" s="709"/>
      <c r="H59" s="709"/>
      <c r="I59" s="62" t="s">
        <v>2106</v>
      </c>
    </row>
    <row r="60" ht="17.5" customHeight="1" spans="1:9" x14ac:dyDescent="0.25">
      <c r="A60" s="708"/>
      <c r="B60" s="708"/>
      <c r="C60" s="708"/>
      <c r="D60" s="567">
        <v>0</v>
      </c>
      <c r="E60" s="567">
        <v>0</v>
      </c>
      <c r="F60" s="567">
        <v>0</v>
      </c>
      <c r="G60" s="709"/>
      <c r="H60" s="709"/>
      <c r="I60" s="62" t="s">
        <v>2107</v>
      </c>
    </row>
    <row r="61" ht="17.5" customHeight="1" spans="1:9" x14ac:dyDescent="0.25">
      <c r="A61" s="708"/>
      <c r="B61" s="708"/>
      <c r="C61" s="708"/>
      <c r="D61" s="567">
        <v>0</v>
      </c>
      <c r="E61" s="567">
        <v>0</v>
      </c>
      <c r="F61" s="567">
        <v>0</v>
      </c>
      <c r="G61" s="709"/>
      <c r="H61" s="709"/>
      <c r="I61" s="62" t="s">
        <v>2108</v>
      </c>
    </row>
    <row r="62" ht="18" customHeight="1" spans="1:9" x14ac:dyDescent="0.25">
      <c r="A62" s="711"/>
      <c r="B62" s="712"/>
      <c r="C62" s="712"/>
      <c r="D62" s="712">
        <v>0</v>
      </c>
      <c r="E62" s="713">
        <v>0</v>
      </c>
      <c r="F62" s="567">
        <v>0</v>
      </c>
      <c r="G62" s="567">
        <v>0</v>
      </c>
      <c r="H62" s="709"/>
      <c r="I62" s="62" t="s">
        <v>2109</v>
      </c>
    </row>
    <row r="63" ht="18" customHeight="1" spans="1:9" x14ac:dyDescent="0.25">
      <c r="A63" s="714"/>
      <c r="B63" s="714"/>
      <c r="C63" s="714"/>
      <c r="D63" s="714"/>
      <c r="E63" s="714"/>
      <c r="F63" s="714"/>
      <c r="G63" s="714"/>
      <c r="H63" s="567">
        <v>0</v>
      </c>
      <c r="I63" s="62" t="s">
        <v>198</v>
      </c>
    </row>
    <row r="64" ht="17.5" customHeight="1" spans="1:8" x14ac:dyDescent="0.25">
      <c r="A64" s="122"/>
      <c r="B64" s="122"/>
      <c r="C64" s="122"/>
      <c r="D64" s="122"/>
      <c r="E64" s="122"/>
      <c r="F64" s="122"/>
      <c r="G64" s="122"/>
      <c r="H64" s="122"/>
    </row>
    <row r="65" ht="18" customHeight="1" spans="1:8" s="715" customFormat="1" x14ac:dyDescent="0.25">
      <c r="A65" s="156" t="s">
        <v>2110</v>
      </c>
      <c r="B65" s="156"/>
      <c r="C65" s="156"/>
      <c r="D65" s="156"/>
      <c r="E65" s="156"/>
      <c r="F65" s="716"/>
      <c r="G65" s="716"/>
      <c r="H65" s="716"/>
    </row>
    <row r="66" ht="17.5" customHeight="1" spans="1:8" s="715" customFormat="1" x14ac:dyDescent="0.25">
      <c r="A66" s="50"/>
      <c r="B66" s="50"/>
      <c r="C66" s="50"/>
      <c r="D66" s="50"/>
      <c r="E66" s="50"/>
      <c r="F66" s="716"/>
      <c r="G66" s="716"/>
      <c r="H66" s="716"/>
    </row>
    <row r="67" ht="30" customHeight="1" spans="1:8" s="715" customFormat="1" x14ac:dyDescent="0.25">
      <c r="A67" s="56" t="s">
        <v>113</v>
      </c>
      <c r="B67" s="56"/>
      <c r="C67" s="436" t="s">
        <v>145</v>
      </c>
      <c r="D67" s="436" t="s">
        <v>166</v>
      </c>
      <c r="E67" s="50"/>
      <c r="F67" s="716"/>
      <c r="G67" s="716"/>
      <c r="H67" s="716"/>
    </row>
    <row r="68" ht="30" customHeight="1" spans="1:8" s="715" customFormat="1" x14ac:dyDescent="0.25">
      <c r="A68" s="145" t="s">
        <v>158</v>
      </c>
      <c r="B68" s="145"/>
      <c r="C68" s="176" t="s">
        <v>2111</v>
      </c>
      <c r="D68" s="567">
        <v>40759</v>
      </c>
      <c r="E68" s="50"/>
      <c r="F68" s="716"/>
      <c r="G68" s="716"/>
      <c r="H68" s="716"/>
    </row>
    <row r="69" ht="30" customHeight="1" spans="1:8" s="715" customFormat="1" x14ac:dyDescent="0.25">
      <c r="A69" s="145" t="s">
        <v>155</v>
      </c>
      <c r="B69" s="145"/>
      <c r="C69" s="176" t="s">
        <v>2112</v>
      </c>
      <c r="D69" s="567">
        <v>40759</v>
      </c>
      <c r="E69" s="50"/>
      <c r="F69" s="716"/>
      <c r="G69" s="716"/>
      <c r="H69" s="716"/>
    </row>
    <row r="70" ht="15" customHeight="1" spans="1:5" s="715" customFormat="1" x14ac:dyDescent="0.25">
      <c r="A70" s="317"/>
      <c r="B70" s="317"/>
      <c r="C70" s="695"/>
      <c r="D70" s="717"/>
      <c r="E70" s="317"/>
    </row>
    <row r="71" ht="17.5" customHeight="1" spans="1:1" x14ac:dyDescent="0.25">
      <c r="A71" s="343" t="s">
        <v>2113</v>
      </c>
    </row>
  </sheetData>
  <sheetProtection sheet="1" algorithmName="SHA-512" hashValue="TNlpsCzIkYPhr6b9LTbxOoy3dS0Am2Mh5VyWQJdSINWz5LtyCPdu63RKRSrc55GWxd4KP+DUtUEUfM6EmUm3TQ==" saltValue="D4Iti2Ni91yYskiHa5nJdQ==" spinCount="100000" objects="1" scenarios="1"/>
  <mergeCells count="63">
    <mergeCell ref="A1:H1"/>
    <mergeCell ref="B8:C11"/>
    <mergeCell ref="E8:H8"/>
    <mergeCell ref="A8:A11"/>
    <mergeCell ref="D8:D10"/>
    <mergeCell ref="I8:I9"/>
    <mergeCell ref="E9:E10"/>
    <mergeCell ref="F9:F10"/>
    <mergeCell ref="B12:C12"/>
    <mergeCell ref="B13:C13"/>
    <mergeCell ref="I12:I31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A38:C41"/>
    <mergeCell ref="D38:H38"/>
    <mergeCell ref="D39:F39"/>
    <mergeCell ref="I38:I41"/>
    <mergeCell ref="H39:H40"/>
    <mergeCell ref="A42:C42"/>
    <mergeCell ref="A43:C43"/>
    <mergeCell ref="G42:G61"/>
    <mergeCell ref="H42:H62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3:G63"/>
    <mergeCell ref="A65:E65"/>
    <mergeCell ref="A66:E66"/>
    <mergeCell ref="A67:B67"/>
    <mergeCell ref="A68:B68"/>
    <mergeCell ref="A69:B69"/>
  </mergeCells>
  <pageMargins left="0.708333333333333" right="0.708333333333333" top="0.747916666666667" bottom="0.747916666666667" header="0.511811023622047" footer="0.315277777777778"/>
  <pageSetup paperSize="9" orientation="portrait" horizontalDpi="300" verticalDpi="300" scale="48" fitToWidth="1" fitToHeight="1" firstPageNumber="1" useFirstPageNumber="1" copies="1"/>
  <headerFooter>
    <oddFooter>&amp;R&amp;P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6"/>
  <sheetViews>
    <sheetView workbookViewId="0" zoomScale="80" zoomScaleNormal="70" view="pageBreakPreview">
      <selection activeCell="E18" sqref="E18"/>
    </sheetView>
  </sheetViews>
  <sheetFormatPr defaultRowHeight="17.25" outlineLevelRow="0" outlineLevelCol="0" x14ac:dyDescent="0" defaultColWidth="10" customHeight="1"/>
  <cols>
    <col min="1" max="1" width="17.7265625" style="343" customWidth="1"/>
    <col min="2" max="2" width="96.08984375" style="343" customWidth="1"/>
    <col min="3" max="4" width="17.36328125" style="343" customWidth="1"/>
    <col min="5" max="5" width="17.08984375" style="343" customWidth="1"/>
    <col min="6" max="6" width="20.54296875" style="343" customWidth="1"/>
    <col min="7" max="16384" width="10" style="343" customWidth="1"/>
  </cols>
  <sheetData>
    <row r="1" ht="29.25" customHeight="1" spans="1:6" s="317" customFormat="1" x14ac:dyDescent="0.25">
      <c r="A1" s="319" t="s">
        <v>2114</v>
      </c>
      <c r="B1" s="319"/>
      <c r="C1" s="319"/>
      <c r="D1" s="319"/>
      <c r="E1" s="319"/>
      <c r="F1" s="320" t="s">
        <v>104</v>
      </c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8" customHeight="1" spans="1:5" s="317" customFormat="1" x14ac:dyDescent="0.25">
      <c r="A7" s="337"/>
      <c r="B7" s="323"/>
      <c r="D7" s="323"/>
      <c r="E7" s="323"/>
    </row>
    <row r="8" ht="48.75" customHeight="1" spans="1:6" s="133" customFormat="1" x14ac:dyDescent="0.25">
      <c r="A8" s="135" t="s">
        <v>113</v>
      </c>
      <c r="B8" s="135" t="s">
        <v>145</v>
      </c>
      <c r="C8" s="135" t="s">
        <v>2115</v>
      </c>
      <c r="D8" s="135"/>
      <c r="E8" s="135"/>
      <c r="F8" s="135"/>
    </row>
    <row r="9" ht="54" customHeight="1" spans="1:6" s="133" customFormat="1" x14ac:dyDescent="0.25">
      <c r="A9" s="135"/>
      <c r="B9" s="135"/>
      <c r="C9" s="135" t="s">
        <v>1921</v>
      </c>
      <c r="D9" s="135" t="s">
        <v>1922</v>
      </c>
      <c r="E9" s="718" t="s">
        <v>2116</v>
      </c>
      <c r="F9" s="718" t="s">
        <v>2079</v>
      </c>
    </row>
    <row r="10" ht="52.5" customHeight="1" spans="1:6" s="133" customFormat="1" x14ac:dyDescent="0.25">
      <c r="A10" s="135"/>
      <c r="B10" s="135"/>
      <c r="C10" s="63" t="s">
        <v>154</v>
      </c>
      <c r="D10" s="63" t="s">
        <v>157</v>
      </c>
      <c r="E10" s="63" t="s">
        <v>2117</v>
      </c>
      <c r="F10" s="63" t="s">
        <v>2118</v>
      </c>
    </row>
    <row r="11" ht="39" customHeight="1" spans="1:6" x14ac:dyDescent="0.25">
      <c r="A11" s="145" t="s">
        <v>2119</v>
      </c>
      <c r="B11" s="719" t="s">
        <v>2120</v>
      </c>
      <c r="C11" s="420">
        <v>3457</v>
      </c>
      <c r="D11" s="420">
        <v>3457</v>
      </c>
      <c r="E11" s="720">
        <v>0</v>
      </c>
      <c r="F11" s="720">
        <v>0</v>
      </c>
    </row>
    <row r="12" ht="39" customHeight="1" spans="1:6" x14ac:dyDescent="0.25">
      <c r="A12" s="145" t="s">
        <v>2121</v>
      </c>
      <c r="B12" s="719" t="s">
        <v>2122</v>
      </c>
      <c r="C12" s="420">
        <v>-3063</v>
      </c>
      <c r="D12" s="420">
        <v>-3063</v>
      </c>
      <c r="E12" s="720"/>
      <c r="F12" s="720"/>
    </row>
    <row r="13" ht="39" customHeight="1" spans="1:6" x14ac:dyDescent="0.25">
      <c r="A13" s="145" t="s">
        <v>2123</v>
      </c>
      <c r="B13" s="721" t="s">
        <v>2124</v>
      </c>
      <c r="C13" s="420"/>
      <c r="D13" s="420">
        <v>0</v>
      </c>
      <c r="E13" s="720"/>
      <c r="F13" s="720"/>
    </row>
    <row r="14" ht="39" customHeight="1" spans="1:6" s="722" customFormat="1" x14ac:dyDescent="0.25">
      <c r="A14" s="145" t="s">
        <v>2125</v>
      </c>
      <c r="B14" s="723" t="s">
        <v>2126</v>
      </c>
      <c r="C14" s="420">
        <v>394</v>
      </c>
      <c r="D14" s="420">
        <v>394</v>
      </c>
      <c r="E14" s="720"/>
      <c r="F14" s="720"/>
    </row>
    <row r="15" ht="39" customHeight="1" spans="1:6" x14ac:dyDescent="0.25">
      <c r="A15" s="357" t="s">
        <v>2016</v>
      </c>
      <c r="B15" s="719" t="s">
        <v>2127</v>
      </c>
      <c r="C15" s="420">
        <v>1106</v>
      </c>
      <c r="D15" s="420">
        <v>1106</v>
      </c>
      <c r="E15" s="720"/>
      <c r="F15" s="720"/>
    </row>
    <row r="16" ht="39" customHeight="1" spans="1:6" s="724" customFormat="1" x14ac:dyDescent="0.25">
      <c r="A16" s="145" t="s">
        <v>2128</v>
      </c>
      <c r="B16" s="725" t="s">
        <v>2129</v>
      </c>
      <c r="C16" s="420">
        <f>C14+C15</f>
        <v>1500</v>
      </c>
      <c r="D16" s="726">
        <v>0</v>
      </c>
      <c r="E16" s="720"/>
      <c r="F16" s="720"/>
    </row>
    <row r="17" ht="39" customHeight="1" spans="1:6" s="317" customFormat="1" x14ac:dyDescent="0.25">
      <c r="A17" s="145" t="s">
        <v>200</v>
      </c>
      <c r="B17" s="727"/>
      <c r="C17" s="727"/>
      <c r="D17" s="420">
        <f>D14+D15</f>
        <v>1500</v>
      </c>
      <c r="E17" s="420">
        <f>D17/C22</f>
        <v>0.03680168797075493</v>
      </c>
      <c r="F17" s="420">
        <v>0</v>
      </c>
    </row>
    <row r="18" ht="17.5" customHeight="1" s="317" customFormat="1" x14ac:dyDescent="0.25"/>
    <row r="19" ht="18" customHeight="1" spans="1:4" s="317" customFormat="1" x14ac:dyDescent="0.25">
      <c r="A19" s="728" t="s">
        <v>2130</v>
      </c>
      <c r="B19" s="728"/>
      <c r="C19" s="728"/>
      <c r="D19" s="728"/>
    </row>
    <row r="20" ht="17.5" customHeight="1" spans="1:4" s="317" customFormat="1" x14ac:dyDescent="0.25">
      <c r="A20" s="326"/>
      <c r="B20" s="326"/>
      <c r="C20" s="326"/>
      <c r="D20" s="326"/>
    </row>
    <row r="21" ht="36" customHeight="1" spans="1:3" s="317" customFormat="1" x14ac:dyDescent="0.25">
      <c r="A21" s="729" t="s">
        <v>113</v>
      </c>
      <c r="B21" s="730" t="s">
        <v>145</v>
      </c>
      <c r="C21" s="417" t="s">
        <v>166</v>
      </c>
    </row>
    <row r="22" ht="27" customHeight="1" spans="1:3" s="317" customFormat="1" x14ac:dyDescent="0.25">
      <c r="A22" s="731" t="s">
        <v>155</v>
      </c>
      <c r="B22" s="732" t="s">
        <v>2112</v>
      </c>
      <c r="C22" s="420">
        <v>40759</v>
      </c>
    </row>
    <row r="23" ht="17.5" customHeight="1" s="317" customFormat="1" x14ac:dyDescent="0.25"/>
    <row r="24" ht="17.5" customHeight="1" spans="1:1" s="317" customFormat="1" x14ac:dyDescent="0.25">
      <c r="A24" s="50" t="s">
        <v>2131</v>
      </c>
    </row>
    <row r="25" ht="17.5" customHeight="1" spans="1:1" s="317" customFormat="1" x14ac:dyDescent="0.25">
      <c r="A25" s="117" t="s">
        <v>2132</v>
      </c>
    </row>
    <row r="26" ht="17.5" customHeight="1" spans="1:1" x14ac:dyDescent="0.25">
      <c r="A26" s="343" t="s">
        <v>2113</v>
      </c>
    </row>
  </sheetData>
  <sheetProtection sheet="1" algorithmName="SHA-512" hashValue="NB4sA8OmNxCxWfyexDWnGclBf5Lsx1Vmg5+JEkH+ai3t4vGSnePiBxU09saRt108cR23OW5SbxFbqCPpou1cmg==" saltValue="xD4osI4bHJ4e9uC4D9HjHg==" spinCount="100000" objects="1" scenarios="1"/>
  <mergeCells count="8">
    <mergeCell ref="A1:E1"/>
    <mergeCell ref="C8:F8"/>
    <mergeCell ref="A8:A10"/>
    <mergeCell ref="B8:B10"/>
    <mergeCell ref="E11:E16"/>
    <mergeCell ref="F11:F16"/>
    <mergeCell ref="A19:D19"/>
    <mergeCell ref="A20:D20"/>
  </mergeCells>
  <conditionalFormatting sqref="C17">
    <cfRule type="cellIs" dxfId="2" priority="3" operator="greaterThan">
      <formula>15</formula>
    </cfRule>
  </conditionalFormatting>
  <conditionalFormatting sqref="D16">
    <cfRule type="cellIs" dxfId="3" priority="2" operator="greaterThan">
      <formula>15</formula>
    </cfRule>
  </conditionalFormatting>
  <pageMargins left="0.708333333333333" right="0.708333333333333" top="0.747916666666667" bottom="0.747916666666667" header="0.511811023622047" footer="0.315277777777778"/>
  <pageSetup paperSize="9" orientation="portrait" horizontalDpi="300" verticalDpi="300" scale="41" fitToWidth="1" fitToHeight="1" firstPageNumber="1" useFirstPageNumber="1" copies="1"/>
  <headerFooter>
    <oddFooter>&amp;R&amp;P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5"/>
  <sheetViews>
    <sheetView workbookViewId="0" zoomScale="80" zoomScaleNormal="70" view="pageBreakPreview">
      <selection activeCell="E16" sqref="E16"/>
    </sheetView>
  </sheetViews>
  <sheetFormatPr defaultRowHeight="39.75" outlineLevelRow="0" outlineLevelCol="0" x14ac:dyDescent="0" defaultColWidth="10" customHeight="1"/>
  <cols>
    <col min="1" max="1" width="17.54296875" style="343" customWidth="1"/>
    <col min="2" max="2" width="66.81640625" style="343" customWidth="1"/>
    <col min="3" max="5" width="19.1796875" style="343" customWidth="1"/>
    <col min="6" max="6" width="21.36328125" style="343" customWidth="1"/>
    <col min="7" max="16384" width="10" style="343" customWidth="1"/>
  </cols>
  <sheetData>
    <row r="1" ht="39.75" customHeight="1" spans="1:6" s="317" customFormat="1" x14ac:dyDescent="0.25">
      <c r="A1" s="319" t="s">
        <v>2133</v>
      </c>
      <c r="B1" s="319"/>
      <c r="C1" s="319"/>
      <c r="D1" s="319"/>
      <c r="E1" s="319"/>
      <c r="F1" s="320" t="s">
        <v>106</v>
      </c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39.75" customHeight="1" spans="1:4" s="317" customFormat="1" x14ac:dyDescent="0.25">
      <c r="A7" s="337"/>
      <c r="B7" s="323"/>
      <c r="D7" s="323"/>
    </row>
    <row r="8" ht="39.75" customHeight="1" spans="1:6" s="133" customFormat="1" x14ac:dyDescent="0.25">
      <c r="A8" s="416" t="s">
        <v>113</v>
      </c>
      <c r="B8" s="135" t="s">
        <v>145</v>
      </c>
      <c r="C8" s="135" t="s">
        <v>2134</v>
      </c>
      <c r="D8" s="135"/>
      <c r="E8" s="135"/>
      <c r="F8" s="135"/>
    </row>
    <row r="9" ht="39.75" customHeight="1" spans="1:6" s="133" customFormat="1" x14ac:dyDescent="0.25">
      <c r="A9" s="416"/>
      <c r="B9" s="135"/>
      <c r="C9" s="135" t="s">
        <v>1921</v>
      </c>
      <c r="D9" s="135" t="s">
        <v>1922</v>
      </c>
      <c r="E9" s="566" t="s">
        <v>2135</v>
      </c>
      <c r="F9" s="566" t="s">
        <v>2079</v>
      </c>
    </row>
    <row r="10" ht="52.5" customHeight="1" spans="1:6" s="133" customFormat="1" x14ac:dyDescent="0.25">
      <c r="A10" s="416"/>
      <c r="B10" s="135"/>
      <c r="C10" s="63" t="s">
        <v>154</v>
      </c>
      <c r="D10" s="63" t="s">
        <v>157</v>
      </c>
      <c r="E10" s="63" t="s">
        <v>2136</v>
      </c>
      <c r="F10" s="63" t="s">
        <v>2137</v>
      </c>
    </row>
    <row r="11" ht="39.75" customHeight="1" spans="1:6" x14ac:dyDescent="0.25">
      <c r="A11" s="145" t="s">
        <v>2138</v>
      </c>
      <c r="B11" s="719" t="s">
        <v>2139</v>
      </c>
      <c r="C11" s="733">
        <f>C13-C12</f>
        <v>11321</v>
      </c>
      <c r="D11" s="420">
        <f>D13-D12</f>
        <v>7801</v>
      </c>
      <c r="E11" s="720">
        <v>0</v>
      </c>
      <c r="F11" s="720">
        <v>0</v>
      </c>
    </row>
    <row r="12" ht="39.75" customHeight="1" spans="1:6" x14ac:dyDescent="0.25">
      <c r="A12" s="145" t="s">
        <v>2125</v>
      </c>
      <c r="B12" s="723" t="s">
        <v>2126</v>
      </c>
      <c r="C12" s="420">
        <v>394</v>
      </c>
      <c r="D12" s="420">
        <v>394</v>
      </c>
      <c r="E12" s="720"/>
      <c r="F12" s="720"/>
    </row>
    <row r="13" ht="39.75" customHeight="1" spans="1:6" x14ac:dyDescent="0.25">
      <c r="A13" s="145" t="s">
        <v>2140</v>
      </c>
      <c r="B13" s="721" t="s">
        <v>2141</v>
      </c>
      <c r="C13" s="733">
        <v>11715</v>
      </c>
      <c r="D13" s="420">
        <v>8195</v>
      </c>
      <c r="E13" s="720"/>
      <c r="F13" s="720"/>
    </row>
    <row r="14" ht="39.75" customHeight="1" spans="1:6" s="722" customFormat="1" x14ac:dyDescent="0.25">
      <c r="A14" s="357" t="s">
        <v>2043</v>
      </c>
      <c r="B14" s="723" t="s">
        <v>2142</v>
      </c>
      <c r="C14" s="420">
        <v>1256.5</v>
      </c>
      <c r="D14" s="420">
        <v>1252.5</v>
      </c>
      <c r="E14" s="720"/>
      <c r="F14" s="720"/>
    </row>
    <row r="15" ht="39.75" customHeight="1" spans="1:6" x14ac:dyDescent="0.25">
      <c r="A15" s="145" t="s">
        <v>2143</v>
      </c>
      <c r="B15" s="723" t="s">
        <v>2144</v>
      </c>
      <c r="C15" s="420">
        <f>C13+C14</f>
        <v>12971.5</v>
      </c>
      <c r="D15" s="726">
        <v>0</v>
      </c>
      <c r="E15" s="720"/>
      <c r="F15" s="720"/>
    </row>
    <row r="16" ht="39.75" customHeight="1" spans="1:6" s="317" customFormat="1" x14ac:dyDescent="0.25">
      <c r="A16" s="145" t="s">
        <v>202</v>
      </c>
      <c r="B16" s="727"/>
      <c r="C16" s="727"/>
      <c r="D16" s="420">
        <f>D13+D14</f>
        <v>9447.5</v>
      </c>
      <c r="E16" s="420">
        <f>D16/C21</f>
        <v>0.23178929806913812</v>
      </c>
      <c r="F16" s="420">
        <v>0</v>
      </c>
    </row>
    <row r="17" ht="24" customHeight="1" spans="1:4" x14ac:dyDescent="0.25">
      <c r="A17" s="343"/>
      <c r="B17" s="343"/>
      <c r="C17" s="343"/>
      <c r="D17" s="343"/>
    </row>
    <row r="18" ht="39.75" customHeight="1" spans="1:4" s="317" customFormat="1" x14ac:dyDescent="0.25">
      <c r="A18" s="728" t="s">
        <v>2110</v>
      </c>
      <c r="B18" s="728"/>
      <c r="C18" s="728"/>
      <c r="D18" s="728"/>
    </row>
    <row r="19" ht="17.25" customHeight="1" spans="1:4" s="317" customFormat="1" x14ac:dyDescent="0.25">
      <c r="A19" s="326"/>
      <c r="B19" s="326"/>
      <c r="C19" s="326"/>
      <c r="D19" s="326"/>
    </row>
    <row r="20" ht="39.75" customHeight="1" spans="1:3" s="317" customFormat="1" x14ac:dyDescent="0.25">
      <c r="A20" s="729" t="s">
        <v>113</v>
      </c>
      <c r="B20" s="730" t="s">
        <v>145</v>
      </c>
      <c r="C20" s="417" t="s">
        <v>166</v>
      </c>
    </row>
    <row r="21" ht="39.75" customHeight="1" spans="1:3" s="317" customFormat="1" x14ac:dyDescent="0.25">
      <c r="A21" s="731" t="s">
        <v>158</v>
      </c>
      <c r="B21" s="732" t="s">
        <v>2111</v>
      </c>
      <c r="C21" s="420">
        <v>40759</v>
      </c>
    </row>
    <row r="22" ht="29.25" customHeight="1" s="317" customFormat="1" x14ac:dyDescent="0.25"/>
    <row r="23" ht="26.25" customHeight="1" spans="1:1" s="317" customFormat="1" x14ac:dyDescent="0.25">
      <c r="A23" s="50" t="s">
        <v>2131</v>
      </c>
    </row>
    <row r="24" ht="26.25" customHeight="1" spans="1:1" s="317" customFormat="1" x14ac:dyDescent="0.25">
      <c r="A24" s="117" t="s">
        <v>2132</v>
      </c>
    </row>
    <row r="25" ht="39.75" customHeight="1" spans="1:1" x14ac:dyDescent="0.25">
      <c r="A25" s="343" t="s">
        <v>2113</v>
      </c>
    </row>
  </sheetData>
  <sheetProtection sheet="1" algorithmName="SHA-512" hashValue="WKFRrbflh1bPLERzB6qwG8/5PKORvTU19Zc4R8yixC7ccGcYlRSplsT9RXspwqgyrsY5CPlDqMGGDgxQ4jwsHw==" saltValue="HMH8XrDretfgmsEwOE6ywA==" spinCount="100000" objects="1" scenarios="1"/>
  <mergeCells count="9">
    <mergeCell ref="A1:E1"/>
    <mergeCell ref="C8:F8"/>
    <mergeCell ref="A8:A10"/>
    <mergeCell ref="B8:B10"/>
    <mergeCell ref="E11:E15"/>
    <mergeCell ref="F11:F15"/>
    <mergeCell ref="A17:D17"/>
    <mergeCell ref="A18:D18"/>
    <mergeCell ref="A19:D19"/>
  </mergeCells>
  <conditionalFormatting sqref="C16">
    <cfRule type="cellIs" dxfId="4" priority="3" operator="greaterThan">
      <formula>15</formula>
    </cfRule>
  </conditionalFormatting>
  <conditionalFormatting sqref="D15">
    <cfRule type="cellIs" dxfId="5" priority="2" operator="greaterThan">
      <formula>15</formula>
    </cfRule>
  </conditionalFormatting>
  <pageMargins left="0.708333333333333" right="0.708333333333333" top="0.747916666666667" bottom="0.747916666666667" header="0.511811023622047" footer="0.315277777777778"/>
  <pageSetup paperSize="9" orientation="portrait" horizontalDpi="300" verticalDpi="300" scale="47" fitToWidth="1" fitToHeight="1" firstPageNumber="1" useFirstPageNumber="1" copies="1"/>
  <headerFooter>
    <oddFooter>&amp;R&amp;P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1"/>
  <sheetViews>
    <sheetView workbookViewId="0" zoomScale="80" zoomScaleNormal="70" view="pageBreakPreview">
      <selection activeCell="L15" sqref="L15"/>
    </sheetView>
  </sheetViews>
  <sheetFormatPr defaultRowHeight="17.25" outlineLevelRow="0" outlineLevelCol="0" x14ac:dyDescent="0" defaultColWidth="10" customHeight="1"/>
  <cols>
    <col min="1" max="1" width="17.54296875" style="317" customWidth="1"/>
    <col min="2" max="2" width="62.453125" style="317" customWidth="1"/>
    <col min="3" max="3" width="16" style="317" customWidth="1"/>
    <col min="4" max="5" width="14.54296875" style="317" customWidth="1"/>
    <col min="6" max="6" width="18.26953125" style="317" customWidth="1"/>
    <col min="7" max="10" width="14.54296875" style="317" customWidth="1"/>
    <col min="11" max="11" width="11.453125" style="317" customWidth="1"/>
    <col min="12" max="12" width="16" style="317" customWidth="1"/>
    <col min="13" max="13" width="13.7265625" style="317" customWidth="1"/>
    <col min="14" max="16384" width="10" style="317" customWidth="1"/>
  </cols>
  <sheetData>
    <row r="1" ht="29.25" customHeight="1" spans="1:13" x14ac:dyDescent="0.25">
      <c r="A1" s="119" t="s">
        <v>2145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320" t="s">
        <v>108</v>
      </c>
    </row>
    <row r="2" ht="31.5" customHeight="1" spans="2:1025" s="364" customFormat="1" x14ac:dyDescent="0.25">
      <c r="B2" s="342"/>
      <c r="C2" s="322"/>
      <c r="D2" s="323"/>
      <c r="E2" s="323"/>
      <c r="F2" s="323"/>
      <c r="G2" s="323"/>
      <c r="H2" s="323"/>
      <c r="I2" s="323"/>
      <c r="J2" s="325"/>
      <c r="K2" s="323"/>
      <c r="L2" s="323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  <c r="DD2" s="317"/>
      <c r="DE2" s="317"/>
      <c r="DF2" s="317"/>
      <c r="DG2" s="317"/>
      <c r="DH2" s="317"/>
      <c r="DI2" s="317"/>
      <c r="DJ2" s="317"/>
      <c r="DK2" s="317"/>
      <c r="DL2" s="317"/>
      <c r="DM2" s="317"/>
      <c r="DN2" s="317"/>
      <c r="DO2" s="317"/>
      <c r="DP2" s="317"/>
      <c r="DQ2" s="317"/>
      <c r="DR2" s="317"/>
      <c r="DS2" s="317"/>
      <c r="DT2" s="317"/>
      <c r="DU2" s="317"/>
      <c r="DV2" s="317"/>
      <c r="DW2" s="317"/>
      <c r="DX2" s="317"/>
      <c r="DY2" s="317"/>
      <c r="DZ2" s="317"/>
      <c r="EA2" s="317"/>
      <c r="EB2" s="317"/>
      <c r="EC2" s="317"/>
      <c r="ED2" s="317"/>
      <c r="EE2" s="317"/>
      <c r="EF2" s="317"/>
      <c r="EG2" s="317"/>
      <c r="EH2" s="317"/>
      <c r="EI2" s="317"/>
      <c r="EJ2" s="317"/>
      <c r="EK2" s="317"/>
      <c r="EL2" s="317"/>
      <c r="EM2" s="317"/>
      <c r="EN2" s="317"/>
      <c r="EO2" s="317"/>
      <c r="EP2" s="317"/>
      <c r="EQ2" s="317"/>
      <c r="ER2" s="317"/>
      <c r="ES2" s="317"/>
      <c r="ET2" s="317"/>
      <c r="EU2" s="317"/>
      <c r="EV2" s="317"/>
      <c r="EW2" s="317"/>
      <c r="EX2" s="317"/>
      <c r="EY2" s="317"/>
      <c r="EZ2" s="317"/>
      <c r="FA2" s="317"/>
      <c r="FB2" s="317"/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317"/>
      <c r="FO2" s="317"/>
      <c r="FP2" s="317"/>
      <c r="FQ2" s="317"/>
      <c r="FR2" s="317"/>
      <c r="FS2" s="317"/>
      <c r="FT2" s="317"/>
      <c r="FU2" s="317"/>
      <c r="FV2" s="317"/>
      <c r="FW2" s="317"/>
      <c r="FX2" s="317"/>
      <c r="FY2" s="317"/>
      <c r="FZ2" s="317"/>
      <c r="GA2" s="317"/>
      <c r="GB2" s="317"/>
      <c r="GC2" s="317"/>
      <c r="GD2" s="317"/>
      <c r="GE2" s="317"/>
      <c r="GF2" s="317"/>
      <c r="GG2" s="317"/>
      <c r="GH2" s="317"/>
      <c r="GI2" s="317"/>
      <c r="GJ2" s="317"/>
      <c r="GK2" s="317"/>
      <c r="GL2" s="317"/>
      <c r="GM2" s="317"/>
      <c r="GN2" s="317"/>
      <c r="GO2" s="317"/>
      <c r="GP2" s="317"/>
      <c r="GQ2" s="317"/>
      <c r="GR2" s="317"/>
      <c r="GS2" s="317"/>
      <c r="GT2" s="317"/>
      <c r="GU2" s="317"/>
      <c r="GV2" s="317"/>
      <c r="GW2" s="317"/>
      <c r="GX2" s="317"/>
      <c r="GY2" s="317"/>
      <c r="GZ2" s="317"/>
      <c r="HA2" s="317"/>
      <c r="HB2" s="317"/>
      <c r="HC2" s="317"/>
      <c r="HD2" s="317"/>
      <c r="HE2" s="317"/>
      <c r="HF2" s="317"/>
      <c r="HG2" s="317"/>
      <c r="HH2" s="317"/>
      <c r="HI2" s="317"/>
      <c r="HJ2" s="317"/>
      <c r="HK2" s="317"/>
      <c r="HL2" s="317"/>
      <c r="HM2" s="317"/>
      <c r="HN2" s="317"/>
      <c r="HO2" s="317"/>
      <c r="HP2" s="317"/>
      <c r="HQ2" s="317"/>
      <c r="HR2" s="317"/>
      <c r="HS2" s="317"/>
      <c r="HT2" s="317"/>
      <c r="HU2" s="317"/>
      <c r="HV2" s="317"/>
      <c r="HW2" s="317"/>
      <c r="HX2" s="317"/>
      <c r="HY2" s="317"/>
      <c r="HZ2" s="317"/>
      <c r="IA2" s="317"/>
      <c r="IB2" s="317"/>
      <c r="IC2" s="317"/>
      <c r="ID2" s="317"/>
      <c r="IE2" s="317"/>
      <c r="IF2" s="317"/>
      <c r="IG2" s="317"/>
      <c r="IH2" s="317"/>
      <c r="II2" s="317"/>
      <c r="IJ2" s="317"/>
      <c r="IK2" s="317"/>
      <c r="IL2" s="317"/>
      <c r="IM2" s="317"/>
      <c r="IN2" s="317"/>
      <c r="IO2" s="317"/>
      <c r="IP2" s="317"/>
      <c r="IQ2" s="317"/>
      <c r="IR2" s="317"/>
      <c r="IS2" s="317"/>
      <c r="IT2" s="317"/>
      <c r="IU2" s="317"/>
      <c r="IV2" s="317"/>
      <c r="IW2" s="317"/>
      <c r="IX2" s="317"/>
      <c r="IY2" s="317"/>
      <c r="IZ2" s="317"/>
      <c r="JA2" s="317"/>
      <c r="JB2" s="317"/>
      <c r="JC2" s="317"/>
      <c r="JD2" s="317"/>
      <c r="JE2" s="317"/>
      <c r="JF2" s="317"/>
      <c r="JG2" s="317"/>
      <c r="JH2" s="317"/>
      <c r="JI2" s="317"/>
      <c r="JJ2" s="317"/>
      <c r="JK2" s="317"/>
      <c r="JL2" s="317"/>
      <c r="JM2" s="317"/>
      <c r="JN2" s="317"/>
      <c r="JO2" s="317"/>
      <c r="JP2" s="317"/>
      <c r="JQ2" s="317"/>
      <c r="JR2" s="317"/>
      <c r="JS2" s="317"/>
      <c r="JT2" s="317"/>
      <c r="JU2" s="317"/>
      <c r="JV2" s="317"/>
      <c r="JW2" s="317"/>
      <c r="JX2" s="317"/>
      <c r="JY2" s="317"/>
      <c r="JZ2" s="317"/>
      <c r="KA2" s="317"/>
      <c r="KB2" s="317"/>
      <c r="KC2" s="317"/>
      <c r="KD2" s="317"/>
      <c r="KE2" s="317"/>
      <c r="KF2" s="317"/>
      <c r="KG2" s="317"/>
      <c r="KH2" s="317"/>
      <c r="KI2" s="317"/>
      <c r="KJ2" s="317"/>
      <c r="KK2" s="317"/>
      <c r="KL2" s="317"/>
      <c r="KM2" s="317"/>
      <c r="KN2" s="317"/>
      <c r="KO2" s="317"/>
      <c r="KP2" s="317"/>
      <c r="KQ2" s="317"/>
      <c r="KR2" s="317"/>
      <c r="KS2" s="317"/>
      <c r="KT2" s="317"/>
      <c r="KU2" s="317"/>
      <c r="KV2" s="317"/>
      <c r="KW2" s="317"/>
      <c r="KX2" s="317"/>
      <c r="KY2" s="317"/>
      <c r="KZ2" s="317"/>
      <c r="LA2" s="317"/>
      <c r="LB2" s="317"/>
      <c r="LC2" s="317"/>
      <c r="LD2" s="317"/>
      <c r="LE2" s="317"/>
      <c r="LF2" s="317"/>
      <c r="LG2" s="317"/>
      <c r="LH2" s="317"/>
      <c r="LI2" s="317"/>
      <c r="LJ2" s="317"/>
      <c r="LK2" s="317"/>
      <c r="LL2" s="317"/>
      <c r="LM2" s="317"/>
      <c r="LN2" s="317"/>
      <c r="LO2" s="317"/>
      <c r="LP2" s="317"/>
      <c r="LQ2" s="317"/>
      <c r="LR2" s="317"/>
      <c r="LS2" s="317"/>
      <c r="LT2" s="317"/>
      <c r="LU2" s="317"/>
      <c r="LV2" s="317"/>
      <c r="LW2" s="317"/>
      <c r="LX2" s="317"/>
      <c r="LY2" s="317"/>
      <c r="LZ2" s="317"/>
      <c r="MA2" s="317"/>
      <c r="MB2" s="317"/>
      <c r="MC2" s="317"/>
      <c r="MD2" s="317"/>
      <c r="ME2" s="317"/>
      <c r="MF2" s="317"/>
      <c r="MG2" s="317"/>
      <c r="MH2" s="317"/>
      <c r="MI2" s="317"/>
      <c r="MJ2" s="317"/>
      <c r="MK2" s="317"/>
      <c r="ML2" s="317"/>
      <c r="MM2" s="317"/>
      <c r="MN2" s="317"/>
      <c r="MO2" s="317"/>
      <c r="MP2" s="317"/>
      <c r="MQ2" s="317"/>
      <c r="MR2" s="317"/>
      <c r="MS2" s="317"/>
      <c r="MT2" s="317"/>
      <c r="MU2" s="317"/>
      <c r="MV2" s="317"/>
      <c r="MW2" s="317"/>
      <c r="MX2" s="317"/>
      <c r="MY2" s="317"/>
      <c r="MZ2" s="317"/>
      <c r="NA2" s="317"/>
      <c r="NB2" s="317"/>
      <c r="NC2" s="317"/>
      <c r="ND2" s="317"/>
      <c r="NE2" s="317"/>
      <c r="NF2" s="317"/>
      <c r="NG2" s="317"/>
      <c r="NH2" s="317"/>
      <c r="NI2" s="317"/>
      <c r="NJ2" s="317"/>
      <c r="NK2" s="317"/>
      <c r="NL2" s="317"/>
      <c r="NM2" s="317"/>
      <c r="NN2" s="317"/>
      <c r="NO2" s="317"/>
      <c r="NP2" s="317"/>
      <c r="NQ2" s="317"/>
      <c r="NR2" s="317"/>
      <c r="NS2" s="317"/>
      <c r="NT2" s="317"/>
      <c r="NU2" s="317"/>
      <c r="NV2" s="317"/>
      <c r="NW2" s="317"/>
      <c r="NX2" s="317"/>
      <c r="NY2" s="317"/>
      <c r="NZ2" s="317"/>
      <c r="OA2" s="317"/>
      <c r="OB2" s="317"/>
      <c r="OC2" s="317"/>
      <c r="OD2" s="317"/>
      <c r="OE2" s="317"/>
      <c r="OF2" s="317"/>
      <c r="OG2" s="317"/>
      <c r="OH2" s="317"/>
      <c r="OI2" s="317"/>
      <c r="OJ2" s="317"/>
      <c r="OK2" s="317"/>
      <c r="OL2" s="317"/>
      <c r="OM2" s="317"/>
      <c r="ON2" s="317"/>
      <c r="OO2" s="317"/>
      <c r="OP2" s="317"/>
      <c r="OQ2" s="317"/>
      <c r="OR2" s="317"/>
      <c r="OS2" s="317"/>
      <c r="OT2" s="317"/>
      <c r="OU2" s="317"/>
      <c r="OV2" s="317"/>
      <c r="OW2" s="317"/>
      <c r="OX2" s="317"/>
      <c r="OY2" s="317"/>
      <c r="OZ2" s="317"/>
      <c r="PA2" s="317"/>
      <c r="PB2" s="317"/>
      <c r="PC2" s="317"/>
      <c r="PD2" s="317"/>
      <c r="PE2" s="317"/>
      <c r="PF2" s="317"/>
      <c r="PG2" s="317"/>
      <c r="PH2" s="317"/>
      <c r="PI2" s="317"/>
      <c r="PJ2" s="317"/>
      <c r="PK2" s="317"/>
      <c r="PL2" s="317"/>
      <c r="PM2" s="317"/>
      <c r="PN2" s="317"/>
      <c r="PO2" s="317"/>
      <c r="PP2" s="317"/>
      <c r="PQ2" s="317"/>
      <c r="PR2" s="317"/>
      <c r="PS2" s="317"/>
      <c r="PT2" s="317"/>
      <c r="PU2" s="317"/>
      <c r="PV2" s="317"/>
      <c r="PW2" s="317"/>
      <c r="PX2" s="317"/>
      <c r="PY2" s="317"/>
      <c r="PZ2" s="317"/>
      <c r="QA2" s="317"/>
      <c r="QB2" s="317"/>
      <c r="QC2" s="317"/>
      <c r="QD2" s="317"/>
      <c r="QE2" s="317"/>
      <c r="QF2" s="317"/>
      <c r="QG2" s="317"/>
      <c r="QH2" s="317"/>
      <c r="QI2" s="317"/>
      <c r="QJ2" s="317"/>
      <c r="QK2" s="317"/>
      <c r="QL2" s="317"/>
      <c r="QM2" s="317"/>
      <c r="QN2" s="317"/>
      <c r="QO2" s="317"/>
      <c r="QP2" s="317"/>
      <c r="QQ2" s="317"/>
      <c r="QR2" s="317"/>
      <c r="QS2" s="317"/>
      <c r="QT2" s="317"/>
      <c r="QU2" s="317"/>
      <c r="QV2" s="317"/>
      <c r="QW2" s="317"/>
      <c r="QX2" s="317"/>
      <c r="QY2" s="317"/>
      <c r="QZ2" s="317"/>
      <c r="RA2" s="317"/>
      <c r="RB2" s="317"/>
      <c r="RC2" s="317"/>
      <c r="RD2" s="317"/>
      <c r="RE2" s="317"/>
      <c r="RF2" s="317"/>
      <c r="RG2" s="317"/>
      <c r="RH2" s="317"/>
      <c r="RI2" s="317"/>
      <c r="RJ2" s="317"/>
      <c r="RK2" s="317"/>
      <c r="RL2" s="317"/>
      <c r="RM2" s="317"/>
      <c r="RN2" s="317"/>
      <c r="RO2" s="317"/>
      <c r="RP2" s="317"/>
      <c r="RQ2" s="317"/>
      <c r="RR2" s="317"/>
      <c r="RS2" s="317"/>
      <c r="RT2" s="317"/>
      <c r="RU2" s="317"/>
      <c r="RV2" s="317"/>
      <c r="RW2" s="317"/>
      <c r="RX2" s="317"/>
      <c r="RY2" s="317"/>
      <c r="RZ2" s="317"/>
      <c r="SA2" s="317"/>
      <c r="SB2" s="317"/>
      <c r="SC2" s="317"/>
      <c r="SD2" s="317"/>
      <c r="SE2" s="317"/>
      <c r="SF2" s="317"/>
      <c r="SG2" s="317"/>
      <c r="SH2" s="317"/>
      <c r="SI2" s="317"/>
      <c r="SJ2" s="317"/>
      <c r="SK2" s="317"/>
      <c r="SL2" s="317"/>
      <c r="SM2" s="317"/>
      <c r="SN2" s="317"/>
      <c r="SO2" s="317"/>
      <c r="SP2" s="317"/>
      <c r="SQ2" s="317"/>
      <c r="SR2" s="317"/>
      <c r="SS2" s="317"/>
      <c r="ST2" s="317"/>
      <c r="SU2" s="317"/>
      <c r="SV2" s="317"/>
      <c r="SW2" s="317"/>
      <c r="SX2" s="317"/>
      <c r="SY2" s="317"/>
      <c r="SZ2" s="317"/>
      <c r="TA2" s="317"/>
      <c r="TB2" s="317"/>
      <c r="TC2" s="317"/>
      <c r="TD2" s="317"/>
      <c r="TE2" s="317"/>
      <c r="TF2" s="317"/>
      <c r="TG2" s="317"/>
      <c r="TH2" s="317"/>
      <c r="TI2" s="317"/>
      <c r="TJ2" s="317"/>
      <c r="TK2" s="317"/>
      <c r="TL2" s="317"/>
      <c r="TM2" s="317"/>
      <c r="TN2" s="317"/>
      <c r="TO2" s="317"/>
      <c r="TP2" s="317"/>
      <c r="TQ2" s="317"/>
      <c r="TR2" s="317"/>
      <c r="TS2" s="317"/>
      <c r="TT2" s="317"/>
      <c r="TU2" s="317"/>
      <c r="TV2" s="317"/>
      <c r="TW2" s="317"/>
      <c r="TX2" s="317"/>
      <c r="TY2" s="317"/>
      <c r="TZ2" s="317"/>
      <c r="UA2" s="317"/>
      <c r="UB2" s="317"/>
      <c r="UC2" s="317"/>
      <c r="UD2" s="317"/>
      <c r="UE2" s="317"/>
      <c r="UF2" s="317"/>
      <c r="UG2" s="317"/>
      <c r="UH2" s="317"/>
      <c r="UI2" s="317"/>
      <c r="UJ2" s="317"/>
      <c r="UK2" s="317"/>
      <c r="UL2" s="317"/>
      <c r="UM2" s="317"/>
      <c r="UN2" s="317"/>
      <c r="UO2" s="317"/>
      <c r="UP2" s="317"/>
      <c r="UQ2" s="317"/>
      <c r="UR2" s="317"/>
      <c r="US2" s="317"/>
      <c r="UT2" s="317"/>
      <c r="UU2" s="317"/>
      <c r="UV2" s="317"/>
      <c r="UW2" s="317"/>
      <c r="UX2" s="317"/>
      <c r="UY2" s="317"/>
      <c r="UZ2" s="317"/>
      <c r="VA2" s="317"/>
      <c r="VB2" s="317"/>
      <c r="VC2" s="317"/>
      <c r="VD2" s="317"/>
      <c r="VE2" s="317"/>
      <c r="VF2" s="317"/>
      <c r="VG2" s="317"/>
      <c r="VH2" s="317"/>
      <c r="VI2" s="317"/>
      <c r="VJ2" s="317"/>
      <c r="VK2" s="317"/>
      <c r="VL2" s="317"/>
      <c r="VM2" s="317"/>
      <c r="VN2" s="317"/>
      <c r="VO2" s="317"/>
      <c r="VP2" s="317"/>
      <c r="VQ2" s="317"/>
      <c r="VR2" s="317"/>
      <c r="VS2" s="317"/>
      <c r="VT2" s="317"/>
      <c r="VU2" s="317"/>
      <c r="VV2" s="317"/>
      <c r="VW2" s="317"/>
      <c r="VX2" s="317"/>
      <c r="VY2" s="317"/>
      <c r="VZ2" s="317"/>
      <c r="WA2" s="317"/>
      <c r="WB2" s="317"/>
      <c r="WC2" s="317"/>
      <c r="WD2" s="317"/>
      <c r="WE2" s="317"/>
      <c r="WF2" s="317"/>
      <c r="WG2" s="317"/>
      <c r="WH2" s="317"/>
      <c r="WI2" s="317"/>
      <c r="WJ2" s="317"/>
      <c r="WK2" s="317"/>
      <c r="WL2" s="317"/>
      <c r="WM2" s="317"/>
      <c r="WN2" s="317"/>
      <c r="WO2" s="317"/>
      <c r="WP2" s="317"/>
      <c r="WQ2" s="317"/>
      <c r="WR2" s="317"/>
      <c r="WS2" s="317"/>
      <c r="WT2" s="317"/>
      <c r="WU2" s="317"/>
      <c r="WV2" s="317"/>
      <c r="WW2" s="317"/>
      <c r="WX2" s="317"/>
      <c r="WY2" s="317"/>
      <c r="WZ2" s="317"/>
      <c r="XA2" s="317"/>
      <c r="XB2" s="317"/>
      <c r="XC2" s="317"/>
      <c r="XD2" s="317"/>
      <c r="XE2" s="317"/>
      <c r="XF2" s="317"/>
      <c r="XG2" s="317"/>
      <c r="XH2" s="317"/>
      <c r="XI2" s="317"/>
      <c r="XJ2" s="317"/>
      <c r="XK2" s="317"/>
      <c r="XL2" s="317"/>
      <c r="XM2" s="317"/>
      <c r="XN2" s="317"/>
      <c r="XO2" s="317"/>
      <c r="XP2" s="317"/>
      <c r="XQ2" s="317"/>
      <c r="XR2" s="317"/>
      <c r="XS2" s="317"/>
      <c r="XT2" s="317"/>
      <c r="XU2" s="317"/>
      <c r="XV2" s="317"/>
      <c r="XW2" s="317"/>
      <c r="XX2" s="317"/>
      <c r="XY2" s="317"/>
      <c r="XZ2" s="317"/>
      <c r="YA2" s="317"/>
      <c r="YB2" s="317"/>
      <c r="YC2" s="317"/>
      <c r="YD2" s="317"/>
      <c r="YE2" s="317"/>
      <c r="YF2" s="317"/>
      <c r="YG2" s="317"/>
      <c r="YH2" s="317"/>
      <c r="YI2" s="317"/>
      <c r="YJ2" s="317"/>
      <c r="YK2" s="317"/>
      <c r="YL2" s="317"/>
      <c r="YM2" s="317"/>
      <c r="YN2" s="317"/>
      <c r="YO2" s="317"/>
      <c r="YP2" s="317"/>
      <c r="YQ2" s="317"/>
      <c r="YR2" s="317"/>
      <c r="YS2" s="317"/>
      <c r="YT2" s="317"/>
      <c r="YU2" s="317"/>
      <c r="YV2" s="317"/>
      <c r="YW2" s="317"/>
      <c r="YX2" s="317"/>
      <c r="YY2" s="317"/>
      <c r="YZ2" s="317"/>
      <c r="ZA2" s="317"/>
      <c r="ZB2" s="317"/>
      <c r="ZC2" s="317"/>
      <c r="ZD2" s="317"/>
      <c r="ZE2" s="317"/>
      <c r="ZF2" s="317"/>
      <c r="ZG2" s="317"/>
      <c r="ZH2" s="317"/>
      <c r="ZI2" s="317"/>
      <c r="ZJ2" s="317"/>
      <c r="ZK2" s="317"/>
      <c r="ZL2" s="317"/>
      <c r="ZM2" s="317"/>
      <c r="ZN2" s="317"/>
      <c r="ZO2" s="317"/>
      <c r="ZP2" s="317"/>
      <c r="ZQ2" s="317"/>
      <c r="ZR2" s="317"/>
      <c r="ZS2" s="317"/>
      <c r="ZT2" s="317"/>
      <c r="ZU2" s="317"/>
      <c r="ZV2" s="317"/>
      <c r="ZW2" s="317"/>
      <c r="ZX2" s="317"/>
      <c r="ZY2" s="317"/>
      <c r="ZZ2" s="317"/>
      <c r="AAA2" s="317"/>
      <c r="AAB2" s="317"/>
      <c r="AAC2" s="317"/>
      <c r="AAD2" s="317"/>
      <c r="AAE2" s="317"/>
      <c r="AAF2" s="317"/>
      <c r="AAG2" s="317"/>
      <c r="AAH2" s="317"/>
      <c r="AAI2" s="317"/>
      <c r="AAJ2" s="317"/>
      <c r="AAK2" s="317"/>
      <c r="AAL2" s="317"/>
      <c r="AAM2" s="317"/>
      <c r="AAN2" s="317"/>
      <c r="AAO2" s="317"/>
      <c r="AAP2" s="317"/>
      <c r="AAQ2" s="317"/>
      <c r="AAR2" s="317"/>
      <c r="AAS2" s="317"/>
      <c r="AAT2" s="317"/>
      <c r="AAU2" s="317"/>
      <c r="AAV2" s="317"/>
      <c r="AAW2" s="317"/>
      <c r="AAX2" s="317"/>
      <c r="AAY2" s="317"/>
      <c r="AAZ2" s="317"/>
      <c r="ABA2" s="317"/>
      <c r="ABB2" s="317"/>
      <c r="ABC2" s="317"/>
      <c r="ABD2" s="317"/>
      <c r="ABE2" s="317"/>
      <c r="ABF2" s="317"/>
      <c r="ABG2" s="317"/>
      <c r="ABH2" s="317"/>
      <c r="ABI2" s="317"/>
      <c r="ABJ2" s="317"/>
      <c r="ABK2" s="317"/>
      <c r="ABL2" s="317"/>
      <c r="ABM2" s="317"/>
      <c r="ABN2" s="317"/>
      <c r="ABO2" s="317"/>
      <c r="ABP2" s="317"/>
      <c r="ABQ2" s="317"/>
      <c r="ABR2" s="317"/>
      <c r="ABS2" s="317"/>
      <c r="ABT2" s="317"/>
      <c r="ABU2" s="317"/>
      <c r="ABV2" s="317"/>
      <c r="ABW2" s="317"/>
      <c r="ABX2" s="317"/>
      <c r="ABY2" s="317"/>
      <c r="ABZ2" s="317"/>
      <c r="ACA2" s="317"/>
      <c r="ACB2" s="317"/>
      <c r="ACC2" s="317"/>
      <c r="ACD2" s="317"/>
      <c r="ACE2" s="317"/>
      <c r="ACF2" s="317"/>
      <c r="ACG2" s="317"/>
      <c r="ACH2" s="317"/>
      <c r="ACI2" s="317"/>
      <c r="ACJ2" s="317"/>
      <c r="ACK2" s="317"/>
      <c r="ACL2" s="317"/>
      <c r="ACM2" s="317"/>
      <c r="ACN2" s="317"/>
      <c r="ACO2" s="317"/>
      <c r="ACP2" s="317"/>
      <c r="ACQ2" s="317"/>
      <c r="ACR2" s="317"/>
      <c r="ACS2" s="317"/>
      <c r="ACT2" s="317"/>
      <c r="ACU2" s="317"/>
      <c r="ACV2" s="317"/>
      <c r="ACW2" s="317"/>
      <c r="ACX2" s="317"/>
      <c r="ACY2" s="317"/>
      <c r="ACZ2" s="317"/>
      <c r="ADA2" s="317"/>
      <c r="ADB2" s="317"/>
      <c r="ADC2" s="317"/>
      <c r="ADD2" s="317"/>
      <c r="ADE2" s="317"/>
      <c r="ADF2" s="317"/>
      <c r="ADG2" s="317"/>
      <c r="ADH2" s="317"/>
      <c r="ADI2" s="317"/>
      <c r="ADJ2" s="317"/>
      <c r="ADK2" s="317"/>
      <c r="ADL2" s="317"/>
      <c r="ADM2" s="317"/>
      <c r="ADN2" s="317"/>
      <c r="ADO2" s="317"/>
      <c r="ADP2" s="317"/>
      <c r="ADQ2" s="317"/>
      <c r="ADR2" s="317"/>
      <c r="ADS2" s="317"/>
      <c r="ADT2" s="317"/>
      <c r="ADU2" s="317"/>
      <c r="ADV2" s="317"/>
      <c r="ADW2" s="317"/>
      <c r="ADX2" s="317"/>
      <c r="ADY2" s="317"/>
      <c r="ADZ2" s="317"/>
      <c r="AEA2" s="317"/>
      <c r="AEB2" s="317"/>
      <c r="AEC2" s="317"/>
      <c r="AED2" s="317"/>
      <c r="AEE2" s="317"/>
      <c r="AEF2" s="317"/>
      <c r="AEG2" s="317"/>
      <c r="AEH2" s="317"/>
      <c r="AEI2" s="317"/>
      <c r="AEJ2" s="317"/>
      <c r="AEK2" s="317"/>
      <c r="AEL2" s="317"/>
      <c r="AEM2" s="317"/>
      <c r="AEN2" s="317"/>
      <c r="AEO2" s="317"/>
      <c r="AEP2" s="317"/>
      <c r="AEQ2" s="317"/>
      <c r="AER2" s="317"/>
      <c r="AES2" s="317"/>
      <c r="AET2" s="317"/>
      <c r="AEU2" s="317"/>
      <c r="AEV2" s="317"/>
      <c r="AEW2" s="317"/>
      <c r="AEX2" s="317"/>
      <c r="AEY2" s="317"/>
      <c r="AEZ2" s="317"/>
      <c r="AFA2" s="317"/>
      <c r="AFB2" s="317"/>
      <c r="AFC2" s="317"/>
      <c r="AFD2" s="317"/>
      <c r="AFE2" s="317"/>
      <c r="AFF2" s="317"/>
      <c r="AFG2" s="317"/>
      <c r="AFH2" s="317"/>
      <c r="AFI2" s="317"/>
      <c r="AFJ2" s="317"/>
      <c r="AFK2" s="317"/>
      <c r="AFL2" s="317"/>
      <c r="AFM2" s="317"/>
      <c r="AFN2" s="317"/>
      <c r="AFO2" s="317"/>
      <c r="AFP2" s="317"/>
      <c r="AFQ2" s="317"/>
      <c r="AFR2" s="317"/>
      <c r="AFS2" s="317"/>
      <c r="AFT2" s="317"/>
      <c r="AFU2" s="317"/>
      <c r="AFV2" s="317"/>
      <c r="AFW2" s="317"/>
      <c r="AFX2" s="317"/>
      <c r="AFY2" s="317"/>
      <c r="AFZ2" s="317"/>
      <c r="AGA2" s="317"/>
      <c r="AGB2" s="317"/>
      <c r="AGC2" s="317"/>
      <c r="AGD2" s="317"/>
      <c r="AGE2" s="317"/>
      <c r="AGF2" s="317"/>
      <c r="AGG2" s="317"/>
      <c r="AGH2" s="317"/>
      <c r="AGI2" s="317"/>
      <c r="AGJ2" s="317"/>
      <c r="AGK2" s="317"/>
      <c r="AGL2" s="317"/>
      <c r="AGM2" s="317"/>
      <c r="AGN2" s="317"/>
      <c r="AGO2" s="317"/>
      <c r="AGP2" s="317"/>
      <c r="AGQ2" s="317"/>
      <c r="AGR2" s="317"/>
      <c r="AGS2" s="317"/>
      <c r="AGT2" s="317"/>
      <c r="AGU2" s="317"/>
      <c r="AGV2" s="317"/>
      <c r="AGW2" s="317"/>
      <c r="AGX2" s="317"/>
      <c r="AGY2" s="317"/>
      <c r="AGZ2" s="317"/>
      <c r="AHA2" s="317"/>
      <c r="AHB2" s="317"/>
      <c r="AHC2" s="317"/>
      <c r="AHD2" s="317"/>
      <c r="AHE2" s="317"/>
      <c r="AHF2" s="317"/>
      <c r="AHG2" s="317"/>
      <c r="AHH2" s="317"/>
      <c r="AHI2" s="317"/>
      <c r="AHJ2" s="317"/>
      <c r="AHK2" s="317"/>
      <c r="AHL2" s="317"/>
      <c r="AHM2" s="317"/>
      <c r="AHN2" s="317"/>
      <c r="AHO2" s="317"/>
      <c r="AHP2" s="317"/>
      <c r="AHQ2" s="317"/>
      <c r="AHR2" s="317"/>
      <c r="AHS2" s="317"/>
      <c r="AHT2" s="317"/>
      <c r="AHU2" s="317"/>
      <c r="AHV2" s="317"/>
      <c r="AHW2" s="317"/>
      <c r="AHX2" s="317"/>
      <c r="AHY2" s="317"/>
      <c r="AHZ2" s="317"/>
      <c r="AIA2" s="317"/>
      <c r="AIB2" s="317"/>
      <c r="AIC2" s="317"/>
      <c r="AID2" s="317"/>
      <c r="AIE2" s="317"/>
      <c r="AIF2" s="317"/>
      <c r="AIG2" s="317"/>
      <c r="AIH2" s="317"/>
      <c r="AII2" s="317"/>
      <c r="AIJ2" s="317"/>
      <c r="AIK2" s="317"/>
      <c r="AIL2" s="317"/>
      <c r="AIM2" s="317"/>
      <c r="AIN2" s="317"/>
      <c r="AIO2" s="317"/>
      <c r="AIP2" s="317"/>
      <c r="AIQ2" s="317"/>
      <c r="AIR2" s="317"/>
      <c r="AIS2" s="317"/>
      <c r="AIT2" s="317"/>
      <c r="AIU2" s="317"/>
      <c r="AIV2" s="317"/>
      <c r="AIW2" s="317"/>
      <c r="AIX2" s="317"/>
      <c r="AIY2" s="317"/>
      <c r="AIZ2" s="317"/>
      <c r="AJA2" s="317"/>
      <c r="AJB2" s="317"/>
      <c r="AJC2" s="317"/>
      <c r="AJD2" s="317"/>
      <c r="AJE2" s="317"/>
      <c r="AJF2" s="317"/>
      <c r="AJG2" s="317"/>
      <c r="AJH2" s="317"/>
      <c r="AJI2" s="317"/>
      <c r="AJJ2" s="317"/>
      <c r="AJK2" s="317"/>
      <c r="AJL2" s="317"/>
      <c r="AJM2" s="317"/>
      <c r="AJN2" s="317"/>
      <c r="AJO2" s="317"/>
      <c r="AJP2" s="317"/>
      <c r="AJQ2" s="317"/>
      <c r="AJR2" s="317"/>
      <c r="AJS2" s="317"/>
      <c r="AJT2" s="317"/>
      <c r="AJU2" s="317"/>
      <c r="AJV2" s="317"/>
      <c r="AJW2" s="317"/>
      <c r="AJX2" s="317"/>
      <c r="AJY2" s="317"/>
      <c r="AJZ2" s="317"/>
      <c r="AKA2" s="317"/>
      <c r="AKB2" s="317"/>
      <c r="AKC2" s="317"/>
      <c r="AKD2" s="317"/>
      <c r="AKE2" s="317"/>
      <c r="AKF2" s="317"/>
      <c r="AKG2" s="317"/>
      <c r="AKH2" s="317"/>
      <c r="AKI2" s="317"/>
      <c r="AKJ2" s="317"/>
      <c r="AKK2" s="317"/>
      <c r="AKL2" s="317"/>
      <c r="AKM2" s="317"/>
      <c r="AKN2" s="317"/>
      <c r="AKO2" s="317"/>
      <c r="AKP2" s="317"/>
      <c r="AKQ2" s="317"/>
      <c r="AKR2" s="317"/>
      <c r="AKS2" s="317"/>
      <c r="AKT2" s="317"/>
      <c r="AKU2" s="317"/>
      <c r="AKV2" s="317"/>
      <c r="AKW2" s="317"/>
      <c r="AKX2" s="317"/>
      <c r="AKY2" s="317"/>
      <c r="AKZ2" s="317"/>
      <c r="ALA2" s="317"/>
      <c r="ALB2" s="317"/>
      <c r="ALC2" s="317"/>
      <c r="ALD2" s="317"/>
      <c r="ALE2" s="317"/>
      <c r="ALF2" s="317"/>
      <c r="ALG2" s="317"/>
      <c r="ALH2" s="317"/>
      <c r="ALI2" s="317"/>
      <c r="ALJ2" s="317"/>
      <c r="ALK2" s="317"/>
      <c r="ALL2" s="317"/>
      <c r="ALM2" s="317"/>
      <c r="ALN2" s="317"/>
      <c r="ALO2" s="317"/>
      <c r="ALP2" s="317"/>
      <c r="ALQ2" s="317"/>
      <c r="ALR2" s="317"/>
      <c r="ALS2" s="317"/>
      <c r="ALT2" s="317"/>
      <c r="ALU2" s="317"/>
      <c r="ALV2" s="317"/>
      <c r="ALW2" s="317"/>
      <c r="ALX2" s="317"/>
      <c r="ALY2" s="317"/>
      <c r="ALZ2" s="317"/>
      <c r="AMA2" s="317"/>
      <c r="AMB2" s="317"/>
      <c r="AMC2" s="317"/>
      <c r="AMD2" s="317"/>
      <c r="AME2" s="317"/>
      <c r="AMF2" s="317"/>
      <c r="AMG2" s="317"/>
      <c r="AMH2" s="317"/>
      <c r="AMI2" s="317"/>
      <c r="AMJ2" s="317"/>
      <c r="AMK2" s="317"/>
    </row>
    <row r="3" ht="17.5" customHeight="1" spans="2:12" s="343" customFormat="1" x14ac:dyDescent="0.25">
      <c r="B3" s="344"/>
      <c r="E3" s="345"/>
      <c r="F3" s="345"/>
      <c r="G3" s="345"/>
      <c r="H3" s="345"/>
      <c r="I3" s="345"/>
      <c r="J3" s="345"/>
      <c r="K3" s="345"/>
      <c r="L3" s="345"/>
    </row>
    <row r="4" ht="9.75" customHeight="1" spans="1:12" s="343" customFormat="1" x14ac:dyDescent="0.25">
      <c r="A4" s="344"/>
      <c r="C4" s="345"/>
      <c r="E4" s="345"/>
      <c r="F4" s="345"/>
      <c r="G4" s="345"/>
      <c r="H4" s="345"/>
      <c r="I4" s="345"/>
      <c r="J4" s="345"/>
      <c r="K4" s="345"/>
      <c r="L4" s="345"/>
    </row>
    <row r="5" ht="17.5" customHeight="1" spans="1:12" s="343" customFormat="1" x14ac:dyDescent="0.25">
      <c r="A5" s="344"/>
      <c r="C5" s="345"/>
      <c r="E5" s="345"/>
      <c r="F5" s="345"/>
      <c r="G5" s="345"/>
      <c r="H5" s="345"/>
      <c r="I5" s="345"/>
      <c r="J5" s="345"/>
      <c r="K5" s="345"/>
      <c r="L5" s="345"/>
    </row>
    <row r="6" ht="17.5" customHeight="1" spans="3:12" s="343" customFormat="1" x14ac:dyDescent="0.25">
      <c r="C6" s="345"/>
      <c r="E6" s="345"/>
      <c r="F6" s="345"/>
      <c r="G6" s="345"/>
      <c r="H6" s="345"/>
      <c r="I6" s="345"/>
      <c r="J6" s="345"/>
      <c r="K6" s="345"/>
      <c r="L6" s="345"/>
    </row>
    <row r="7" ht="18" customHeight="1" spans="1:5" x14ac:dyDescent="0.25">
      <c r="A7" s="337"/>
      <c r="B7" s="323"/>
      <c r="D7" s="323"/>
      <c r="E7" s="323"/>
    </row>
    <row r="8" ht="18" customHeight="1" spans="1:13" s="695" customFormat="1" x14ac:dyDescent="0.25">
      <c r="A8" s="58" t="s">
        <v>113</v>
      </c>
      <c r="B8" s="734" t="s">
        <v>145</v>
      </c>
      <c r="C8" s="58" t="s">
        <v>2146</v>
      </c>
      <c r="D8" s="58"/>
      <c r="E8" s="58"/>
      <c r="F8" s="58"/>
      <c r="G8" s="58"/>
      <c r="H8" s="58"/>
      <c r="I8" s="58"/>
      <c r="J8" s="58"/>
      <c r="K8" s="58" t="s">
        <v>2147</v>
      </c>
      <c r="L8" s="58"/>
      <c r="M8" s="58"/>
    </row>
    <row r="9" ht="132" customHeight="1" spans="1:13" s="695" customFormat="1" x14ac:dyDescent="0.25">
      <c r="A9" s="58"/>
      <c r="B9" s="734"/>
      <c r="C9" s="135" t="s">
        <v>2148</v>
      </c>
      <c r="D9" s="135" t="s">
        <v>2149</v>
      </c>
      <c r="E9" s="135" t="s">
        <v>2150</v>
      </c>
      <c r="F9" s="135" t="s">
        <v>2151</v>
      </c>
      <c r="G9" s="135" t="s">
        <v>2152</v>
      </c>
      <c r="H9" s="135" t="s">
        <v>2153</v>
      </c>
      <c r="I9" s="135" t="s">
        <v>2154</v>
      </c>
      <c r="J9" s="135" t="s">
        <v>2155</v>
      </c>
      <c r="K9" s="135" t="s">
        <v>818</v>
      </c>
      <c r="L9" s="566" t="s">
        <v>2156</v>
      </c>
      <c r="M9" s="566" t="s">
        <v>2079</v>
      </c>
    </row>
    <row r="10" ht="90" customHeight="1" spans="1:13" s="695" customFormat="1" x14ac:dyDescent="0.25">
      <c r="A10" s="58"/>
      <c r="B10" s="734"/>
      <c r="C10" s="735" t="s">
        <v>154</v>
      </c>
      <c r="D10" s="735" t="s">
        <v>157</v>
      </c>
      <c r="E10" s="735" t="s">
        <v>160</v>
      </c>
      <c r="F10" s="735" t="s">
        <v>164</v>
      </c>
      <c r="G10" s="735" t="s">
        <v>321</v>
      </c>
      <c r="H10" s="735" t="s">
        <v>329</v>
      </c>
      <c r="I10" s="735" t="s">
        <v>331</v>
      </c>
      <c r="J10" s="735" t="s">
        <v>333</v>
      </c>
      <c r="K10" s="736" t="s">
        <v>1536</v>
      </c>
      <c r="L10" s="736" t="s">
        <v>2157</v>
      </c>
      <c r="M10" s="736" t="s">
        <v>2158</v>
      </c>
    </row>
    <row r="11" ht="35.25" customHeight="1" spans="1:13" s="737" customFormat="1" x14ac:dyDescent="0.25">
      <c r="A11" s="145" t="s">
        <v>2159</v>
      </c>
      <c r="B11" s="145" t="s">
        <v>2160</v>
      </c>
      <c r="C11" s="420"/>
      <c r="D11" s="420"/>
      <c r="E11" s="420">
        <v>2130.904839</v>
      </c>
      <c r="F11" s="420">
        <v>104.537693</v>
      </c>
      <c r="G11" s="420"/>
      <c r="H11" s="420">
        <v>2915.3826489999997</v>
      </c>
      <c r="I11" s="420">
        <v>188.28145200000006</v>
      </c>
      <c r="J11" s="420">
        <v>749.270218</v>
      </c>
      <c r="K11" s="420">
        <v>6088.376851</v>
      </c>
      <c r="L11" s="414"/>
      <c r="M11" s="414"/>
    </row>
    <row r="12" ht="35.25" customHeight="1" spans="1:13" s="737" customFormat="1" x14ac:dyDescent="0.25">
      <c r="A12" s="145" t="s">
        <v>2161</v>
      </c>
      <c r="B12" s="145" t="s">
        <v>2162</v>
      </c>
      <c r="C12" s="420"/>
      <c r="D12" s="420"/>
      <c r="E12" s="420"/>
      <c r="F12" s="420"/>
      <c r="G12" s="420"/>
      <c r="H12" s="420"/>
      <c r="I12" s="420"/>
      <c r="J12" s="420"/>
      <c r="K12" s="420">
        <v>0</v>
      </c>
      <c r="L12" s="414"/>
      <c r="M12" s="414"/>
    </row>
    <row r="13" ht="35.25" customHeight="1" spans="1:13" s="695" customFormat="1" x14ac:dyDescent="0.25">
      <c r="A13" s="145" t="s">
        <v>2163</v>
      </c>
      <c r="B13" s="145" t="s">
        <v>2164</v>
      </c>
      <c r="C13" s="420">
        <v>0</v>
      </c>
      <c r="D13" s="420">
        <v>0</v>
      </c>
      <c r="E13" s="420">
        <v>2130.904839</v>
      </c>
      <c r="F13" s="420">
        <v>104.537693</v>
      </c>
      <c r="G13" s="420">
        <v>0</v>
      </c>
      <c r="H13" s="420">
        <v>2915.3826489999997</v>
      </c>
      <c r="I13" s="420">
        <v>188.28145200000006</v>
      </c>
      <c r="J13" s="420">
        <v>749.270218</v>
      </c>
      <c r="K13" s="420">
        <v>6088.376851</v>
      </c>
      <c r="L13" s="414"/>
      <c r="M13" s="414"/>
    </row>
    <row r="14" ht="35.25" customHeight="1" spans="1:13" s="695" customFormat="1" x14ac:dyDescent="0.25">
      <c r="A14" s="145" t="s">
        <v>204</v>
      </c>
      <c r="B14" s="414"/>
      <c r="C14" s="414"/>
      <c r="D14" s="414"/>
      <c r="E14" s="414"/>
      <c r="F14" s="414"/>
      <c r="G14" s="414"/>
      <c r="H14" s="414"/>
      <c r="I14" s="414"/>
      <c r="J14" s="414"/>
      <c r="K14" s="414"/>
      <c r="L14" s="420">
        <f>K13/C19</f>
        <v>0.1493750300792463</v>
      </c>
      <c r="M14" s="420">
        <v>0</v>
      </c>
    </row>
    <row r="16" ht="18" customHeight="1" spans="1:5" x14ac:dyDescent="0.25">
      <c r="A16" s="728" t="s">
        <v>2110</v>
      </c>
      <c r="B16" s="728"/>
      <c r="C16" s="728"/>
      <c r="D16" s="728"/>
      <c r="E16" s="728"/>
    </row>
    <row r="17" ht="17.5" customHeight="1" spans="1:4" x14ac:dyDescent="0.25">
      <c r="A17" s="326"/>
      <c r="B17" s="326"/>
      <c r="C17" s="326"/>
      <c r="D17" s="326"/>
    </row>
    <row r="18" ht="36" customHeight="1" spans="1:3" x14ac:dyDescent="0.25">
      <c r="A18" s="729" t="s">
        <v>113</v>
      </c>
      <c r="B18" s="730" t="s">
        <v>145</v>
      </c>
      <c r="C18" s="417" t="s">
        <v>166</v>
      </c>
    </row>
    <row r="19" ht="17.5" customHeight="1" spans="1:3" x14ac:dyDescent="0.25">
      <c r="A19" s="731" t="s">
        <v>158</v>
      </c>
      <c r="B19" s="732" t="s">
        <v>2165</v>
      </c>
      <c r="C19" s="420">
        <v>40759</v>
      </c>
    </row>
    <row r="21" ht="17.5" customHeight="1" spans="1:1" x14ac:dyDescent="0.25">
      <c r="A21" s="343" t="s">
        <v>2166</v>
      </c>
    </row>
  </sheetData>
  <sheetProtection sheet="1" algorithmName="SHA-512" hashValue="2xpullTWtbzsl6yvTHgbzUULlSDSoe0QdtOx0DhL1MhbdR+sKTg71mcy7GYsgIJYwgFp9eNOel7VC/Zj5WKohQ==" saltValue="EDdZ1SfgwEIfbFVxTwjVIA==" spinCount="100000" objects="1" scenarios="1"/>
  <mergeCells count="10">
    <mergeCell ref="A1:L1"/>
    <mergeCell ref="C8:J8"/>
    <mergeCell ref="K8:M8"/>
    <mergeCell ref="A8:A10"/>
    <mergeCell ref="B8:B10"/>
    <mergeCell ref="L11:L13"/>
    <mergeCell ref="M11:M13"/>
    <mergeCell ref="B14:K14"/>
    <mergeCell ref="A16:D16"/>
    <mergeCell ref="A17:D17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48" fitToWidth="1" fitToHeight="1" firstPageNumber="1" useFirstPageNumber="1" copies="1"/>
  <headerFooter>
    <oddFooter>&amp;R&amp;P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60"/>
  <sheetViews>
    <sheetView workbookViewId="0" zoomScale="50" zoomScaleNormal="70" view="pageBreakPreview">
      <selection activeCell="F9" sqref="F9"/>
    </sheetView>
  </sheetViews>
  <sheetFormatPr defaultRowHeight="22.5" outlineLevelRow="0" outlineLevelCol="0" x14ac:dyDescent="0" defaultColWidth="10" customHeight="1"/>
  <cols>
    <col min="1" max="1" width="11.08984375" style="501" customWidth="1"/>
    <col min="2" max="2" width="62.453125" style="501" customWidth="1"/>
    <col min="3" max="11" width="28.26953125" style="501" customWidth="1"/>
    <col min="12" max="16384" width="10" style="501" customWidth="1"/>
  </cols>
  <sheetData>
    <row r="1" ht="44.25" customHeight="1" spans="1:11" s="493" customFormat="1" x14ac:dyDescent="0.25">
      <c r="A1" s="738" t="s">
        <v>2167</v>
      </c>
      <c r="B1" s="738"/>
      <c r="C1" s="738"/>
      <c r="D1" s="738"/>
      <c r="E1" s="738"/>
      <c r="F1" s="738"/>
      <c r="G1" s="738"/>
      <c r="H1" s="738"/>
      <c r="I1" s="738"/>
      <c r="J1" s="738"/>
      <c r="K1" s="495" t="s">
        <v>110</v>
      </c>
    </row>
    <row r="2" ht="31.5" customHeight="1" spans="2:1025" s="496" customFormat="1" x14ac:dyDescent="0.25">
      <c r="B2" s="497"/>
      <c r="C2" s="498"/>
      <c r="D2" s="499"/>
      <c r="E2" s="499"/>
      <c r="F2" s="499"/>
      <c r="G2" s="499"/>
      <c r="H2" s="499"/>
      <c r="I2" s="499"/>
      <c r="J2" s="500"/>
      <c r="K2" s="499"/>
      <c r="L2" s="499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  <c r="FD2" s="493"/>
      <c r="FE2" s="493"/>
      <c r="FF2" s="493"/>
      <c r="FG2" s="493"/>
      <c r="FH2" s="493"/>
      <c r="FI2" s="493"/>
      <c r="FJ2" s="493"/>
      <c r="FK2" s="493"/>
      <c r="FL2" s="493"/>
      <c r="FM2" s="493"/>
      <c r="FN2" s="493"/>
      <c r="FO2" s="493"/>
      <c r="FP2" s="493"/>
      <c r="FQ2" s="493"/>
      <c r="FR2" s="493"/>
      <c r="FS2" s="493"/>
      <c r="FT2" s="493"/>
      <c r="FU2" s="493"/>
      <c r="FV2" s="493"/>
      <c r="FW2" s="493"/>
      <c r="FX2" s="493"/>
      <c r="FY2" s="493"/>
      <c r="FZ2" s="493"/>
      <c r="GA2" s="493"/>
      <c r="GB2" s="493"/>
      <c r="GC2" s="493"/>
      <c r="GD2" s="493"/>
      <c r="GE2" s="493"/>
      <c r="GF2" s="493"/>
      <c r="GG2" s="493"/>
      <c r="GH2" s="493"/>
      <c r="GI2" s="493"/>
      <c r="GJ2" s="493"/>
      <c r="GK2" s="493"/>
      <c r="GL2" s="493"/>
      <c r="GM2" s="493"/>
      <c r="GN2" s="493"/>
      <c r="GO2" s="493"/>
      <c r="GP2" s="493"/>
      <c r="GQ2" s="493"/>
      <c r="GR2" s="493"/>
      <c r="GS2" s="493"/>
      <c r="GT2" s="493"/>
      <c r="GU2" s="493"/>
      <c r="GV2" s="493"/>
      <c r="GW2" s="493"/>
      <c r="GX2" s="493"/>
      <c r="GY2" s="493"/>
      <c r="GZ2" s="493"/>
      <c r="HA2" s="493"/>
      <c r="HB2" s="493"/>
      <c r="HC2" s="493"/>
      <c r="HD2" s="493"/>
      <c r="HE2" s="493"/>
      <c r="HF2" s="493"/>
      <c r="HG2" s="493"/>
      <c r="HH2" s="493"/>
      <c r="HI2" s="493"/>
      <c r="HJ2" s="493"/>
      <c r="HK2" s="493"/>
      <c r="HL2" s="493"/>
      <c r="HM2" s="493"/>
      <c r="HN2" s="493"/>
      <c r="HO2" s="493"/>
      <c r="HP2" s="493"/>
      <c r="HQ2" s="493"/>
      <c r="HR2" s="493"/>
      <c r="HS2" s="493"/>
      <c r="HT2" s="493"/>
      <c r="HU2" s="493"/>
      <c r="HV2" s="493"/>
      <c r="HW2" s="493"/>
      <c r="HX2" s="493"/>
      <c r="HY2" s="493"/>
      <c r="HZ2" s="493"/>
      <c r="IA2" s="493"/>
      <c r="IB2" s="493"/>
      <c r="IC2" s="493"/>
      <c r="ID2" s="493"/>
      <c r="IE2" s="493"/>
      <c r="IF2" s="493"/>
      <c r="IG2" s="493"/>
      <c r="IH2" s="493"/>
      <c r="II2" s="493"/>
      <c r="IJ2" s="493"/>
      <c r="IK2" s="493"/>
      <c r="IL2" s="493"/>
      <c r="IM2" s="493"/>
      <c r="IN2" s="493"/>
      <c r="IO2" s="493"/>
      <c r="IP2" s="493"/>
      <c r="IQ2" s="493"/>
      <c r="IR2" s="493"/>
      <c r="IS2" s="493"/>
      <c r="IT2" s="493"/>
      <c r="IU2" s="493"/>
      <c r="IV2" s="493"/>
      <c r="IW2" s="493"/>
      <c r="IX2" s="493"/>
      <c r="IY2" s="493"/>
      <c r="IZ2" s="493"/>
      <c r="JA2" s="493"/>
      <c r="JB2" s="493"/>
      <c r="JC2" s="493"/>
      <c r="JD2" s="493"/>
      <c r="JE2" s="493"/>
      <c r="JF2" s="493"/>
      <c r="JG2" s="493"/>
      <c r="JH2" s="493"/>
      <c r="JI2" s="493"/>
      <c r="JJ2" s="493"/>
      <c r="JK2" s="493"/>
      <c r="JL2" s="493"/>
      <c r="JM2" s="493"/>
      <c r="JN2" s="493"/>
      <c r="JO2" s="493"/>
      <c r="JP2" s="493"/>
      <c r="JQ2" s="493"/>
      <c r="JR2" s="493"/>
      <c r="JS2" s="493"/>
      <c r="JT2" s="493"/>
      <c r="JU2" s="493"/>
      <c r="JV2" s="493"/>
      <c r="JW2" s="493"/>
      <c r="JX2" s="493"/>
      <c r="JY2" s="493"/>
      <c r="JZ2" s="493"/>
      <c r="KA2" s="493"/>
      <c r="KB2" s="493"/>
      <c r="KC2" s="493"/>
      <c r="KD2" s="493"/>
      <c r="KE2" s="493"/>
      <c r="KF2" s="493"/>
      <c r="KG2" s="493"/>
      <c r="KH2" s="493"/>
      <c r="KI2" s="493"/>
      <c r="KJ2" s="493"/>
      <c r="KK2" s="493"/>
      <c r="KL2" s="493"/>
      <c r="KM2" s="493"/>
      <c r="KN2" s="493"/>
      <c r="KO2" s="493"/>
      <c r="KP2" s="493"/>
      <c r="KQ2" s="493"/>
      <c r="KR2" s="493"/>
      <c r="KS2" s="493"/>
      <c r="KT2" s="493"/>
      <c r="KU2" s="493"/>
      <c r="KV2" s="493"/>
      <c r="KW2" s="493"/>
      <c r="KX2" s="493"/>
      <c r="KY2" s="493"/>
      <c r="KZ2" s="493"/>
      <c r="LA2" s="493"/>
      <c r="LB2" s="493"/>
      <c r="LC2" s="493"/>
      <c r="LD2" s="493"/>
      <c r="LE2" s="493"/>
      <c r="LF2" s="493"/>
      <c r="LG2" s="493"/>
      <c r="LH2" s="493"/>
      <c r="LI2" s="493"/>
      <c r="LJ2" s="493"/>
      <c r="LK2" s="493"/>
      <c r="LL2" s="493"/>
      <c r="LM2" s="493"/>
      <c r="LN2" s="493"/>
      <c r="LO2" s="493"/>
      <c r="LP2" s="493"/>
      <c r="LQ2" s="493"/>
      <c r="LR2" s="493"/>
      <c r="LS2" s="493"/>
      <c r="LT2" s="493"/>
      <c r="LU2" s="493"/>
      <c r="LV2" s="493"/>
      <c r="LW2" s="493"/>
      <c r="LX2" s="493"/>
      <c r="LY2" s="493"/>
      <c r="LZ2" s="493"/>
      <c r="MA2" s="493"/>
      <c r="MB2" s="493"/>
      <c r="MC2" s="493"/>
      <c r="MD2" s="493"/>
      <c r="ME2" s="493"/>
      <c r="MF2" s="493"/>
      <c r="MG2" s="493"/>
      <c r="MH2" s="493"/>
      <c r="MI2" s="493"/>
      <c r="MJ2" s="493"/>
      <c r="MK2" s="493"/>
      <c r="ML2" s="493"/>
      <c r="MM2" s="493"/>
      <c r="MN2" s="493"/>
      <c r="MO2" s="493"/>
      <c r="MP2" s="493"/>
      <c r="MQ2" s="493"/>
      <c r="MR2" s="493"/>
      <c r="MS2" s="493"/>
      <c r="MT2" s="493"/>
      <c r="MU2" s="493"/>
      <c r="MV2" s="493"/>
      <c r="MW2" s="493"/>
      <c r="MX2" s="493"/>
      <c r="MY2" s="493"/>
      <c r="MZ2" s="493"/>
      <c r="NA2" s="493"/>
      <c r="NB2" s="493"/>
      <c r="NC2" s="493"/>
      <c r="ND2" s="493"/>
      <c r="NE2" s="493"/>
      <c r="NF2" s="493"/>
      <c r="NG2" s="493"/>
      <c r="NH2" s="493"/>
      <c r="NI2" s="493"/>
      <c r="NJ2" s="493"/>
      <c r="NK2" s="493"/>
      <c r="NL2" s="493"/>
      <c r="NM2" s="493"/>
      <c r="NN2" s="493"/>
      <c r="NO2" s="493"/>
      <c r="NP2" s="493"/>
      <c r="NQ2" s="493"/>
      <c r="NR2" s="493"/>
      <c r="NS2" s="493"/>
      <c r="NT2" s="493"/>
      <c r="NU2" s="493"/>
      <c r="NV2" s="493"/>
      <c r="NW2" s="493"/>
      <c r="NX2" s="493"/>
      <c r="NY2" s="493"/>
      <c r="NZ2" s="493"/>
      <c r="OA2" s="493"/>
      <c r="OB2" s="493"/>
      <c r="OC2" s="493"/>
      <c r="OD2" s="493"/>
      <c r="OE2" s="493"/>
      <c r="OF2" s="493"/>
      <c r="OG2" s="493"/>
      <c r="OH2" s="493"/>
      <c r="OI2" s="493"/>
      <c r="OJ2" s="493"/>
      <c r="OK2" s="493"/>
      <c r="OL2" s="493"/>
      <c r="OM2" s="493"/>
      <c r="ON2" s="493"/>
      <c r="OO2" s="493"/>
      <c r="OP2" s="493"/>
      <c r="OQ2" s="493"/>
      <c r="OR2" s="493"/>
      <c r="OS2" s="493"/>
      <c r="OT2" s="493"/>
      <c r="OU2" s="493"/>
      <c r="OV2" s="493"/>
      <c r="OW2" s="493"/>
      <c r="OX2" s="493"/>
      <c r="OY2" s="493"/>
      <c r="OZ2" s="493"/>
      <c r="PA2" s="493"/>
      <c r="PB2" s="493"/>
      <c r="PC2" s="493"/>
      <c r="PD2" s="493"/>
      <c r="PE2" s="493"/>
      <c r="PF2" s="493"/>
      <c r="PG2" s="493"/>
      <c r="PH2" s="493"/>
      <c r="PI2" s="493"/>
      <c r="PJ2" s="493"/>
      <c r="PK2" s="493"/>
      <c r="PL2" s="493"/>
      <c r="PM2" s="493"/>
      <c r="PN2" s="493"/>
      <c r="PO2" s="493"/>
      <c r="PP2" s="493"/>
      <c r="PQ2" s="493"/>
      <c r="PR2" s="493"/>
      <c r="PS2" s="493"/>
      <c r="PT2" s="493"/>
      <c r="PU2" s="493"/>
      <c r="PV2" s="493"/>
      <c r="PW2" s="493"/>
      <c r="PX2" s="493"/>
      <c r="PY2" s="493"/>
      <c r="PZ2" s="493"/>
      <c r="QA2" s="493"/>
      <c r="QB2" s="493"/>
      <c r="QC2" s="493"/>
      <c r="QD2" s="493"/>
      <c r="QE2" s="493"/>
      <c r="QF2" s="493"/>
      <c r="QG2" s="493"/>
      <c r="QH2" s="493"/>
      <c r="QI2" s="493"/>
      <c r="QJ2" s="493"/>
      <c r="QK2" s="493"/>
      <c r="QL2" s="493"/>
      <c r="QM2" s="493"/>
      <c r="QN2" s="493"/>
      <c r="QO2" s="493"/>
      <c r="QP2" s="493"/>
      <c r="QQ2" s="493"/>
      <c r="QR2" s="493"/>
      <c r="QS2" s="493"/>
      <c r="QT2" s="493"/>
      <c r="QU2" s="493"/>
      <c r="QV2" s="493"/>
      <c r="QW2" s="493"/>
      <c r="QX2" s="493"/>
      <c r="QY2" s="493"/>
      <c r="QZ2" s="493"/>
      <c r="RA2" s="493"/>
      <c r="RB2" s="493"/>
      <c r="RC2" s="493"/>
      <c r="RD2" s="493"/>
      <c r="RE2" s="493"/>
      <c r="RF2" s="493"/>
      <c r="RG2" s="493"/>
      <c r="RH2" s="493"/>
      <c r="RI2" s="493"/>
      <c r="RJ2" s="493"/>
      <c r="RK2" s="493"/>
      <c r="RL2" s="493"/>
      <c r="RM2" s="493"/>
      <c r="RN2" s="493"/>
      <c r="RO2" s="493"/>
      <c r="RP2" s="493"/>
      <c r="RQ2" s="493"/>
      <c r="RR2" s="493"/>
      <c r="RS2" s="493"/>
      <c r="RT2" s="493"/>
      <c r="RU2" s="493"/>
      <c r="RV2" s="493"/>
      <c r="RW2" s="493"/>
      <c r="RX2" s="493"/>
      <c r="RY2" s="493"/>
      <c r="RZ2" s="493"/>
      <c r="SA2" s="493"/>
      <c r="SB2" s="493"/>
      <c r="SC2" s="493"/>
      <c r="SD2" s="493"/>
      <c r="SE2" s="493"/>
      <c r="SF2" s="493"/>
      <c r="SG2" s="493"/>
      <c r="SH2" s="493"/>
      <c r="SI2" s="493"/>
      <c r="SJ2" s="493"/>
      <c r="SK2" s="493"/>
      <c r="SL2" s="493"/>
      <c r="SM2" s="493"/>
      <c r="SN2" s="493"/>
      <c r="SO2" s="493"/>
      <c r="SP2" s="493"/>
      <c r="SQ2" s="493"/>
      <c r="SR2" s="493"/>
      <c r="SS2" s="493"/>
      <c r="ST2" s="493"/>
      <c r="SU2" s="493"/>
      <c r="SV2" s="493"/>
      <c r="SW2" s="493"/>
      <c r="SX2" s="493"/>
      <c r="SY2" s="493"/>
      <c r="SZ2" s="493"/>
      <c r="TA2" s="493"/>
      <c r="TB2" s="493"/>
      <c r="TC2" s="493"/>
      <c r="TD2" s="493"/>
      <c r="TE2" s="493"/>
      <c r="TF2" s="493"/>
      <c r="TG2" s="493"/>
      <c r="TH2" s="493"/>
      <c r="TI2" s="493"/>
      <c r="TJ2" s="493"/>
      <c r="TK2" s="493"/>
      <c r="TL2" s="493"/>
      <c r="TM2" s="493"/>
      <c r="TN2" s="493"/>
      <c r="TO2" s="493"/>
      <c r="TP2" s="493"/>
      <c r="TQ2" s="493"/>
      <c r="TR2" s="493"/>
      <c r="TS2" s="493"/>
      <c r="TT2" s="493"/>
      <c r="TU2" s="493"/>
      <c r="TV2" s="493"/>
      <c r="TW2" s="493"/>
      <c r="TX2" s="493"/>
      <c r="TY2" s="493"/>
      <c r="TZ2" s="493"/>
      <c r="UA2" s="493"/>
      <c r="UB2" s="493"/>
      <c r="UC2" s="493"/>
      <c r="UD2" s="493"/>
      <c r="UE2" s="493"/>
      <c r="UF2" s="493"/>
      <c r="UG2" s="493"/>
      <c r="UH2" s="493"/>
      <c r="UI2" s="493"/>
      <c r="UJ2" s="493"/>
      <c r="UK2" s="493"/>
      <c r="UL2" s="493"/>
      <c r="UM2" s="493"/>
      <c r="UN2" s="493"/>
      <c r="UO2" s="493"/>
      <c r="UP2" s="493"/>
      <c r="UQ2" s="493"/>
      <c r="UR2" s="493"/>
      <c r="US2" s="493"/>
      <c r="UT2" s="493"/>
      <c r="UU2" s="493"/>
      <c r="UV2" s="493"/>
      <c r="UW2" s="493"/>
      <c r="UX2" s="493"/>
      <c r="UY2" s="493"/>
      <c r="UZ2" s="493"/>
      <c r="VA2" s="493"/>
      <c r="VB2" s="493"/>
      <c r="VC2" s="493"/>
      <c r="VD2" s="493"/>
      <c r="VE2" s="493"/>
      <c r="VF2" s="493"/>
      <c r="VG2" s="493"/>
      <c r="VH2" s="493"/>
      <c r="VI2" s="493"/>
      <c r="VJ2" s="493"/>
      <c r="VK2" s="493"/>
      <c r="VL2" s="493"/>
      <c r="VM2" s="493"/>
      <c r="VN2" s="493"/>
      <c r="VO2" s="493"/>
      <c r="VP2" s="493"/>
      <c r="VQ2" s="493"/>
      <c r="VR2" s="493"/>
      <c r="VS2" s="493"/>
      <c r="VT2" s="493"/>
      <c r="VU2" s="493"/>
      <c r="VV2" s="493"/>
      <c r="VW2" s="493"/>
      <c r="VX2" s="493"/>
      <c r="VY2" s="493"/>
      <c r="VZ2" s="493"/>
      <c r="WA2" s="493"/>
      <c r="WB2" s="493"/>
      <c r="WC2" s="493"/>
      <c r="WD2" s="493"/>
      <c r="WE2" s="493"/>
      <c r="WF2" s="493"/>
      <c r="WG2" s="493"/>
      <c r="WH2" s="493"/>
      <c r="WI2" s="493"/>
      <c r="WJ2" s="493"/>
      <c r="WK2" s="493"/>
      <c r="WL2" s="493"/>
      <c r="WM2" s="493"/>
      <c r="WN2" s="493"/>
      <c r="WO2" s="493"/>
      <c r="WP2" s="493"/>
      <c r="WQ2" s="493"/>
      <c r="WR2" s="493"/>
      <c r="WS2" s="493"/>
      <c r="WT2" s="493"/>
      <c r="WU2" s="493"/>
      <c r="WV2" s="493"/>
      <c r="WW2" s="493"/>
      <c r="WX2" s="493"/>
      <c r="WY2" s="493"/>
      <c r="WZ2" s="493"/>
      <c r="XA2" s="493"/>
      <c r="XB2" s="493"/>
      <c r="XC2" s="493"/>
      <c r="XD2" s="493"/>
      <c r="XE2" s="493"/>
      <c r="XF2" s="493"/>
      <c r="XG2" s="493"/>
      <c r="XH2" s="493"/>
      <c r="XI2" s="493"/>
      <c r="XJ2" s="493"/>
      <c r="XK2" s="493"/>
      <c r="XL2" s="493"/>
      <c r="XM2" s="493"/>
      <c r="XN2" s="493"/>
      <c r="XO2" s="493"/>
      <c r="XP2" s="493"/>
      <c r="XQ2" s="493"/>
      <c r="XR2" s="493"/>
      <c r="XS2" s="493"/>
      <c r="XT2" s="493"/>
      <c r="XU2" s="493"/>
      <c r="XV2" s="493"/>
      <c r="XW2" s="493"/>
      <c r="XX2" s="493"/>
      <c r="XY2" s="493"/>
      <c r="XZ2" s="493"/>
      <c r="YA2" s="493"/>
      <c r="YB2" s="493"/>
      <c r="YC2" s="493"/>
      <c r="YD2" s="493"/>
      <c r="YE2" s="493"/>
      <c r="YF2" s="493"/>
      <c r="YG2" s="493"/>
      <c r="YH2" s="493"/>
      <c r="YI2" s="493"/>
      <c r="YJ2" s="493"/>
      <c r="YK2" s="493"/>
      <c r="YL2" s="493"/>
      <c r="YM2" s="493"/>
      <c r="YN2" s="493"/>
      <c r="YO2" s="493"/>
      <c r="YP2" s="493"/>
      <c r="YQ2" s="493"/>
      <c r="YR2" s="493"/>
      <c r="YS2" s="493"/>
      <c r="YT2" s="493"/>
      <c r="YU2" s="493"/>
      <c r="YV2" s="493"/>
      <c r="YW2" s="493"/>
      <c r="YX2" s="493"/>
      <c r="YY2" s="493"/>
      <c r="YZ2" s="493"/>
      <c r="ZA2" s="493"/>
      <c r="ZB2" s="493"/>
      <c r="ZC2" s="493"/>
      <c r="ZD2" s="493"/>
      <c r="ZE2" s="493"/>
      <c r="ZF2" s="493"/>
      <c r="ZG2" s="493"/>
      <c r="ZH2" s="493"/>
      <c r="ZI2" s="493"/>
      <c r="ZJ2" s="493"/>
      <c r="ZK2" s="493"/>
      <c r="ZL2" s="493"/>
      <c r="ZM2" s="493"/>
      <c r="ZN2" s="493"/>
      <c r="ZO2" s="493"/>
      <c r="ZP2" s="493"/>
      <c r="ZQ2" s="493"/>
      <c r="ZR2" s="493"/>
      <c r="ZS2" s="493"/>
      <c r="ZT2" s="493"/>
      <c r="ZU2" s="493"/>
      <c r="ZV2" s="493"/>
      <c r="ZW2" s="493"/>
      <c r="ZX2" s="493"/>
      <c r="ZY2" s="493"/>
      <c r="ZZ2" s="493"/>
      <c r="AAA2" s="493"/>
      <c r="AAB2" s="493"/>
      <c r="AAC2" s="493"/>
      <c r="AAD2" s="493"/>
      <c r="AAE2" s="493"/>
      <c r="AAF2" s="493"/>
      <c r="AAG2" s="493"/>
      <c r="AAH2" s="493"/>
      <c r="AAI2" s="493"/>
      <c r="AAJ2" s="493"/>
      <c r="AAK2" s="493"/>
      <c r="AAL2" s="493"/>
      <c r="AAM2" s="493"/>
      <c r="AAN2" s="493"/>
      <c r="AAO2" s="493"/>
      <c r="AAP2" s="493"/>
      <c r="AAQ2" s="493"/>
      <c r="AAR2" s="493"/>
      <c r="AAS2" s="493"/>
      <c r="AAT2" s="493"/>
      <c r="AAU2" s="493"/>
      <c r="AAV2" s="493"/>
      <c r="AAW2" s="493"/>
      <c r="AAX2" s="493"/>
      <c r="AAY2" s="493"/>
      <c r="AAZ2" s="493"/>
      <c r="ABA2" s="493"/>
      <c r="ABB2" s="493"/>
      <c r="ABC2" s="493"/>
      <c r="ABD2" s="493"/>
      <c r="ABE2" s="493"/>
      <c r="ABF2" s="493"/>
      <c r="ABG2" s="493"/>
      <c r="ABH2" s="493"/>
      <c r="ABI2" s="493"/>
      <c r="ABJ2" s="493"/>
      <c r="ABK2" s="493"/>
      <c r="ABL2" s="493"/>
      <c r="ABM2" s="493"/>
      <c r="ABN2" s="493"/>
      <c r="ABO2" s="493"/>
      <c r="ABP2" s="493"/>
      <c r="ABQ2" s="493"/>
      <c r="ABR2" s="493"/>
      <c r="ABS2" s="493"/>
      <c r="ABT2" s="493"/>
      <c r="ABU2" s="493"/>
      <c r="ABV2" s="493"/>
      <c r="ABW2" s="493"/>
      <c r="ABX2" s="493"/>
      <c r="ABY2" s="493"/>
      <c r="ABZ2" s="493"/>
      <c r="ACA2" s="493"/>
      <c r="ACB2" s="493"/>
      <c r="ACC2" s="493"/>
      <c r="ACD2" s="493"/>
      <c r="ACE2" s="493"/>
      <c r="ACF2" s="493"/>
      <c r="ACG2" s="493"/>
      <c r="ACH2" s="493"/>
      <c r="ACI2" s="493"/>
      <c r="ACJ2" s="493"/>
      <c r="ACK2" s="493"/>
      <c r="ACL2" s="493"/>
      <c r="ACM2" s="493"/>
      <c r="ACN2" s="493"/>
      <c r="ACO2" s="493"/>
      <c r="ACP2" s="493"/>
      <c r="ACQ2" s="493"/>
      <c r="ACR2" s="493"/>
      <c r="ACS2" s="493"/>
      <c r="ACT2" s="493"/>
      <c r="ACU2" s="493"/>
      <c r="ACV2" s="493"/>
      <c r="ACW2" s="493"/>
      <c r="ACX2" s="493"/>
      <c r="ACY2" s="493"/>
      <c r="ACZ2" s="493"/>
      <c r="ADA2" s="493"/>
      <c r="ADB2" s="493"/>
      <c r="ADC2" s="493"/>
      <c r="ADD2" s="493"/>
      <c r="ADE2" s="493"/>
      <c r="ADF2" s="493"/>
      <c r="ADG2" s="493"/>
      <c r="ADH2" s="493"/>
      <c r="ADI2" s="493"/>
      <c r="ADJ2" s="493"/>
      <c r="ADK2" s="493"/>
      <c r="ADL2" s="493"/>
      <c r="ADM2" s="493"/>
      <c r="ADN2" s="493"/>
      <c r="ADO2" s="493"/>
      <c r="ADP2" s="493"/>
      <c r="ADQ2" s="493"/>
      <c r="ADR2" s="493"/>
      <c r="ADS2" s="493"/>
      <c r="ADT2" s="493"/>
      <c r="ADU2" s="493"/>
      <c r="ADV2" s="493"/>
      <c r="ADW2" s="493"/>
      <c r="ADX2" s="493"/>
      <c r="ADY2" s="493"/>
      <c r="ADZ2" s="493"/>
      <c r="AEA2" s="493"/>
      <c r="AEB2" s="493"/>
      <c r="AEC2" s="493"/>
      <c r="AED2" s="493"/>
      <c r="AEE2" s="493"/>
      <c r="AEF2" s="493"/>
      <c r="AEG2" s="493"/>
      <c r="AEH2" s="493"/>
      <c r="AEI2" s="493"/>
      <c r="AEJ2" s="493"/>
      <c r="AEK2" s="493"/>
      <c r="AEL2" s="493"/>
      <c r="AEM2" s="493"/>
      <c r="AEN2" s="493"/>
      <c r="AEO2" s="493"/>
      <c r="AEP2" s="493"/>
      <c r="AEQ2" s="493"/>
      <c r="AER2" s="493"/>
      <c r="AES2" s="493"/>
      <c r="AET2" s="493"/>
      <c r="AEU2" s="493"/>
      <c r="AEV2" s="493"/>
      <c r="AEW2" s="493"/>
      <c r="AEX2" s="493"/>
      <c r="AEY2" s="493"/>
      <c r="AEZ2" s="493"/>
      <c r="AFA2" s="493"/>
      <c r="AFB2" s="493"/>
      <c r="AFC2" s="493"/>
      <c r="AFD2" s="493"/>
      <c r="AFE2" s="493"/>
      <c r="AFF2" s="493"/>
      <c r="AFG2" s="493"/>
      <c r="AFH2" s="493"/>
      <c r="AFI2" s="493"/>
      <c r="AFJ2" s="493"/>
      <c r="AFK2" s="493"/>
      <c r="AFL2" s="493"/>
      <c r="AFM2" s="493"/>
      <c r="AFN2" s="493"/>
      <c r="AFO2" s="493"/>
      <c r="AFP2" s="493"/>
      <c r="AFQ2" s="493"/>
      <c r="AFR2" s="493"/>
      <c r="AFS2" s="493"/>
      <c r="AFT2" s="493"/>
      <c r="AFU2" s="493"/>
      <c r="AFV2" s="493"/>
      <c r="AFW2" s="493"/>
      <c r="AFX2" s="493"/>
      <c r="AFY2" s="493"/>
      <c r="AFZ2" s="493"/>
      <c r="AGA2" s="493"/>
      <c r="AGB2" s="493"/>
      <c r="AGC2" s="493"/>
      <c r="AGD2" s="493"/>
      <c r="AGE2" s="493"/>
      <c r="AGF2" s="493"/>
      <c r="AGG2" s="493"/>
      <c r="AGH2" s="493"/>
      <c r="AGI2" s="493"/>
      <c r="AGJ2" s="493"/>
      <c r="AGK2" s="493"/>
      <c r="AGL2" s="493"/>
      <c r="AGM2" s="493"/>
      <c r="AGN2" s="493"/>
      <c r="AGO2" s="493"/>
      <c r="AGP2" s="493"/>
      <c r="AGQ2" s="493"/>
      <c r="AGR2" s="493"/>
      <c r="AGS2" s="493"/>
      <c r="AGT2" s="493"/>
      <c r="AGU2" s="493"/>
      <c r="AGV2" s="493"/>
      <c r="AGW2" s="493"/>
      <c r="AGX2" s="493"/>
      <c r="AGY2" s="493"/>
      <c r="AGZ2" s="493"/>
      <c r="AHA2" s="493"/>
      <c r="AHB2" s="493"/>
      <c r="AHC2" s="493"/>
      <c r="AHD2" s="493"/>
      <c r="AHE2" s="493"/>
      <c r="AHF2" s="493"/>
      <c r="AHG2" s="493"/>
      <c r="AHH2" s="493"/>
      <c r="AHI2" s="493"/>
      <c r="AHJ2" s="493"/>
      <c r="AHK2" s="493"/>
      <c r="AHL2" s="493"/>
      <c r="AHM2" s="493"/>
      <c r="AHN2" s="493"/>
      <c r="AHO2" s="493"/>
      <c r="AHP2" s="493"/>
      <c r="AHQ2" s="493"/>
      <c r="AHR2" s="493"/>
      <c r="AHS2" s="493"/>
      <c r="AHT2" s="493"/>
      <c r="AHU2" s="493"/>
      <c r="AHV2" s="493"/>
      <c r="AHW2" s="493"/>
      <c r="AHX2" s="493"/>
      <c r="AHY2" s="493"/>
      <c r="AHZ2" s="493"/>
      <c r="AIA2" s="493"/>
      <c r="AIB2" s="493"/>
      <c r="AIC2" s="493"/>
      <c r="AID2" s="493"/>
      <c r="AIE2" s="493"/>
      <c r="AIF2" s="493"/>
      <c r="AIG2" s="493"/>
      <c r="AIH2" s="493"/>
      <c r="AII2" s="493"/>
      <c r="AIJ2" s="493"/>
      <c r="AIK2" s="493"/>
      <c r="AIL2" s="493"/>
      <c r="AIM2" s="493"/>
      <c r="AIN2" s="493"/>
      <c r="AIO2" s="493"/>
      <c r="AIP2" s="493"/>
      <c r="AIQ2" s="493"/>
      <c r="AIR2" s="493"/>
      <c r="AIS2" s="493"/>
      <c r="AIT2" s="493"/>
      <c r="AIU2" s="493"/>
      <c r="AIV2" s="493"/>
      <c r="AIW2" s="493"/>
      <c r="AIX2" s="493"/>
      <c r="AIY2" s="493"/>
      <c r="AIZ2" s="493"/>
      <c r="AJA2" s="493"/>
      <c r="AJB2" s="493"/>
      <c r="AJC2" s="493"/>
      <c r="AJD2" s="493"/>
      <c r="AJE2" s="493"/>
      <c r="AJF2" s="493"/>
      <c r="AJG2" s="493"/>
      <c r="AJH2" s="493"/>
      <c r="AJI2" s="493"/>
      <c r="AJJ2" s="493"/>
      <c r="AJK2" s="493"/>
      <c r="AJL2" s="493"/>
      <c r="AJM2" s="493"/>
      <c r="AJN2" s="493"/>
      <c r="AJO2" s="493"/>
      <c r="AJP2" s="493"/>
      <c r="AJQ2" s="493"/>
      <c r="AJR2" s="493"/>
      <c r="AJS2" s="493"/>
      <c r="AJT2" s="493"/>
      <c r="AJU2" s="493"/>
      <c r="AJV2" s="493"/>
      <c r="AJW2" s="493"/>
      <c r="AJX2" s="493"/>
      <c r="AJY2" s="493"/>
      <c r="AJZ2" s="493"/>
      <c r="AKA2" s="493"/>
      <c r="AKB2" s="493"/>
      <c r="AKC2" s="493"/>
      <c r="AKD2" s="493"/>
      <c r="AKE2" s="493"/>
      <c r="AKF2" s="493"/>
      <c r="AKG2" s="493"/>
      <c r="AKH2" s="493"/>
      <c r="AKI2" s="493"/>
      <c r="AKJ2" s="493"/>
      <c r="AKK2" s="493"/>
      <c r="AKL2" s="493"/>
      <c r="AKM2" s="493"/>
      <c r="AKN2" s="493"/>
      <c r="AKO2" s="493"/>
      <c r="AKP2" s="493"/>
      <c r="AKQ2" s="493"/>
      <c r="AKR2" s="493"/>
      <c r="AKS2" s="493"/>
      <c r="AKT2" s="493"/>
      <c r="AKU2" s="493"/>
      <c r="AKV2" s="493"/>
      <c r="AKW2" s="493"/>
      <c r="AKX2" s="493"/>
      <c r="AKY2" s="493"/>
      <c r="AKZ2" s="493"/>
      <c r="ALA2" s="493"/>
      <c r="ALB2" s="493"/>
      <c r="ALC2" s="493"/>
      <c r="ALD2" s="493"/>
      <c r="ALE2" s="493"/>
      <c r="ALF2" s="493"/>
      <c r="ALG2" s="493"/>
      <c r="ALH2" s="493"/>
      <c r="ALI2" s="493"/>
      <c r="ALJ2" s="493"/>
      <c r="ALK2" s="493"/>
      <c r="ALL2" s="493"/>
      <c r="ALM2" s="493"/>
      <c r="ALN2" s="493"/>
      <c r="ALO2" s="493"/>
      <c r="ALP2" s="493"/>
      <c r="ALQ2" s="493"/>
      <c r="ALR2" s="493"/>
      <c r="ALS2" s="493"/>
      <c r="ALT2" s="493"/>
      <c r="ALU2" s="493"/>
      <c r="ALV2" s="493"/>
      <c r="ALW2" s="493"/>
      <c r="ALX2" s="493"/>
      <c r="ALY2" s="493"/>
      <c r="ALZ2" s="493"/>
      <c r="AMA2" s="493"/>
      <c r="AMB2" s="493"/>
      <c r="AMC2" s="493"/>
      <c r="AMD2" s="493"/>
      <c r="AME2" s="493"/>
      <c r="AMF2" s="493"/>
      <c r="AMG2" s="493"/>
      <c r="AMH2" s="493"/>
      <c r="AMI2" s="493"/>
      <c r="AMJ2" s="493"/>
      <c r="AMK2" s="493"/>
    </row>
    <row r="3" spans="2:12" x14ac:dyDescent="0.25">
      <c r="B3" s="502"/>
      <c r="E3" s="503"/>
      <c r="F3" s="503"/>
      <c r="G3" s="503"/>
      <c r="H3" s="503"/>
      <c r="I3" s="503"/>
      <c r="J3" s="503"/>
      <c r="K3" s="503"/>
      <c r="L3" s="503"/>
    </row>
    <row r="4" ht="9.75" customHeight="1" spans="1:12" x14ac:dyDescent="0.25">
      <c r="A4" s="502"/>
      <c r="C4" s="503"/>
      <c r="E4" s="503"/>
      <c r="F4" s="503"/>
      <c r="G4" s="503"/>
      <c r="H4" s="503"/>
      <c r="I4" s="503"/>
      <c r="J4" s="503"/>
      <c r="K4" s="503"/>
      <c r="L4" s="503"/>
    </row>
    <row r="5" spans="1:12" x14ac:dyDescent="0.25">
      <c r="A5" s="502"/>
      <c r="C5" s="503"/>
      <c r="E5" s="503"/>
      <c r="F5" s="503"/>
      <c r="G5" s="503"/>
      <c r="H5" s="503"/>
      <c r="I5" s="503"/>
      <c r="J5" s="503"/>
      <c r="K5" s="503"/>
      <c r="L5" s="503"/>
    </row>
    <row r="6" spans="3:12" x14ac:dyDescent="0.25">
      <c r="C6" s="503"/>
      <c r="E6" s="503"/>
      <c r="F6" s="503"/>
      <c r="G6" s="503"/>
      <c r="H6" s="503"/>
      <c r="I6" s="503"/>
      <c r="J6" s="503"/>
      <c r="K6" s="503"/>
      <c r="L6" s="503"/>
    </row>
    <row r="7" ht="23" customHeight="1" spans="1:5" s="493" customFormat="1" x14ac:dyDescent="0.25">
      <c r="A7" s="516"/>
      <c r="B7" s="499"/>
      <c r="D7" s="499"/>
      <c r="E7" s="499"/>
    </row>
    <row r="8" ht="22.5" customHeight="1" spans="1:11" s="739" customFormat="1" x14ac:dyDescent="0.25">
      <c r="A8" s="740" t="s">
        <v>113</v>
      </c>
      <c r="B8" s="741" t="s">
        <v>1518</v>
      </c>
      <c r="C8" s="742" t="s">
        <v>2168</v>
      </c>
      <c r="D8" s="742"/>
      <c r="E8" s="742"/>
      <c r="F8" s="742"/>
      <c r="G8" s="742"/>
      <c r="H8" s="742"/>
      <c r="I8" s="742"/>
      <c r="J8" s="742"/>
      <c r="K8" s="742" t="s">
        <v>818</v>
      </c>
    </row>
    <row r="9" ht="133.5" customHeight="1" spans="1:11" s="739" customFormat="1" x14ac:dyDescent="0.25">
      <c r="A9" s="740"/>
      <c r="B9" s="741"/>
      <c r="C9" s="526" t="s">
        <v>2148</v>
      </c>
      <c r="D9" s="526" t="s">
        <v>2169</v>
      </c>
      <c r="E9" s="526" t="s">
        <v>2170</v>
      </c>
      <c r="F9" s="526" t="s">
        <v>2151</v>
      </c>
      <c r="G9" s="526" t="s">
        <v>2152</v>
      </c>
      <c r="H9" s="526" t="s">
        <v>2153</v>
      </c>
      <c r="I9" s="526" t="s">
        <v>2154</v>
      </c>
      <c r="J9" s="526" t="s">
        <v>2155</v>
      </c>
      <c r="K9" s="742"/>
    </row>
    <row r="10" ht="36" customHeight="1" spans="1:11" s="743" customFormat="1" x14ac:dyDescent="0.25">
      <c r="A10" s="553" t="s">
        <v>2171</v>
      </c>
      <c r="B10" s="744"/>
      <c r="C10" s="744"/>
      <c r="D10" s="744"/>
      <c r="E10" s="744"/>
      <c r="F10" s="744"/>
      <c r="G10" s="744"/>
      <c r="H10" s="744"/>
      <c r="I10" s="744"/>
      <c r="J10" s="744"/>
      <c r="K10" s="744">
        <v>0</v>
      </c>
    </row>
    <row r="11" ht="36" customHeight="1" spans="1:11" s="743" customFormat="1" x14ac:dyDescent="0.25">
      <c r="A11" s="553" t="s">
        <v>2172</v>
      </c>
      <c r="B11" s="744"/>
      <c r="C11" s="744"/>
      <c r="D11" s="744"/>
      <c r="E11" s="744"/>
      <c r="F11" s="744"/>
      <c r="G11" s="744"/>
      <c r="H11" s="744"/>
      <c r="I11" s="744"/>
      <c r="J11" s="744"/>
      <c r="K11" s="744">
        <v>0</v>
      </c>
    </row>
    <row r="12" ht="36" customHeight="1" spans="1:11" s="743" customFormat="1" x14ac:dyDescent="0.25">
      <c r="A12" s="553" t="s">
        <v>2173</v>
      </c>
      <c r="B12" s="744"/>
      <c r="C12" s="744"/>
      <c r="D12" s="744"/>
      <c r="E12" s="744"/>
      <c r="F12" s="744"/>
      <c r="G12" s="744"/>
      <c r="H12" s="744"/>
      <c r="I12" s="744"/>
      <c r="J12" s="744"/>
      <c r="K12" s="744">
        <v>0</v>
      </c>
    </row>
    <row r="13" ht="36" customHeight="1" spans="1:11" s="743" customFormat="1" x14ac:dyDescent="0.25">
      <c r="A13" s="553" t="s">
        <v>2174</v>
      </c>
      <c r="B13" s="744"/>
      <c r="C13" s="744"/>
      <c r="D13" s="744"/>
      <c r="E13" s="744"/>
      <c r="F13" s="744"/>
      <c r="G13" s="744"/>
      <c r="H13" s="744"/>
      <c r="I13" s="744"/>
      <c r="J13" s="744"/>
      <c r="K13" s="744">
        <v>0</v>
      </c>
    </row>
    <row r="14" ht="36" customHeight="1" spans="1:11" s="743" customFormat="1" x14ac:dyDescent="0.25">
      <c r="A14" s="553" t="s">
        <v>2175</v>
      </c>
      <c r="B14" s="744"/>
      <c r="C14" s="744"/>
      <c r="D14" s="744"/>
      <c r="E14" s="744"/>
      <c r="F14" s="744"/>
      <c r="G14" s="744"/>
      <c r="H14" s="744"/>
      <c r="I14" s="744"/>
      <c r="J14" s="744"/>
      <c r="K14" s="744">
        <v>0</v>
      </c>
    </row>
    <row r="15" ht="36" customHeight="1" spans="1:11" s="743" customFormat="1" x14ac:dyDescent="0.25">
      <c r="A15" s="553" t="s">
        <v>2176</v>
      </c>
      <c r="B15" s="744"/>
      <c r="C15" s="744"/>
      <c r="D15" s="744"/>
      <c r="E15" s="744"/>
      <c r="F15" s="744"/>
      <c r="G15" s="744"/>
      <c r="H15" s="744"/>
      <c r="I15" s="744"/>
      <c r="J15" s="744"/>
      <c r="K15" s="744">
        <v>0</v>
      </c>
    </row>
    <row r="16" ht="36" customHeight="1" spans="1:11" s="743" customFormat="1" x14ac:dyDescent="0.25">
      <c r="A16" s="553" t="s">
        <v>2177</v>
      </c>
      <c r="B16" s="744"/>
      <c r="C16" s="744"/>
      <c r="D16" s="744"/>
      <c r="E16" s="744"/>
      <c r="F16" s="744"/>
      <c r="G16" s="744"/>
      <c r="H16" s="744"/>
      <c r="I16" s="744"/>
      <c r="J16" s="744"/>
      <c r="K16" s="744">
        <v>0</v>
      </c>
    </row>
    <row r="17" ht="36" customHeight="1" spans="1:11" s="743" customFormat="1" x14ac:dyDescent="0.25">
      <c r="A17" s="553" t="s">
        <v>2178</v>
      </c>
      <c r="B17" s="744"/>
      <c r="C17" s="744"/>
      <c r="D17" s="744"/>
      <c r="E17" s="744"/>
      <c r="F17" s="744"/>
      <c r="G17" s="744"/>
      <c r="H17" s="744"/>
      <c r="I17" s="744"/>
      <c r="J17" s="744"/>
      <c r="K17" s="744">
        <v>0</v>
      </c>
    </row>
    <row r="18" ht="36" customHeight="1" spans="1:11" s="743" customFormat="1" x14ac:dyDescent="0.25">
      <c r="A18" s="553" t="s">
        <v>2179</v>
      </c>
      <c r="B18" s="744"/>
      <c r="C18" s="744"/>
      <c r="D18" s="744"/>
      <c r="E18" s="744"/>
      <c r="F18" s="744"/>
      <c r="G18" s="744"/>
      <c r="H18" s="744"/>
      <c r="I18" s="744"/>
      <c r="J18" s="744"/>
      <c r="K18" s="744">
        <v>0</v>
      </c>
    </row>
    <row r="19" ht="36" customHeight="1" spans="1:11" s="743" customFormat="1" x14ac:dyDescent="0.25">
      <c r="A19" s="553" t="s">
        <v>2180</v>
      </c>
      <c r="B19" s="744"/>
      <c r="C19" s="744"/>
      <c r="D19" s="744"/>
      <c r="E19" s="744"/>
      <c r="F19" s="744"/>
      <c r="G19" s="744"/>
      <c r="H19" s="744"/>
      <c r="I19" s="744"/>
      <c r="J19" s="744"/>
      <c r="K19" s="744">
        <v>0</v>
      </c>
    </row>
    <row r="20" ht="36" customHeight="1" spans="1:11" s="743" customFormat="1" x14ac:dyDescent="0.25">
      <c r="A20" s="553" t="s">
        <v>2181</v>
      </c>
      <c r="B20" s="744"/>
      <c r="C20" s="744"/>
      <c r="D20" s="744"/>
      <c r="E20" s="744"/>
      <c r="F20" s="744"/>
      <c r="G20" s="744"/>
      <c r="H20" s="744"/>
      <c r="I20" s="744"/>
      <c r="J20" s="744"/>
      <c r="K20" s="744">
        <v>0</v>
      </c>
    </row>
    <row r="21" ht="36" customHeight="1" spans="1:11" s="743" customFormat="1" x14ac:dyDescent="0.25">
      <c r="A21" s="553" t="s">
        <v>2182</v>
      </c>
      <c r="B21" s="744"/>
      <c r="C21" s="744"/>
      <c r="D21" s="744"/>
      <c r="E21" s="744"/>
      <c r="F21" s="744"/>
      <c r="G21" s="744"/>
      <c r="H21" s="744"/>
      <c r="I21" s="744"/>
      <c r="J21" s="744"/>
      <c r="K21" s="744">
        <v>0</v>
      </c>
    </row>
    <row r="22" ht="36" customHeight="1" spans="1:11" s="743" customFormat="1" x14ac:dyDescent="0.25">
      <c r="A22" s="553" t="s">
        <v>2183</v>
      </c>
      <c r="B22" s="744"/>
      <c r="C22" s="744"/>
      <c r="D22" s="744"/>
      <c r="E22" s="744"/>
      <c r="F22" s="744"/>
      <c r="G22" s="744"/>
      <c r="H22" s="744"/>
      <c r="I22" s="744"/>
      <c r="J22" s="744"/>
      <c r="K22" s="744">
        <v>0</v>
      </c>
    </row>
    <row r="23" ht="36" customHeight="1" spans="1:11" s="743" customFormat="1" x14ac:dyDescent="0.25">
      <c r="A23" s="553" t="s">
        <v>2184</v>
      </c>
      <c r="B23" s="744"/>
      <c r="C23" s="744"/>
      <c r="D23" s="744"/>
      <c r="E23" s="744"/>
      <c r="F23" s="744"/>
      <c r="G23" s="744"/>
      <c r="H23" s="744"/>
      <c r="I23" s="744"/>
      <c r="J23" s="744"/>
      <c r="K23" s="744">
        <v>0</v>
      </c>
    </row>
    <row r="24" ht="36" customHeight="1" spans="1:11" s="743" customFormat="1" x14ac:dyDescent="0.25">
      <c r="A24" s="553" t="s">
        <v>2185</v>
      </c>
      <c r="B24" s="744"/>
      <c r="C24" s="744"/>
      <c r="D24" s="744"/>
      <c r="E24" s="744"/>
      <c r="F24" s="744"/>
      <c r="G24" s="744"/>
      <c r="H24" s="744"/>
      <c r="I24" s="744"/>
      <c r="J24" s="744"/>
      <c r="K24" s="744">
        <v>0</v>
      </c>
    </row>
    <row r="25" ht="36" customHeight="1" spans="1:11" s="743" customFormat="1" x14ac:dyDescent="0.25">
      <c r="A25" s="553" t="s">
        <v>2186</v>
      </c>
      <c r="B25" s="744"/>
      <c r="C25" s="744"/>
      <c r="D25" s="744"/>
      <c r="E25" s="744"/>
      <c r="F25" s="744"/>
      <c r="G25" s="744"/>
      <c r="H25" s="744"/>
      <c r="I25" s="744"/>
      <c r="J25" s="744"/>
      <c r="K25" s="744">
        <v>0</v>
      </c>
    </row>
    <row r="26" ht="36" customHeight="1" spans="1:11" s="743" customFormat="1" x14ac:dyDescent="0.25">
      <c r="A26" s="553" t="s">
        <v>2187</v>
      </c>
      <c r="B26" s="744"/>
      <c r="C26" s="744"/>
      <c r="D26" s="744"/>
      <c r="E26" s="744"/>
      <c r="F26" s="744"/>
      <c r="G26" s="744"/>
      <c r="H26" s="744"/>
      <c r="I26" s="744"/>
      <c r="J26" s="744"/>
      <c r="K26" s="744">
        <v>0</v>
      </c>
    </row>
    <row r="27" ht="36" customHeight="1" spans="1:11" s="743" customFormat="1" x14ac:dyDescent="0.25">
      <c r="A27" s="553" t="s">
        <v>2188</v>
      </c>
      <c r="B27" s="744"/>
      <c r="C27" s="744"/>
      <c r="D27" s="744"/>
      <c r="E27" s="744"/>
      <c r="F27" s="744"/>
      <c r="G27" s="744"/>
      <c r="H27" s="744"/>
      <c r="I27" s="744"/>
      <c r="J27" s="744"/>
      <c r="K27" s="744">
        <v>0</v>
      </c>
    </row>
    <row r="28" ht="36" customHeight="1" spans="1:11" s="743" customFormat="1" x14ac:dyDescent="0.25">
      <c r="A28" s="553" t="s">
        <v>2189</v>
      </c>
      <c r="B28" s="744"/>
      <c r="C28" s="744"/>
      <c r="D28" s="744"/>
      <c r="E28" s="744"/>
      <c r="F28" s="744"/>
      <c r="G28" s="744"/>
      <c r="H28" s="744"/>
      <c r="I28" s="744"/>
      <c r="J28" s="744"/>
      <c r="K28" s="744">
        <v>0</v>
      </c>
    </row>
    <row r="29" ht="36" customHeight="1" spans="1:11" s="743" customFormat="1" x14ac:dyDescent="0.25">
      <c r="A29" s="553" t="s">
        <v>2190</v>
      </c>
      <c r="B29" s="744"/>
      <c r="C29" s="744"/>
      <c r="D29" s="744"/>
      <c r="E29" s="744"/>
      <c r="F29" s="744"/>
      <c r="G29" s="744"/>
      <c r="H29" s="744"/>
      <c r="I29" s="744"/>
      <c r="J29" s="744"/>
      <c r="K29" s="744">
        <v>0</v>
      </c>
    </row>
    <row r="30" ht="36" customHeight="1" spans="1:11" s="743" customFormat="1" x14ac:dyDescent="0.25">
      <c r="A30" s="553" t="s">
        <v>2191</v>
      </c>
      <c r="B30" s="744"/>
      <c r="C30" s="744"/>
      <c r="D30" s="744"/>
      <c r="E30" s="744"/>
      <c r="F30" s="744"/>
      <c r="G30" s="744"/>
      <c r="H30" s="744"/>
      <c r="I30" s="744"/>
      <c r="J30" s="744"/>
      <c r="K30" s="744">
        <v>0</v>
      </c>
    </row>
    <row r="31" ht="36" customHeight="1" spans="1:11" s="743" customFormat="1" x14ac:dyDescent="0.25">
      <c r="A31" s="553" t="s">
        <v>2192</v>
      </c>
      <c r="B31" s="744"/>
      <c r="C31" s="744"/>
      <c r="D31" s="744"/>
      <c r="E31" s="744"/>
      <c r="F31" s="744"/>
      <c r="G31" s="744"/>
      <c r="H31" s="744"/>
      <c r="I31" s="744"/>
      <c r="J31" s="744"/>
      <c r="K31" s="744">
        <v>0</v>
      </c>
    </row>
    <row r="32" ht="36" customHeight="1" spans="1:11" s="743" customFormat="1" x14ac:dyDescent="0.25">
      <c r="A32" s="553" t="s">
        <v>2193</v>
      </c>
      <c r="B32" s="744"/>
      <c r="C32" s="744"/>
      <c r="D32" s="744"/>
      <c r="E32" s="744"/>
      <c r="F32" s="744"/>
      <c r="G32" s="744"/>
      <c r="H32" s="744"/>
      <c r="I32" s="744"/>
      <c r="J32" s="744"/>
      <c r="K32" s="744">
        <v>0</v>
      </c>
    </row>
    <row r="33" ht="36" customHeight="1" spans="1:11" s="743" customFormat="1" x14ac:dyDescent="0.25">
      <c r="A33" s="553" t="s">
        <v>2194</v>
      </c>
      <c r="B33" s="744"/>
      <c r="C33" s="744"/>
      <c r="D33" s="744"/>
      <c r="E33" s="744"/>
      <c r="F33" s="744"/>
      <c r="G33" s="744"/>
      <c r="H33" s="744"/>
      <c r="I33" s="744"/>
      <c r="J33" s="744"/>
      <c r="K33" s="744">
        <v>0</v>
      </c>
    </row>
    <row r="34" ht="36" customHeight="1" spans="1:11" s="743" customFormat="1" x14ac:dyDescent="0.25">
      <c r="A34" s="553" t="s">
        <v>2195</v>
      </c>
      <c r="B34" s="744"/>
      <c r="C34" s="744"/>
      <c r="D34" s="744"/>
      <c r="E34" s="744"/>
      <c r="F34" s="744"/>
      <c r="G34" s="744"/>
      <c r="H34" s="744"/>
      <c r="I34" s="744"/>
      <c r="J34" s="744"/>
      <c r="K34" s="744">
        <v>0</v>
      </c>
    </row>
    <row r="35" ht="36" customHeight="1" spans="1:11" s="743" customFormat="1" x14ac:dyDescent="0.25">
      <c r="A35" s="553" t="s">
        <v>2196</v>
      </c>
      <c r="B35" s="744"/>
      <c r="C35" s="744"/>
      <c r="D35" s="744"/>
      <c r="E35" s="744"/>
      <c r="F35" s="744"/>
      <c r="G35" s="744"/>
      <c r="H35" s="744"/>
      <c r="I35" s="744"/>
      <c r="J35" s="744"/>
      <c r="K35" s="744">
        <v>0</v>
      </c>
    </row>
    <row r="36" ht="36" customHeight="1" spans="1:11" s="743" customFormat="1" x14ac:dyDescent="0.25">
      <c r="A36" s="553" t="s">
        <v>2197</v>
      </c>
      <c r="B36" s="744"/>
      <c r="C36" s="744"/>
      <c r="D36" s="744"/>
      <c r="E36" s="744"/>
      <c r="F36" s="744"/>
      <c r="G36" s="744"/>
      <c r="H36" s="744"/>
      <c r="I36" s="744"/>
      <c r="J36" s="744"/>
      <c r="K36" s="744">
        <v>0</v>
      </c>
    </row>
    <row r="37" ht="36" customHeight="1" spans="1:11" s="743" customFormat="1" x14ac:dyDescent="0.25">
      <c r="A37" s="553" t="s">
        <v>2198</v>
      </c>
      <c r="B37" s="744"/>
      <c r="C37" s="744"/>
      <c r="D37" s="744"/>
      <c r="E37" s="744"/>
      <c r="F37" s="744"/>
      <c r="G37" s="744"/>
      <c r="H37" s="744"/>
      <c r="I37" s="744"/>
      <c r="J37" s="744"/>
      <c r="K37" s="744">
        <v>0</v>
      </c>
    </row>
    <row r="38" ht="36" customHeight="1" spans="1:11" s="743" customFormat="1" x14ac:dyDescent="0.25">
      <c r="A38" s="553" t="s">
        <v>2199</v>
      </c>
      <c r="B38" s="744"/>
      <c r="C38" s="744"/>
      <c r="D38" s="744"/>
      <c r="E38" s="744"/>
      <c r="F38" s="744"/>
      <c r="G38" s="744"/>
      <c r="H38" s="744"/>
      <c r="I38" s="744"/>
      <c r="J38" s="744"/>
      <c r="K38" s="744">
        <v>0</v>
      </c>
    </row>
    <row r="39" ht="36" customHeight="1" spans="1:11" s="743" customFormat="1" x14ac:dyDescent="0.25">
      <c r="A39" s="553" t="s">
        <v>2200</v>
      </c>
      <c r="B39" s="744"/>
      <c r="C39" s="744"/>
      <c r="D39" s="744"/>
      <c r="E39" s="744"/>
      <c r="F39" s="744"/>
      <c r="G39" s="744"/>
      <c r="H39" s="744"/>
      <c r="I39" s="744"/>
      <c r="J39" s="744"/>
      <c r="K39" s="744">
        <v>0</v>
      </c>
    </row>
    <row r="40" ht="36" customHeight="1" spans="1:11" s="743" customFormat="1" x14ac:dyDescent="0.25">
      <c r="A40" s="553" t="s">
        <v>2201</v>
      </c>
      <c r="B40" s="744"/>
      <c r="C40" s="744"/>
      <c r="D40" s="744"/>
      <c r="E40" s="744"/>
      <c r="F40" s="744"/>
      <c r="G40" s="744"/>
      <c r="H40" s="744"/>
      <c r="I40" s="744"/>
      <c r="J40" s="744"/>
      <c r="K40" s="744">
        <v>0</v>
      </c>
    </row>
    <row r="41" ht="36" customHeight="1" spans="1:11" s="743" customFormat="1" x14ac:dyDescent="0.25">
      <c r="A41" s="553" t="s">
        <v>2202</v>
      </c>
      <c r="B41" s="744"/>
      <c r="C41" s="744"/>
      <c r="D41" s="744"/>
      <c r="E41" s="744"/>
      <c r="F41" s="744"/>
      <c r="G41" s="744"/>
      <c r="H41" s="744"/>
      <c r="I41" s="744"/>
      <c r="J41" s="744"/>
      <c r="K41" s="744">
        <v>0</v>
      </c>
    </row>
    <row r="42" ht="36" customHeight="1" spans="1:11" s="743" customFormat="1" x14ac:dyDescent="0.25">
      <c r="A42" s="553" t="s">
        <v>2203</v>
      </c>
      <c r="B42" s="744"/>
      <c r="C42" s="744"/>
      <c r="D42" s="744"/>
      <c r="E42" s="744"/>
      <c r="F42" s="744"/>
      <c r="G42" s="744"/>
      <c r="H42" s="744"/>
      <c r="I42" s="744"/>
      <c r="J42" s="744"/>
      <c r="K42" s="744">
        <v>0</v>
      </c>
    </row>
    <row r="43" ht="36" customHeight="1" spans="1:11" s="743" customFormat="1" x14ac:dyDescent="0.25">
      <c r="A43" s="553" t="s">
        <v>2204</v>
      </c>
      <c r="B43" s="744"/>
      <c r="C43" s="744"/>
      <c r="D43" s="744"/>
      <c r="E43" s="744"/>
      <c r="F43" s="744"/>
      <c r="G43" s="744"/>
      <c r="H43" s="744"/>
      <c r="I43" s="744"/>
      <c r="J43" s="744"/>
      <c r="K43" s="744">
        <v>0</v>
      </c>
    </row>
    <row r="44" ht="36" customHeight="1" spans="1:11" s="743" customFormat="1" x14ac:dyDescent="0.25">
      <c r="A44" s="553" t="s">
        <v>2205</v>
      </c>
      <c r="B44" s="744"/>
      <c r="C44" s="744"/>
      <c r="D44" s="744"/>
      <c r="E44" s="744"/>
      <c r="F44" s="744"/>
      <c r="G44" s="744"/>
      <c r="H44" s="744"/>
      <c r="I44" s="744"/>
      <c r="J44" s="744"/>
      <c r="K44" s="744">
        <v>0</v>
      </c>
    </row>
    <row r="45" ht="36" customHeight="1" spans="1:11" s="743" customFormat="1" x14ac:dyDescent="0.25">
      <c r="A45" s="553" t="s">
        <v>2206</v>
      </c>
      <c r="B45" s="744"/>
      <c r="C45" s="744"/>
      <c r="D45" s="744"/>
      <c r="E45" s="744"/>
      <c r="F45" s="744"/>
      <c r="G45" s="744"/>
      <c r="H45" s="744"/>
      <c r="I45" s="744"/>
      <c r="J45" s="744"/>
      <c r="K45" s="744">
        <v>0</v>
      </c>
    </row>
    <row r="46" ht="36" customHeight="1" spans="1:11" s="743" customFormat="1" x14ac:dyDescent="0.25">
      <c r="A46" s="553" t="s">
        <v>2207</v>
      </c>
      <c r="B46" s="744"/>
      <c r="C46" s="744"/>
      <c r="D46" s="744"/>
      <c r="E46" s="744"/>
      <c r="F46" s="744"/>
      <c r="G46" s="744"/>
      <c r="H46" s="744"/>
      <c r="I46" s="744"/>
      <c r="J46" s="744"/>
      <c r="K46" s="744">
        <v>0</v>
      </c>
    </row>
    <row r="47" ht="36" customHeight="1" spans="1:11" s="743" customFormat="1" x14ac:dyDescent="0.25">
      <c r="A47" s="553" t="s">
        <v>2208</v>
      </c>
      <c r="B47" s="744"/>
      <c r="C47" s="744"/>
      <c r="D47" s="744"/>
      <c r="E47" s="744"/>
      <c r="F47" s="744"/>
      <c r="G47" s="744"/>
      <c r="H47" s="744"/>
      <c r="I47" s="744"/>
      <c r="J47" s="744"/>
      <c r="K47" s="744">
        <v>0</v>
      </c>
    </row>
    <row r="48" ht="36" customHeight="1" spans="1:11" s="743" customFormat="1" x14ac:dyDescent="0.25">
      <c r="A48" s="553" t="s">
        <v>2209</v>
      </c>
      <c r="B48" s="744"/>
      <c r="C48" s="744"/>
      <c r="D48" s="744"/>
      <c r="E48" s="744"/>
      <c r="F48" s="744"/>
      <c r="G48" s="744"/>
      <c r="H48" s="744"/>
      <c r="I48" s="744"/>
      <c r="J48" s="744"/>
      <c r="K48" s="744">
        <v>0</v>
      </c>
    </row>
    <row r="49" ht="36" customHeight="1" spans="1:11" s="743" customFormat="1" x14ac:dyDescent="0.25">
      <c r="A49" s="553" t="s">
        <v>2210</v>
      </c>
      <c r="B49" s="744"/>
      <c r="C49" s="744"/>
      <c r="D49" s="744"/>
      <c r="E49" s="744"/>
      <c r="F49" s="744"/>
      <c r="G49" s="744"/>
      <c r="H49" s="744"/>
      <c r="I49" s="744"/>
      <c r="J49" s="744"/>
      <c r="K49" s="744">
        <v>0</v>
      </c>
    </row>
    <row r="50" ht="36" customHeight="1" spans="1:11" s="743" customFormat="1" x14ac:dyDescent="0.25">
      <c r="A50" s="553" t="s">
        <v>2211</v>
      </c>
      <c r="B50" s="744"/>
      <c r="C50" s="744"/>
      <c r="D50" s="744"/>
      <c r="E50" s="744"/>
      <c r="F50" s="744"/>
      <c r="G50" s="744"/>
      <c r="H50" s="744"/>
      <c r="I50" s="744"/>
      <c r="J50" s="744"/>
      <c r="K50" s="744">
        <v>0</v>
      </c>
    </row>
    <row r="51" ht="36" customHeight="1" spans="1:11" s="743" customFormat="1" x14ac:dyDescent="0.25">
      <c r="A51" s="553" t="s">
        <v>2212</v>
      </c>
      <c r="B51" s="744"/>
      <c r="C51" s="744"/>
      <c r="D51" s="744"/>
      <c r="E51" s="744"/>
      <c r="F51" s="744"/>
      <c r="G51" s="744"/>
      <c r="H51" s="744"/>
      <c r="I51" s="744"/>
      <c r="J51" s="744"/>
      <c r="K51" s="744">
        <v>0</v>
      </c>
    </row>
    <row r="52" ht="36" customHeight="1" spans="1:11" s="743" customFormat="1" x14ac:dyDescent="0.25">
      <c r="A52" s="553" t="s">
        <v>2213</v>
      </c>
      <c r="B52" s="744"/>
      <c r="C52" s="744"/>
      <c r="D52" s="744"/>
      <c r="E52" s="744"/>
      <c r="F52" s="744"/>
      <c r="G52" s="744"/>
      <c r="H52" s="744"/>
      <c r="I52" s="744"/>
      <c r="J52" s="744"/>
      <c r="K52" s="744">
        <v>0</v>
      </c>
    </row>
    <row r="53" ht="36" customHeight="1" spans="1:11" s="743" customFormat="1" x14ac:dyDescent="0.25">
      <c r="A53" s="553" t="s">
        <v>2214</v>
      </c>
      <c r="B53" s="744"/>
      <c r="C53" s="744"/>
      <c r="D53" s="744"/>
      <c r="E53" s="744"/>
      <c r="F53" s="744"/>
      <c r="G53" s="744"/>
      <c r="H53" s="744"/>
      <c r="I53" s="744"/>
      <c r="J53" s="744"/>
      <c r="K53" s="744">
        <v>0</v>
      </c>
    </row>
    <row r="54" ht="36" customHeight="1" spans="1:11" s="743" customFormat="1" x14ac:dyDescent="0.25">
      <c r="A54" s="553" t="s">
        <v>2215</v>
      </c>
      <c r="B54" s="744"/>
      <c r="C54" s="744"/>
      <c r="D54" s="744"/>
      <c r="E54" s="744"/>
      <c r="F54" s="744"/>
      <c r="G54" s="744"/>
      <c r="H54" s="744"/>
      <c r="I54" s="744"/>
      <c r="J54" s="744"/>
      <c r="K54" s="744">
        <v>0</v>
      </c>
    </row>
    <row r="55" ht="36" customHeight="1" spans="1:11" s="743" customFormat="1" x14ac:dyDescent="0.25">
      <c r="A55" s="553" t="s">
        <v>2216</v>
      </c>
      <c r="B55" s="744"/>
      <c r="C55" s="744"/>
      <c r="D55" s="744"/>
      <c r="E55" s="744"/>
      <c r="F55" s="744"/>
      <c r="G55" s="744"/>
      <c r="H55" s="744"/>
      <c r="I55" s="744"/>
      <c r="J55" s="744"/>
      <c r="K55" s="744">
        <v>0</v>
      </c>
    </row>
    <row r="56" ht="36" customHeight="1" spans="1:11" s="743" customFormat="1" x14ac:dyDescent="0.25">
      <c r="A56" s="553" t="s">
        <v>2217</v>
      </c>
      <c r="B56" s="744"/>
      <c r="C56" s="744"/>
      <c r="D56" s="744"/>
      <c r="E56" s="744"/>
      <c r="F56" s="744"/>
      <c r="G56" s="744"/>
      <c r="H56" s="744"/>
      <c r="I56" s="744"/>
      <c r="J56" s="744"/>
      <c r="K56" s="744">
        <v>0</v>
      </c>
    </row>
    <row r="57" ht="36" customHeight="1" spans="1:11" s="743" customFormat="1" x14ac:dyDescent="0.25">
      <c r="A57" s="553" t="s">
        <v>2218</v>
      </c>
      <c r="B57" s="744"/>
      <c r="C57" s="744"/>
      <c r="D57" s="744"/>
      <c r="E57" s="744"/>
      <c r="F57" s="744"/>
      <c r="G57" s="744"/>
      <c r="H57" s="744"/>
      <c r="I57" s="744"/>
      <c r="J57" s="744"/>
      <c r="K57" s="744">
        <v>0</v>
      </c>
    </row>
    <row r="58" ht="36" customHeight="1" spans="1:11" s="743" customFormat="1" x14ac:dyDescent="0.25">
      <c r="A58" s="553" t="s">
        <v>2219</v>
      </c>
      <c r="B58" s="744"/>
      <c r="C58" s="744"/>
      <c r="D58" s="744"/>
      <c r="E58" s="744"/>
      <c r="F58" s="744"/>
      <c r="G58" s="744"/>
      <c r="H58" s="744"/>
      <c r="I58" s="744"/>
      <c r="J58" s="744"/>
      <c r="K58" s="744">
        <v>0</v>
      </c>
    </row>
    <row r="59" ht="36" customHeight="1" spans="1:11" s="743" customFormat="1" x14ac:dyDescent="0.25">
      <c r="A59" s="553" t="s">
        <v>2220</v>
      </c>
      <c r="B59" s="744"/>
      <c r="C59" s="744"/>
      <c r="D59" s="744"/>
      <c r="E59" s="744"/>
      <c r="F59" s="744"/>
      <c r="G59" s="744"/>
      <c r="H59" s="744"/>
      <c r="I59" s="744"/>
      <c r="J59" s="744"/>
      <c r="K59" s="744">
        <v>0</v>
      </c>
    </row>
    <row r="60" ht="36" customHeight="1" spans="1:11" s="745" customFormat="1" x14ac:dyDescent="0.25">
      <c r="A60" s="553" t="s">
        <v>2221</v>
      </c>
      <c r="B60" s="553" t="s">
        <v>818</v>
      </c>
      <c r="C60" s="744">
        <v>0</v>
      </c>
      <c r="D60" s="744">
        <v>0</v>
      </c>
      <c r="E60" s="744">
        <v>0</v>
      </c>
      <c r="F60" s="744">
        <v>0</v>
      </c>
      <c r="G60" s="744">
        <v>0</v>
      </c>
      <c r="H60" s="744">
        <v>0</v>
      </c>
      <c r="I60" s="744">
        <v>0</v>
      </c>
      <c r="J60" s="744">
        <v>0</v>
      </c>
      <c r="K60" s="744">
        <v>0</v>
      </c>
    </row>
  </sheetData>
  <sheetProtection sheet="1" algorithmName="SHA-512" hashValue="GYBo9tPOfz5fC+vexq9CN5Ivc+Z2TUS+g5/hHM9OXYdQtsrJsYZk9eGkAR7IU6SLVmtEBz445YkOE6oKaJHffg==" saltValue="ItS61SKkau94at+5UvrVrw==" spinCount="100000" objects="1" scenarios="1"/>
  <mergeCells count="5">
    <mergeCell ref="A1:J1"/>
    <mergeCell ref="C8:J8"/>
    <mergeCell ref="A8:A9"/>
    <mergeCell ref="B8:B9"/>
    <mergeCell ref="K8:K9"/>
  </mergeCells>
  <pageMargins left="0.708333333333333" right="0.708333333333333" top="0.747916666666667" bottom="0.747916666666667" header="0.511811023622047" footer="0.315277777777778"/>
  <pageSetup paperSize="9" orientation="landscape" horizontalDpi="300" verticalDpi="300" scale="34" fitToWidth="1" fitToHeight="1" firstPageNumber="1" useFirstPageNumber="1" copies="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Page_de_garde</vt:lpstr>
      <vt:lpstr>ADPE</vt:lpstr>
      <vt:lpstr>Liste_EP_à_renseigner</vt:lpstr>
      <vt:lpstr>EP01</vt:lpstr>
      <vt:lpstr>EP02</vt:lpstr>
      <vt:lpstr>EP03</vt:lpstr>
      <vt:lpstr>EP3M</vt:lpstr>
      <vt:lpstr>EP04</vt:lpstr>
      <vt:lpstr>EP05</vt:lpstr>
      <vt:lpstr>EP5M</vt:lpstr>
      <vt:lpstr>EP06</vt:lpstr>
      <vt:lpstr>EP07</vt:lpstr>
      <vt:lpstr>EP08</vt:lpstr>
      <vt:lpstr>EP09</vt:lpstr>
      <vt:lpstr>EP10</vt:lpstr>
      <vt:lpstr>EP11</vt:lpstr>
      <vt:lpstr>EP12</vt:lpstr>
      <vt:lpstr>EP13</vt:lpstr>
      <vt:lpstr>EP14</vt:lpstr>
      <vt:lpstr>EP15</vt:lpstr>
      <vt:lpstr>EP16</vt:lpstr>
      <vt:lpstr>EP17</vt:lpstr>
      <vt:lpstr>EP18</vt:lpstr>
      <vt:lpstr>EP19</vt:lpstr>
      <vt:lpstr>EP20</vt:lpstr>
      <vt:lpstr>EP21</vt:lpstr>
      <vt:lpstr>EP22</vt:lpstr>
      <vt:lpstr>EP23</vt:lpstr>
      <vt:lpstr>EP24</vt:lpstr>
      <vt:lpstr>EP25</vt:lpstr>
      <vt:lpstr>EP26</vt:lpstr>
      <vt:lpstr>EP27</vt:lpstr>
      <vt:lpstr>EP28</vt:lpstr>
      <vt:lpstr>EP29</vt:lpstr>
      <vt:lpstr>EP30</vt:lpstr>
      <vt:lpstr>EP31</vt:lpstr>
      <vt:lpstr>EP32</vt:lpstr>
      <vt:lpstr>EP33</vt:lpstr>
      <vt:lpstr>EP34</vt:lpstr>
      <vt:lpstr>EP35</vt:lpstr>
      <vt:lpstr>EP36</vt:lpstr>
      <vt:lpstr>EP37</vt:lpstr>
      <vt:lpstr>EP38</vt:lpstr>
      <vt:lpstr>EP39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Yaye Aminata SECK MBOW</dc:creator>
  <dc:title>Modèle Calc - Page de garde paysage</dc:title>
  <dc:language>fr-FR</dc:language>
  <cp:lastModifiedBy>Aimé Kouadio</cp:lastModifiedBy>
  <cp:lastPrinted>2018-04-17T15:36:32Z</cp:lastPrinted>
  <cp:revision>635</cp:revision>
  <dcterms:created xsi:type="dcterms:W3CDTF">2013-07-04T14:42:13Z</dcterms:created>
  <dcterms:modified xsi:type="dcterms:W3CDTF">2026-08-07T03:03:04Z</dcterms:modified>
</cp:coreProperties>
</file>